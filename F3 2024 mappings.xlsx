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A6CC3518-C2DD-4C6E-B15D-03833FB33F8B}" xr6:coauthVersionLast="47" xr6:coauthVersionMax="47" xr10:uidLastSave="{00000000-0000-0000-0000-000000000000}"/>
  <bookViews>
    <workbookView xWindow="-120" yWindow="-120" windowWidth="38640" windowHeight="2112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5" sheetId="32" r:id="rId6"/>
    <sheet name="Sheet4" sheetId="31" r:id="rId7"/>
    <sheet name="Sheet3" sheetId="30" r:id="rId8"/>
    <sheet name="Sheet2" sheetId="29" r:id="rId9"/>
    <sheet name="Sheet1" sheetId="28" r:id="rId10"/>
    <sheet name="For Commentary" sheetId="20" r:id="rId11"/>
    <sheet name="Authors" sheetId="18" r:id="rId12"/>
    <sheet name="STAT" sheetId="10" r:id="rId13"/>
    <sheet name="Sector" sheetId="3" r:id="rId14"/>
    <sheet name="YelTable" sheetId="24" r:id="rId15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4" hidden="1">YelTable!$A$1:$E$5</definedName>
    <definedName name="ID" localSheetId="11" hidden="1">"f29e49f0-c842-4a01-8df8-c72694a7b15c"</definedName>
    <definedName name="ID" localSheetId="3" hidden="1">"3fb6490e-8bae-4ce5-b09c-5121e79bff69"</definedName>
    <definedName name="ID" localSheetId="10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3" hidden="1">"fa560984-7bbe-4a11-88aa-39d6eb27c9e2"</definedName>
    <definedName name="ID" localSheetId="12" hidden="1">"e95ef0c9-3382-426f-86db-9e8ceaf6f6b4"</definedName>
    <definedName name="ID" localSheetId="14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9" r:id="rId16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5235" i="1" l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J5225" i="1"/>
  <c r="J5226" i="1"/>
  <c r="J5227" i="1"/>
  <c r="J5228" i="1"/>
  <c r="J5229" i="1"/>
  <c r="J5230" i="1"/>
  <c r="J5231" i="1"/>
  <c r="J5232" i="1"/>
  <c r="J5233" i="1"/>
  <c r="J5234" i="1"/>
  <c r="J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F5224" i="1"/>
  <c r="J5224" i="1" s="1"/>
  <c r="F5223" i="1"/>
  <c r="J5223" i="1" s="1"/>
  <c r="F5222" i="1"/>
  <c r="F5221" i="1"/>
  <c r="F5220" i="1"/>
  <c r="F5219" i="1"/>
  <c r="F5218" i="1"/>
  <c r="F5217" i="1"/>
  <c r="J5217" i="1" s="1"/>
  <c r="F5216" i="1"/>
  <c r="J5216" i="1" s="1"/>
  <c r="F5215" i="1"/>
  <c r="J5215" i="1" s="1"/>
  <c r="F5214" i="1"/>
  <c r="J5214" i="1" s="1"/>
  <c r="F5213" i="1"/>
  <c r="J5213" i="1" s="1"/>
  <c r="F5212" i="1"/>
  <c r="J5212" i="1" s="1"/>
  <c r="F5211" i="1"/>
  <c r="J5211" i="1" s="1"/>
  <c r="F5210" i="1"/>
  <c r="J5210" i="1" s="1"/>
  <c r="F5209" i="1"/>
  <c r="J5209" i="1" s="1"/>
  <c r="F5208" i="1"/>
  <c r="J5208" i="1" s="1"/>
  <c r="F5207" i="1"/>
  <c r="J5207" i="1" s="1"/>
  <c r="F5206" i="1"/>
  <c r="F5205" i="1"/>
  <c r="F5204" i="1"/>
  <c r="F5203" i="1"/>
  <c r="F5202" i="1"/>
  <c r="F5201" i="1"/>
  <c r="J5201" i="1" s="1"/>
  <c r="F5200" i="1"/>
  <c r="J5200" i="1" s="1"/>
  <c r="F5199" i="1"/>
  <c r="J5199" i="1" s="1"/>
  <c r="F5198" i="1"/>
  <c r="J5198" i="1" s="1"/>
  <c r="F5197" i="1"/>
  <c r="J5197" i="1" s="1"/>
  <c r="F5196" i="1"/>
  <c r="J5196" i="1" s="1"/>
  <c r="F5195" i="1"/>
  <c r="F5194" i="1"/>
  <c r="J5194" i="1" s="1"/>
  <c r="F5193" i="1"/>
  <c r="J5193" i="1" s="1"/>
  <c r="F5191" i="1"/>
  <c r="F5190" i="1"/>
  <c r="J5190" i="1" s="1"/>
  <c r="F5189" i="1"/>
  <c r="F5188" i="1"/>
  <c r="F5186" i="1"/>
  <c r="F5185" i="1"/>
  <c r="F5184" i="1"/>
  <c r="F5183" i="1"/>
  <c r="J5183" i="1" s="1"/>
  <c r="F5182" i="1"/>
  <c r="J5182" i="1" s="1"/>
  <c r="F5181" i="1"/>
  <c r="J5181" i="1" s="1"/>
  <c r="F5180" i="1"/>
  <c r="J5180" i="1" s="1"/>
  <c r="F5179" i="1"/>
  <c r="J5179" i="1" s="1"/>
  <c r="F5177" i="1"/>
  <c r="J5177" i="1" s="1"/>
  <c r="F5176" i="1"/>
  <c r="J5176" i="1" s="1"/>
  <c r="F5174" i="1"/>
  <c r="J5174" i="1" s="1"/>
  <c r="F5173" i="1"/>
  <c r="J5173" i="1" s="1"/>
  <c r="F5172" i="1"/>
  <c r="J5172" i="1" s="1"/>
  <c r="F5171" i="1"/>
  <c r="J5171" i="1" s="1"/>
  <c r="F5170" i="1"/>
  <c r="F5169" i="1"/>
  <c r="F5168" i="1"/>
  <c r="F5167" i="1"/>
  <c r="F5166" i="1"/>
  <c r="F5165" i="1"/>
  <c r="F5164" i="1"/>
  <c r="F5163" i="1"/>
  <c r="J5163" i="1" s="1"/>
  <c r="F5162" i="1"/>
  <c r="J5162" i="1" s="1"/>
  <c r="F5161" i="1"/>
  <c r="J5161" i="1" s="1"/>
  <c r="F5160" i="1"/>
  <c r="J5160" i="1" s="1"/>
  <c r="F5159" i="1"/>
  <c r="J5159" i="1" s="1"/>
  <c r="F5158" i="1"/>
  <c r="F5157" i="1"/>
  <c r="J5157" i="1" s="1"/>
  <c r="F5156" i="1"/>
  <c r="J5156" i="1" s="1"/>
  <c r="F5155" i="1"/>
  <c r="J5155" i="1" s="1"/>
  <c r="F5154" i="1"/>
  <c r="F5153" i="1"/>
  <c r="F5152" i="1"/>
  <c r="F5151" i="1"/>
  <c r="F5150" i="1"/>
  <c r="F5149" i="1"/>
  <c r="F5148" i="1"/>
  <c r="J5148" i="1" s="1"/>
  <c r="F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J5202" i="1"/>
  <c r="J5203" i="1"/>
  <c r="J5204" i="1"/>
  <c r="J5205" i="1"/>
  <c r="J5206" i="1"/>
  <c r="J5218" i="1"/>
  <c r="J5219" i="1"/>
  <c r="J5220" i="1"/>
  <c r="J5221" i="1"/>
  <c r="J5222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J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4" i="1"/>
  <c r="J5185" i="1"/>
  <c r="J5186" i="1"/>
  <c r="J5187" i="1"/>
  <c r="J5188" i="1"/>
  <c r="J5189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1" i="1"/>
  <c r="J5152" i="1"/>
  <c r="J5153" i="1"/>
  <c r="J5154" i="1"/>
  <c r="J5158" i="1"/>
  <c r="J5164" i="1"/>
  <c r="J5165" i="1"/>
  <c r="J5166" i="1"/>
  <c r="J5167" i="1"/>
  <c r="J5168" i="1"/>
  <c r="J5169" i="1"/>
  <c r="J5170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J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J5149" i="1"/>
  <c r="K5149" i="1"/>
  <c r="Q5149" i="1"/>
  <c r="P5149" i="1" s="1"/>
  <c r="B5148" i="1"/>
  <c r="H5148" i="1"/>
  <c r="K5148" i="1"/>
  <c r="Q5148" i="1"/>
  <c r="P5148" i="1" s="1"/>
  <c r="B5147" i="1"/>
  <c r="H5147" i="1"/>
  <c r="J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<sst xmlns="http://schemas.openxmlformats.org/spreadsheetml/2006/main" count="46459" uniqueCount="7565">
  <si>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</si>
  <si>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</si>
  <si>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</si>
  <si>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</si>
  <si>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</si>
  <si>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</si>
  <si>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</si>
  <si>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</si>
  <si>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</si>
  <si>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</si>
  <si>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</si>
  <si>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</si>
  <si>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</si>
  <si>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</si>
  <si>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</si>
  <si>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</si>
  <si>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</si>
  <si>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</si>
  <si>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</si>
  <si>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</si>
  <si>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</si>
  <si>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</si>
  <si>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</si>
  <si>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</si>
  <si>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</si>
  <si>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</si>
  <si>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</si>
  <si>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</si>
  <si>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</si>
  <si>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</si>
  <si>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</si>
  <si>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</si>
  <si>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</si>
  <si>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</si>
  <si>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</si>
  <si>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</si>
  <si>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</si>
  <si>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</si>
  <si>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</si>
  <si>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</si>
  <si>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</si>
  <si>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</si>
  <si>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</si>
  <si>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</si>
  <si>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</si>
  <si>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</si>
  <si>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</si>
  <si>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</si>
  <si>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</si>
  <si>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</si>
  <si>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</si>
  <si>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</si>
  <si>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</si>
  <si>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</si>
  <si>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</si>
  <si>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</si>
  <si>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</si>
  <si>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</si>
  <si>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</si>
  <si>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</si>
  <si>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</si>
  <si>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</si>
  <si>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</si>
  <si>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</si>
  <si>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</si>
  <si>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</si>
  <si>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</si>
  <si>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</si>
  <si>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</si>
  <si>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</si>
  <si>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</si>
  <si>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</si>
  <si>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</si>
  <si>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</si>
  <si>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</si>
  <si>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</si>
  <si>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</si>
  <si>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</si>
  <si>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</si>
  <si>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</si>
  <si>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</si>
  <si>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</si>
  <si>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</si>
  <si>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</si>
  <si>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</si>
  <si>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</si>
  <si>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</si>
  <si>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</si>
  <si>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</si>
  <si>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</si>
  <si>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</si>
  <si>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</si>
  <si>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</si>
  <si>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</si>
  <si>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</si>
  <si>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</si>
  <si>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</si>
  <si>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</si>
  <si>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</si>
  <si>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</si>
  <si>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</si>
  <si>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</si>
  <si>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</si>
  <si>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</si>
  <si>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</si>
  <si>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</si>
  <si>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</si>
  <si>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</si>
  <si>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</si>
  <si>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</si>
  <si>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</si>
  <si>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</si>
  <si>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</si>
  <si>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</si>
  <si>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</si>
  <si>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</si>
  <si>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</si>
  <si>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</si>
  <si>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</si>
  <si>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</si>
  <si>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</si>
  <si>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</si>
  <si>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</si>
  <si>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</si>
  <si>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</si>
  <si>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</si>
  <si>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</si>
  <si>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</si>
  <si>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</si>
  <si>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</si>
  <si>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</si>
  <si>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</si>
  <si>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</si>
  <si>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</si>
  <si>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</si>
  <si>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</si>
  <si>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</si>
  <si>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</si>
  <si>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</si>
  <si>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</si>
  <si>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</si>
  <si>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</si>
  <si>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</si>
  <si>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</si>
  <si>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</si>
  <si>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</si>
  <si>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</si>
  <si>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</si>
  <si>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</si>
  <si>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</si>
  <si>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</si>
  <si>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</si>
  <si>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</si>
  <si>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</si>
  <si>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</si>
  <si>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</si>
  <si>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</si>
  <si>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</si>
  <si>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</si>
  <si>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</si>
  <si>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</si>
  <si>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</si>
  <si>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</si>
  <si>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</si>
  <si>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</si>
  <si>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</si>
  <si>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</si>
  <si>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</si>
  <si>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</si>
  <si>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</si>
  <si>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</si>
  <si>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</si>
  <si>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</si>
  <si>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</si>
  <si>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</si>
  <si>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</si>
  <si>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</si>
  <si>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</si>
  <si>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</si>
  <si>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</si>
  <si>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</si>
  <si>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</si>
  <si>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</si>
  <si>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</si>
  <si>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</si>
  <si>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</si>
  <si>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</si>
  <si>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</si>
  <si>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</si>
  <si>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</si>
  <si>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</si>
  <si>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</si>
  <si>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</si>
  <si>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</si>
  <si>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</si>
  <si>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</si>
  <si>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</si>
  <si>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</si>
  <si>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</si>
  <si>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</si>
  <si>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</si>
  <si>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</si>
  <si>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</si>
  <si>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</si>
  <si>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</si>
  <si>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</si>
  <si>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</si>
  <si>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</si>
  <si>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</si>
  <si>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</si>
  <si>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</si>
  <si>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</si>
  <si>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</si>
  <si>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</si>
  <si>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</si>
  <si>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</si>
  <si>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</si>
  <si>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</si>
  <si>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</si>
  <si>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</si>
  <si>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</si>
  <si>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</si>
  <si>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</si>
  <si>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</si>
  <si>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</si>
  <si>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</si>
  <si>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</si>
  <si>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</si>
  <si>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</si>
  <si>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</si>
  <si>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</si>
  <si>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</si>
  <si>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</si>
  <si>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</si>
  <si>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</si>
  <si>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</si>
  <si>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</si>
  <si>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</si>
  <si>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</si>
  <si>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</si>
  <si>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</si>
  <si>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</si>
  <si>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</si>
  <si>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</si>
  <si>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</si>
  <si>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</si>
  <si>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</si>
  <si>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</si>
  <si>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</si>
  <si>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</si>
  <si>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</si>
  <si>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</si>
  <si>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</si>
  <si>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</si>
  <si>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</si>
  <si>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</si>
  <si>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</si>
  <si>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</si>
  <si>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</si>
  <si>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</si>
  <si>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</si>
  <si>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</si>
  <si>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</si>
  <si>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</si>
  <si>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</si>
  <si>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</si>
  <si>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</si>
  <si>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</si>
  <si>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</si>
  <si>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</si>
  <si>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</si>
  <si>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</si>
  <si>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</si>
  <si>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</si>
  <si>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</si>
  <si>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</si>
  <si>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</si>
  <si>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</si>
  <si>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</si>
  <si>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</si>
  <si>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</si>
  <si>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</si>
  <si>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</si>
  <si>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</si>
  <si>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</si>
  <si>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</si>
  <si>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</si>
  <si>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</si>
  <si>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</si>
  <si>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</si>
  <si>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</si>
  <si>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</si>
  <si>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</si>
  <si>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</si>
  <si>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</si>
  <si>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</si>
  <si>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</si>
  <si>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</si>
  <si>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</si>
  <si>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</si>
  <si>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</si>
  <si>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</si>
  <si>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</si>
  <si>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</si>
  <si>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</si>
  <si>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</si>
  <si>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</si>
  <si>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</si>
  <si>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</si>
  <si>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</si>
  <si>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</si>
  <si>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</si>
  <si>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</si>
  <si>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</si>
  <si>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</si>
  <si>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</si>
  <si>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</si>
  <si>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</si>
  <si>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</si>
  <si>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</si>
  <si>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</si>
  <si>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</si>
  <si>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</si>
  <si>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</si>
  <si>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</si>
  <si>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</si>
  <si>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</si>
  <si>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</si>
  <si>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</si>
  <si>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</si>
  <si>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</si>
  <si>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</si>
  <si>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</si>
  <si>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</si>
  <si>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</si>
  <si>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</si>
  <si>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</si>
  <si>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</si>
  <si>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</si>
  <si>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</si>
  <si>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</si>
  <si>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</si>
  <si>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</si>
  <si>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</si>
  <si>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</si>
  <si>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</si>
  <si>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</si>
  <si>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</si>
  <si>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</si>
  <si>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</si>
  <si>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</si>
  <si>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</si>
  <si>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</si>
  <si>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</si>
  <si>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</si>
  <si>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</si>
  <si>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</si>
  <si>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</si>
  <si>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</si>
  <si>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</si>
  <si>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</si>
  <si>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</si>
  <si>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</si>
  <si>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</si>
  <si>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</si>
  <si>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</si>
  <si>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</si>
  <si>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</si>
  <si>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</si>
  <si>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</si>
  <si>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</si>
  <si>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</si>
  <si>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</si>
  <si>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</si>
  <si>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</si>
  <si>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</si>
  <si>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</si>
  <si>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</si>
  <si>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</si>
  <si>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</si>
  <si>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</si>
  <si>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</si>
  <si>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</si>
  <si>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</si>
  <si>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</si>
  <si>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</si>
  <si>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</si>
  <si>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</si>
  <si>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</si>
  <si>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</si>
  <si>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</si>
  <si>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</si>
  <si>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</si>
  <si>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</si>
  <si>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</si>
  <si>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</si>
  <si>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</si>
  <si>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</si>
  <si>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</si>
  <si>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</si>
  <si>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</si>
  <si>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</si>
  <si>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</si>
  <si>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</si>
  <si>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</si>
  <si>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</si>
  <si>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</si>
  <si>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</si>
  <si>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</si>
  <si>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</si>
  <si>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</si>
  <si>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</si>
  <si>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</si>
  <si>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</si>
  <si>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</si>
  <si>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</si>
  <si>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</si>
  <si>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</si>
  <si>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</si>
  <si>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</si>
  <si>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</si>
  <si>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</si>
  <si>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</si>
  <si>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</si>
  <si>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</si>
  <si>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</si>
  <si>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</si>
  <si>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</si>
  <si>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</si>
  <si>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</si>
  <si>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</si>
  <si>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</si>
  <si>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</si>
  <si>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</si>
  <si>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</si>
  <si>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</si>
  <si>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</si>
  <si>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</si>
  <si>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</si>
  <si>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</si>
  <si>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</si>
  <si>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</si>
  <si>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</si>
  <si>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</si>
  <si>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</si>
  <si>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</si>
  <si>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</si>
  <si>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</si>
  <si>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</si>
  <si>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</si>
  <si>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</si>
  <si>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</si>
  <si>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</si>
  <si>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</si>
  <si>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</si>
  <si>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</si>
  <si>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</si>
  <si>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</si>
  <si>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</si>
  <si>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</si>
  <si>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</si>
  <si>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</si>
  <si>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</si>
  <si>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</si>
  <si>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</si>
  <si>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</si>
  <si>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</si>
  <si>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</si>
  <si>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</si>
  <si>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</si>
  <si>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</si>
  <si>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</si>
  <si>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</si>
  <si>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</si>
  <si>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</si>
  <si>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</si>
  <si>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</si>
  <si>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</si>
  <si>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</si>
  <si>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</si>
  <si>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</si>
  <si>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</si>
  <si>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</si>
  <si>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</si>
  <si>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</si>
  <si>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</si>
  <si>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</si>
  <si>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</si>
  <si>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</si>
  <si>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</si>
  <si>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</si>
  <si>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</si>
  <si>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</si>
  <si>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</si>
  <si>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</si>
  <si>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</si>
  <si>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</si>
  <si>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</si>
  <si>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</si>
  <si>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</si>
  <si>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</si>
  <si>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</si>
  <si>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</si>
  <si>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</si>
  <si>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</si>
  <si>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</si>
  <si>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</si>
  <si>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</si>
  <si>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</si>
  <si>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</si>
  <si>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</si>
  <si>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</si>
  <si>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</si>
  <si>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</si>
  <si>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</si>
  <si>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</si>
  <si>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</si>
  <si>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</si>
  <si>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</si>
  <si>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</si>
  <si>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</si>
  <si>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</si>
  <si>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</si>
  <si>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</si>
  <si>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</si>
  <si>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</si>
  <si>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</si>
  <si>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</si>
  <si>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</si>
  <si>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</si>
  <si>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</si>
  <si>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</si>
  <si>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</si>
  <si>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</si>
  <si>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</si>
  <si>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</si>
  <si>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</si>
  <si>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</si>
  <si>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</si>
  <si>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</si>
  <si>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</si>
  <si>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</si>
  <si>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</si>
  <si>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</si>
  <si>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</si>
  <si>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</si>
  <si>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</si>
  <si>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</si>
  <si>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</si>
  <si>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</si>
  <si>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</si>
  <si>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</si>
  <si>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</si>
  <si>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</si>
  <si>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</si>
  <si>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</si>
  <si>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</si>
  <si>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</si>
  <si>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</si>
  <si>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</si>
  <si>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</si>
  <si>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</si>
  <si>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</si>
  <si>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</si>
  <si>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</si>
  <si>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</si>
  <si>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</si>
  <si>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</si>
  <si>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</si>
  <si>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</si>
  <si>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</si>
  <si>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</si>
  <si>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</si>
  <si>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</si>
  <si>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</si>
  <si>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</si>
  <si>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</si>
  <si>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</si>
  <si>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</si>
  <si>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</si>
  <si>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</si>
  <si>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</si>
  <si>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</si>
  <si>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</si>
  <si>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</si>
  <si>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</si>
  <si>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</si>
  <si>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</si>
  <si>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</si>
  <si>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</si>
  <si>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</si>
  <si>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</si>
  <si>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</si>
  <si>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</si>
  <si>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</si>
  <si>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</si>
  <si>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</si>
  <si>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</si>
  <si>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</si>
  <si>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</si>
  <si>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</si>
  <si>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</si>
  <si>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</si>
  <si>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</si>
  <si>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</si>
  <si>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</si>
  <si>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</si>
  <si>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</si>
  <si>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</si>
  <si>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</si>
  <si>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</si>
  <si>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</si>
  <si>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</si>
  <si>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</si>
  <si>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</si>
  <si>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</si>
  <si>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</si>
  <si>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</si>
  <si>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</si>
  <si>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</si>
  <si>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</si>
  <si>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</si>
  <si>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</si>
  <si>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</si>
  <si>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</si>
  <si>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</si>
  <si>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</si>
  <si>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</si>
  <si>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</si>
  <si>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</si>
  <si>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</si>
  <si>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</si>
  <si>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</si>
  <si>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</si>
  <si>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</si>
  <si>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</si>
  <si>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</si>
  <si>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</si>
  <si>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</si>
  <si>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</si>
  <si>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</si>
  <si>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</si>
  <si>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</si>
  <si>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</si>
  <si>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</si>
  <si>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</si>
  <si>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</si>
  <si>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</si>
  <si>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</si>
  <si>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</si>
  <si>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</si>
  <si>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</si>
  <si>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</si>
  <si>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</si>
  <si>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</si>
  <si>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</si>
  <si>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</si>
  <si>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</si>
  <si>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</si>
  <si>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</si>
  <si>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</si>
  <si>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</si>
  <si>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</si>
  <si>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</si>
  <si>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</si>
  <si>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</si>
  <si>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</si>
  <si>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</si>
  <si>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</si>
  <si>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</si>
  <si>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</si>
  <si>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</si>
  <si>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</si>
  <si>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</si>
  <si>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</si>
  <si>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</si>
  <si>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</si>
  <si>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</si>
  <si>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</si>
  <si>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</si>
  <si>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</si>
  <si>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</si>
  <si>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</si>
  <si>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</si>
  <si>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</si>
  <si>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</si>
  <si>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</si>
  <si>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</si>
  <si>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</si>
  <si>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</si>
  <si>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</si>
  <si>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</si>
  <si>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</si>
  <si>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</si>
  <si>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</si>
  <si>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</si>
  <si>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</si>
  <si>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</si>
  <si>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</si>
  <si>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</si>
  <si>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</si>
  <si>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</si>
  <si>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</si>
  <si>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</si>
  <si>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</si>
  <si>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</si>
  <si>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</si>
  <si>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</si>
  <si>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</si>
  <si>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</si>
  <si>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</si>
  <si>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</si>
  <si>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</si>
  <si>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</si>
  <si>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</si>
  <si>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</si>
  <si>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</si>
  <si>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</si>
  <si>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</si>
  <si>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</si>
  <si>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</si>
  <si>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</si>
  <si>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</si>
  <si>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</si>
  <si>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</si>
  <si>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</si>
  <si>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</si>
  <si>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</si>
  <si>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</si>
  <si>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</si>
  <si>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</si>
  <si>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</si>
  <si>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</si>
  <si>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</si>
  <si>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</si>
  <si>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</si>
  <si>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</si>
  <si>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</si>
  <si>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</si>
  <si>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</si>
  <si>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</si>
  <si>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</si>
  <si>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</si>
  <si>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</si>
  <si>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</si>
  <si>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</si>
  <si>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</si>
  <si>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</si>
  <si>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</si>
  <si>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</si>
  <si>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</si>
  <si>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</si>
  <si>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</si>
  <si>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</si>
  <si>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</si>
  <si>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</si>
  <si>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</si>
  <si>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</si>
  <si>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</si>
  <si>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</si>
  <si>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</si>
  <si>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</si>
  <si>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</si>
  <si>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</si>
  <si>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</si>
  <si>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</si>
  <si>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</si>
  <si>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</si>
  <si>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</si>
  <si>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</si>
  <si>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</si>
  <si>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</si>
  <si>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</si>
  <si>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</si>
  <si>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</si>
  <si>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</si>
  <si>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</si>
  <si>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</si>
  <si>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</si>
  <si>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</si>
  <si>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</si>
  <si>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</si>
  <si>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</si>
  <si>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</si>
  <si>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</si>
  <si>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</si>
  <si>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</si>
  <si>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</si>
  <si>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</si>
  <si>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</si>
  <si>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</si>
  <si>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</si>
  <si>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</si>
  <si>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</si>
  <si>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</si>
  <si>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</si>
  <si>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</si>
  <si>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</si>
  <si>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</si>
  <si>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</si>
  <si>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</si>
  <si>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</si>
  <si>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</si>
  <si>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</si>
  <si>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</si>
  <si>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</si>
  <si>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</si>
  <si>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</si>
  <si>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</si>
  <si>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</si>
  <si>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</si>
  <si>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</si>
  <si>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</si>
  <si>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</si>
  <si>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</si>
  <si>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</si>
  <si>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</si>
  <si>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</si>
  <si>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</si>
  <si>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</si>
  <si>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</si>
  <si>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</si>
  <si>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</si>
  <si>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</si>
  <si>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</si>
  <si>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</si>
  <si>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</si>
  <si>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</si>
  <si>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</si>
  <si>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</si>
  <si>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</si>
  <si>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</si>
  <si>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</si>
  <si>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</si>
  <si>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</si>
  <si>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</si>
  <si>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</si>
  <si>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</si>
  <si>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</si>
  <si>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</si>
  <si>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</si>
  <si>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</si>
  <si>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</si>
  <si>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</si>
  <si>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</si>
  <si>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</si>
  <si>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</si>
  <si>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</si>
  <si>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</si>
  <si>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</si>
  <si>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</si>
  <si>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</si>
  <si>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</si>
  <si>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</si>
  <si>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</si>
  <si>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</si>
  <si>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</si>
  <si>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</si>
  <si>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</si>
  <si>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</si>
  <si>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</si>
  <si>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</si>
  <si>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</si>
  <si>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</si>
  <si>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</si>
  <si>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</si>
  <si>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</si>
  <si>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</si>
  <si>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</si>
  <si>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</si>
  <si>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</si>
  <si>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</si>
  <si>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</si>
  <si>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</si>
  <si>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</si>
  <si>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</si>
  <si>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</si>
  <si>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</si>
  <si>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</si>
  <si>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</si>
  <si>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</si>
  <si>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</si>
  <si>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</si>
  <si>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</si>
  <si>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</si>
  <si>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</si>
  <si>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</si>
  <si>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</si>
  <si>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</si>
  <si>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</si>
  <si>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</si>
  <si>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</si>
  <si>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</si>
  <si>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</si>
  <si>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</si>
  <si>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</si>
  <si>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</si>
  <si>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</si>
  <si>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</si>
  <si>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</si>
  <si>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</si>
  <si>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</si>
  <si>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</si>
  <si>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</si>
  <si>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</si>
  <si>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</si>
  <si>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</si>
  <si>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</si>
  <si>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</si>
  <si>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</si>
  <si>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</si>
  <si>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</si>
  <si>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</si>
  <si>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</si>
  <si>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</si>
  <si>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</si>
  <si>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</si>
  <si>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</si>
  <si>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</si>
  <si>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</si>
  <si>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</si>
  <si>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</si>
  <si>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</si>
  <si>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</si>
  <si>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</si>
  <si>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</si>
  <si>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</si>
  <si>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</si>
  <si>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</si>
  <si>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</si>
  <si>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</si>
  <si>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</si>
  <si>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</si>
  <si>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</si>
  <si>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</si>
  <si>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</si>
  <si>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</si>
  <si>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</si>
  <si>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</si>
  <si>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</si>
  <si>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</si>
  <si>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</si>
  <si>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</si>
  <si>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</si>
  <si>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</si>
  <si>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</si>
  <si>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</si>
  <si>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</si>
  <si>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</si>
  <si>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</si>
  <si>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</si>
  <si>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</si>
  <si>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</si>
  <si>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</si>
  <si>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</si>
  <si>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</si>
  <si>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</si>
  <si>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</si>
  <si>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</si>
  <si>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</si>
  <si>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</si>
  <si>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</si>
  <si>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</si>
  <si>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</si>
  <si>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</si>
  <si>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</si>
  <si>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</si>
  <si>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</si>
  <si>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</si>
  <si>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</si>
  <si>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</si>
  <si>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</si>
  <si>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</si>
  <si>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</si>
  <si>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</si>
  <si>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</si>
  <si>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</si>
  <si>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</si>
  <si>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</si>
  <si>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</si>
  <si>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</si>
  <si>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</si>
  <si>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</si>
  <si>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</si>
  <si>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</si>
  <si>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</si>
  <si>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</si>
  <si>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</si>
  <si>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</si>
  <si>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</si>
  <si>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</si>
  <si>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</si>
  <si>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</si>
  <si>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</si>
  <si>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</si>
  <si>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</si>
  <si>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</si>
  <si>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</si>
  <si>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</si>
  <si>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</si>
  <si>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</si>
  <si>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</si>
  <si>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</si>
  <si>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</si>
  <si>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</si>
  <si>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</si>
  <si>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</si>
  <si>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</si>
  <si>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</si>
  <si>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</si>
  <si>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</si>
  <si>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</si>
  <si>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</si>
  <si>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</si>
  <si>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</si>
  <si>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</si>
  <si>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</si>
  <si>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</si>
  <si>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</si>
  <si>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</si>
  <si>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</si>
  <si>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</si>
  <si>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</si>
  <si>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</si>
  <si>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</si>
  <si>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</si>
  <si>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</si>
  <si>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</si>
  <si>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</si>
  <si>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</si>
  <si>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</si>
  <si>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</si>
  <si>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</si>
  <si>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</si>
  <si>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</si>
  <si>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</si>
  <si>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</si>
  <si>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</si>
  <si>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</si>
  <si>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</si>
  <si>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</si>
  <si>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</si>
  <si>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</si>
  <si>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</si>
  <si>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</si>
  <si>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</si>
  <si>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</si>
  <si>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</si>
  <si>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</si>
  <si>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</si>
  <si>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</si>
  <si>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</si>
  <si>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</si>
  <si>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</si>
  <si>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</si>
  <si>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</si>
  <si>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</si>
  <si>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</si>
  <si>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</si>
  <si>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</si>
  <si>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</si>
  <si>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</si>
  <si>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</si>
  <si>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</si>
  <si>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</si>
  <si>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</si>
  <si>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</si>
  <si>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</si>
  <si>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</si>
  <si>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</si>
  <si>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</si>
  <si>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</si>
  <si>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</si>
  <si>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</si>
  <si>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</si>
  <si>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</si>
  <si>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</si>
  <si>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</si>
  <si>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</si>
  <si>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</si>
  <si>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</si>
  <si>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</si>
  <si>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</si>
  <si>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</si>
  <si>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</si>
  <si>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</si>
  <si>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</si>
  <si>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</si>
  <si>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</si>
  <si>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</si>
  <si>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</si>
  <si>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</si>
  <si>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</si>
  <si>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</si>
  <si>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</si>
  <si>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</si>
  <si>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</si>
  <si>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</si>
  <si>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</si>
  <si>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</si>
  <si>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</si>
  <si>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</si>
  <si>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</si>
  <si>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</si>
  <si>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</si>
  <si>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</si>
  <si>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</si>
  <si>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</si>
  <si>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</si>
  <si>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</si>
  <si>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</si>
  <si>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</si>
  <si>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</si>
  <si>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</si>
  <si>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</si>
  <si>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</si>
  <si>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</si>
  <si>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</si>
  <si>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</si>
  <si>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</si>
  <si>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</si>
  <si>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</si>
  <si>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</si>
  <si>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</si>
  <si>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</si>
  <si>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</si>
  <si>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</si>
  <si>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</si>
  <si>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</si>
  <si>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</si>
  <si>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</si>
  <si>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</si>
  <si>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</si>
  <si>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</si>
  <si>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</si>
  <si>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</si>
  <si>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</si>
  <si>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</si>
  <si>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</si>
  <si>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</si>
  <si>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</si>
  <si>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</si>
  <si>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</si>
  <si>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</si>
  <si>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</si>
  <si>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</si>
  <si>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</si>
  <si>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</si>
  <si>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</si>
  <si>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</si>
  <si>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</si>
  <si>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</si>
  <si>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</si>
  <si>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</si>
  <si>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</si>
  <si>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</si>
  <si>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</si>
  <si>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</si>
  <si>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</si>
  <si>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</si>
  <si>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</si>
  <si>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</si>
  <si>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</si>
  <si>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</si>
  <si>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</si>
  <si>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</si>
  <si>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</si>
  <si>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</si>
  <si>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</si>
  <si>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</si>
  <si>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</si>
  <si>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</si>
  <si>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</si>
  <si>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</si>
  <si>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</si>
  <si>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</si>
  <si>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</si>
  <si>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</si>
  <si>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</si>
  <si>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</si>
  <si>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</si>
  <si>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</si>
  <si>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</si>
  <si>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</si>
  <si>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</si>
  <si>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</si>
  <si>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</si>
  <si>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</si>
  <si>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</si>
  <si>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</si>
  <si>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</si>
  <si>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</si>
  <si>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</si>
  <si>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</si>
  <si>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</si>
  <si>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</si>
  <si>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</si>
  <si>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</si>
  <si>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</si>
  <si>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</si>
  <si>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</si>
  <si>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</si>
  <si>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</si>
  <si>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</si>
  <si>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</si>
  <si>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</si>
  <si>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</si>
  <si>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</si>
  <si>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</si>
  <si>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</si>
  <si>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</si>
  <si>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</si>
  <si>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</si>
  <si>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</si>
  <si>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</si>
  <si>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</si>
  <si>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</si>
  <si>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</si>
  <si>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</si>
  <si>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</si>
  <si>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</si>
  <si>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</si>
  <si>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</si>
  <si>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</si>
  <si>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</si>
  <si>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</si>
  <si>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</si>
  <si>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</si>
  <si>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</si>
  <si>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</si>
  <si>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</si>
  <si>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</si>
  <si>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</si>
  <si>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</si>
  <si>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</si>
  <si>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</si>
  <si>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</si>
  <si>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</si>
  <si>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</si>
  <si>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</si>
  <si>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</si>
  <si>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</si>
  <si>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</si>
  <si>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</si>
  <si>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</si>
  <si>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</si>
  <si>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</si>
  <si>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</si>
  <si>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</si>
  <si>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</si>
  <si>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</si>
  <si>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</si>
  <si>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</si>
  <si>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</si>
  <si>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</si>
  <si>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</si>
  <si>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</si>
  <si>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</si>
  <si>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</si>
  <si>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</si>
  <si>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</si>
  <si>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</si>
  <si>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</si>
  <si>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</si>
  <si>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</si>
  <si>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</si>
  <si>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</si>
  <si>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</si>
  <si>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</si>
  <si>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</si>
  <si>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</si>
  <si>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</si>
  <si>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</si>
  <si>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</si>
  <si>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</si>
  <si>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</si>
  <si>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</si>
  <si>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</si>
  <si>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</si>
  <si>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</si>
  <si>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</si>
  <si>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</si>
  <si>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</si>
  <si>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</si>
  <si>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</si>
  <si>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</si>
  <si>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</si>
  <si>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</si>
  <si>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</si>
  <si>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</si>
  <si>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</si>
  <si>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</si>
  <si>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</si>
  <si>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</si>
  <si>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</si>
  <si>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</si>
  <si>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</si>
  <si>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</si>
  <si>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</si>
  <si>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</si>
  <si>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</si>
  <si>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</si>
  <si>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</si>
  <si>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</si>
  <si>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</si>
  <si>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</si>
  <si>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</si>
  <si>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</si>
  <si>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</si>
  <si>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</si>
  <si>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</si>
  <si>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</si>
  <si>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</si>
  <si>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</si>
  <si>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</si>
  <si>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</si>
  <si>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</si>
  <si>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</si>
  <si>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</si>
  <si>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</si>
  <si>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</si>
  <si>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</si>
  <si>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</si>
  <si>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</si>
  <si>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</si>
  <si>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</si>
  <si>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</si>
  <si>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</si>
  <si>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</si>
  <si>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</si>
  <si>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</si>
  <si>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</si>
  <si>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</si>
  <si>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</si>
  <si>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</si>
  <si>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</si>
  <si>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</si>
  <si>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</si>
  <si>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</si>
  <si>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</si>
  <si>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</si>
  <si>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</si>
  <si>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</si>
  <si>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</si>
  <si>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</si>
  <si>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</si>
  <si>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</si>
  <si>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</si>
  <si>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</si>
  <si>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</si>
  <si>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</si>
  <si>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</si>
  <si>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</si>
  <si>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</si>
  <si>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</si>
  <si>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</si>
  <si>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</si>
  <si>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</si>
  <si>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</si>
  <si>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</si>
  <si>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</si>
  <si>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</si>
  <si>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</si>
  <si>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</si>
  <si>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</si>
  <si>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</si>
  <si>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</si>
  <si>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</si>
  <si>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</si>
  <si>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</si>
  <si>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</si>
  <si>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</si>
  <si>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</si>
  <si>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</si>
  <si>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</si>
  <si>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</si>
  <si>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</si>
  <si>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</si>
  <si>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</si>
  <si>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</si>
  <si>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</si>
  <si>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</si>
  <si>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</si>
  <si>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</si>
  <si>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</si>
  <si>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</si>
  <si>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</si>
  <si>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</si>
  <si>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</si>
  <si>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</si>
  <si>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</si>
  <si>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</si>
  <si>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</si>
  <si>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</si>
  <si>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</si>
  <si>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</si>
  <si>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</si>
  <si>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</si>
  <si>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</si>
  <si>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</si>
  <si>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</si>
  <si>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</si>
  <si>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</si>
  <si>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</si>
  <si>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</si>
  <si>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</si>
  <si>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</si>
  <si>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</si>
  <si>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</si>
  <si>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</si>
  <si>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</si>
  <si>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</si>
  <si>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</si>
  <si>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</si>
  <si>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</si>
  <si>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</si>
  <si>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</si>
  <si>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</si>
  <si>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</si>
  <si>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</si>
  <si>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</si>
  <si>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</si>
  <si>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</si>
  <si>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</si>
  <si>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</si>
  <si>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</si>
  <si>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</si>
  <si>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</si>
  <si>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</si>
  <si>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</si>
  <si>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</si>
  <si>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</si>
  <si>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</si>
  <si>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</si>
  <si>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</si>
  <si>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</si>
  <si>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</si>
  <si>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</si>
  <si>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</si>
  <si>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</si>
  <si>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</si>
  <si>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</si>
  <si>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</si>
  <si>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</si>
  <si>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</si>
  <si>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</si>
  <si>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</si>
  <si>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</si>
  <si>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</si>
  <si>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</si>
  <si>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</si>
  <si>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</si>
  <si>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</si>
  <si>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</si>
  <si>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</si>
  <si>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</si>
  <si>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</si>
  <si>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</si>
  <si>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</si>
  <si>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</si>
  <si>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</si>
  <si>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</si>
  <si>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</si>
  <si>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</si>
  <si>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</si>
  <si>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</si>
  <si>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</si>
  <si>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</si>
  <si>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</si>
  <si>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</si>
  <si>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</si>
  <si>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</si>
  <si>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</si>
  <si>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</si>
  <si>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</si>
  <si>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</si>
  <si>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</si>
  <si>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</si>
  <si>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</si>
  <si>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</si>
  <si>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</si>
  <si>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</si>
  <si>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</si>
  <si>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</si>
  <si>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</si>
  <si>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</si>
  <si>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</si>
  <si>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</si>
  <si>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</si>
  <si>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</si>
  <si>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</si>
  <si>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</si>
  <si>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</si>
  <si>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</si>
  <si>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</si>
  <si>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</si>
  <si>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</si>
  <si>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</si>
  <si>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</si>
  <si>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</si>
  <si>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</si>
  <si>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</si>
  <si>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</si>
  <si>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</si>
  <si>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</si>
  <si>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</si>
  <si>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</si>
  <si>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</si>
  <si>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</si>
  <si>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</si>
  <si>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</si>
  <si>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</si>
  <si>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</si>
  <si>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</si>
  <si>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</si>
  <si>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</si>
  <si>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</si>
  <si>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</si>
  <si>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</si>
  <si>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</si>
  <si>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</si>
  <si>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</si>
  <si>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</si>
  <si>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</si>
  <si>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</si>
  <si>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</si>
  <si>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</si>
  <si>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</si>
  <si>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</si>
  <si>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</si>
  <si>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</si>
  <si>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</si>
  <si>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</si>
  <si>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</si>
  <si>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</si>
  <si>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</si>
  <si>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</si>
  <si>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</si>
  <si>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</si>
  <si>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</si>
  <si>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</si>
  <si>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</si>
  <si>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</si>
  <si>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</si>
  <si>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</si>
  <si>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</si>
  <si>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</si>
  <si>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</si>
  <si>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</si>
  <si>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</si>
  <si>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</si>
  <si>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</si>
  <si>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</si>
  <si>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</si>
  <si>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</si>
  <si>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</si>
  <si>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</si>
  <si>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</si>
  <si>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</si>
  <si>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</si>
  <si>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</si>
  <si>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</si>
  <si>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</si>
  <si>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</si>
  <si>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</si>
  <si>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</si>
  <si>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</si>
  <si>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</si>
  <si>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</si>
  <si>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</si>
  <si>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</si>
  <si>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</si>
  <si>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</si>
  <si>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</si>
  <si>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</si>
  <si>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</si>
  <si>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</si>
  <si>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</si>
  <si>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</si>
  <si>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</si>
  <si>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</si>
  <si>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</si>
  <si>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</si>
  <si>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</si>
  <si>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</si>
  <si>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</si>
  <si>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</si>
  <si>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</si>
  <si>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</si>
  <si>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</si>
  <si>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</si>
  <si>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</si>
  <si>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</si>
  <si>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</si>
  <si>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</si>
  <si>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</si>
  <si>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</si>
  <si>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</si>
  <si>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</si>
  <si>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</si>
  <si>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</si>
  <si>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</si>
  <si>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</si>
  <si>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</si>
  <si>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</si>
  <si>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</si>
  <si>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</si>
  <si>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</si>
  <si>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</si>
  <si>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</si>
  <si>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</si>
  <si>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</si>
  <si>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</si>
  <si>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</si>
  <si>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</si>
  <si>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</si>
  <si>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</si>
  <si>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</si>
  <si>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</si>
  <si>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</si>
  <si>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</si>
  <si>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</si>
  <si>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</si>
  <si>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</si>
  <si>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</si>
  <si>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</si>
  <si>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</si>
  <si>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</si>
  <si>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</si>
  <si>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</si>
  <si>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</si>
  <si>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</si>
  <si>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</si>
  <si>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</si>
  <si>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</si>
  <si>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</si>
  <si>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</si>
  <si>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</si>
  <si>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</si>
  <si>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</si>
  <si>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</si>
  <si>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</si>
  <si>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</si>
  <si>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</si>
  <si>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</si>
  <si>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</si>
  <si>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</si>
  <si>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</si>
  <si>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</si>
  <si>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</si>
  <si>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</si>
  <si>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</si>
  <si>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</si>
  <si>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</si>
  <si>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</si>
  <si>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</si>
  <si>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</si>
  <si>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</si>
  <si>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</si>
  <si>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</si>
  <si>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</si>
  <si>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</si>
  <si>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</si>
  <si>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</si>
  <si>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</si>
  <si>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</si>
  <si>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</si>
  <si>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</si>
  <si>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</si>
  <si>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</si>
  <si>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</si>
  <si>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</si>
  <si>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</si>
  <si>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</si>
  <si>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</si>
  <si>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</si>
  <si>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</si>
  <si>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</si>
  <si>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</si>
  <si>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</si>
  <si>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</si>
  <si>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</si>
  <si>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</si>
  <si>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</si>
  <si>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</si>
  <si>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</si>
  <si>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</si>
  <si>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</si>
  <si>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</si>
  <si>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</si>
  <si>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</si>
  <si>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</si>
  <si>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</si>
  <si>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</si>
  <si>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</si>
  <si>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</si>
  <si>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</si>
  <si>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</si>
  <si>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</si>
  <si>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</si>
  <si>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</si>
  <si>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</si>
  <si>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</si>
  <si>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</si>
  <si>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</si>
  <si>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</si>
  <si>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</si>
  <si>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</si>
  <si>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</si>
  <si>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</si>
  <si>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</si>
  <si>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</si>
  <si>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</si>
  <si>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</si>
  <si>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</si>
  <si>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</si>
  <si>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</si>
  <si>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</si>
  <si>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</si>
  <si>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</si>
  <si>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</si>
  <si>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</si>
  <si>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</si>
  <si>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</si>
  <si>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</si>
  <si>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</si>
  <si>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</si>
  <si>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</si>
  <si>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</si>
  <si>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</si>
  <si>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</si>
  <si>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</si>
  <si>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</si>
  <si>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</si>
  <si>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</si>
  <si>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</si>
  <si>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</si>
  <si>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</si>
  <si>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</si>
  <si>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</si>
  <si>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</si>
  <si>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</si>
  <si>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</si>
  <si>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</si>
  <si>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</si>
  <si>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</si>
  <si>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</si>
  <si>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</si>
  <si>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</si>
  <si>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</si>
  <si>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</si>
  <si>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</si>
  <si>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</si>
  <si>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</si>
  <si>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</si>
  <si>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</si>
  <si>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</si>
  <si>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</si>
  <si>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</si>
  <si>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</si>
  <si>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</si>
  <si>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</si>
  <si>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</si>
  <si>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</si>
  <si>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</si>
  <si>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</si>
  <si>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</si>
  <si>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</si>
  <si>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</si>
  <si>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</si>
  <si>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</si>
  <si>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</si>
  <si>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</si>
  <si>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</si>
  <si>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</si>
  <si>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</si>
  <si>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</si>
  <si>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</si>
  <si>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</si>
  <si>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</si>
  <si>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</si>
  <si>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</si>
  <si>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</si>
  <si>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</si>
  <si>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</si>
  <si>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</si>
  <si>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</si>
  <si>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</si>
  <si>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</si>
  <si>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</si>
  <si>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</si>
  <si>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</si>
  <si>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</si>
  <si>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</si>
  <si>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</si>
  <si>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</si>
  <si>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</si>
  <si>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</si>
  <si>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</si>
  <si>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</si>
  <si>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</si>
  <si>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</si>
  <si>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</si>
  <si>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</si>
  <si>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</si>
  <si>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</si>
  <si>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</si>
  <si>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</si>
  <si>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</si>
  <si>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</si>
  <si>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</si>
  <si>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</si>
  <si>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</si>
  <si>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</si>
  <si>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</si>
  <si>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</si>
  <si>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</si>
  <si>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</si>
  <si>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</si>
  <si>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</si>
  <si>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</si>
  <si>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</si>
  <si>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</si>
  <si>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</si>
  <si>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</si>
  <si>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</si>
  <si>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</si>
  <si>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</si>
  <si>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</si>
  <si>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</si>
  <si>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</si>
  <si>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</si>
  <si>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</si>
  <si>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</si>
  <si>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</si>
  <si>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</si>
  <si>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</si>
  <si>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</si>
  <si>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</si>
  <si>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</si>
  <si>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</si>
  <si>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</si>
  <si>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</si>
  <si>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</si>
  <si>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</si>
  <si>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</si>
  <si>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</si>
  <si>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</si>
  <si>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</si>
  <si>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</si>
  <si>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</si>
  <si>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</si>
  <si>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</si>
  <si>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</si>
  <si>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</si>
  <si>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</si>
  <si>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</si>
  <si>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</si>
  <si>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</si>
  <si>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</si>
  <si>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</si>
  <si>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</si>
  <si>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</si>
  <si>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</si>
  <si>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</si>
  <si>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</si>
  <si>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</si>
  <si>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</si>
  <si>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</si>
  <si>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</si>
  <si>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</si>
  <si>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</si>
  <si>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</si>
  <si>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</si>
  <si>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</si>
  <si>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</si>
  <si>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</si>
  <si>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</si>
  <si>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</si>
  <si>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</si>
  <si>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</si>
  <si>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</si>
  <si>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</si>
  <si>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</si>
  <si>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</si>
  <si>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</si>
  <si>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</si>
  <si>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</si>
  <si>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</si>
  <si>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</si>
  <si>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</si>
  <si>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</si>
  <si>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</si>
  <si>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</si>
  <si>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</si>
  <si>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</si>
  <si>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</si>
  <si>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</si>
  <si>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</si>
  <si>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</si>
  <si>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</si>
  <si>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</si>
  <si>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</si>
  <si>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</si>
  <si>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</si>
  <si>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</si>
  <si>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</si>
  <si>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</si>
  <si>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</si>
  <si>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</si>
  <si>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</si>
  <si>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</si>
  <si>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</si>
  <si>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</si>
  <si>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</si>
  <si>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</si>
  <si>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</si>
  <si>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</si>
  <si>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</si>
  <si>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</si>
  <si>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</si>
  <si>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</si>
  <si>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</si>
  <si>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</si>
  <si>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</si>
  <si>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</si>
  <si>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</si>
  <si>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</si>
  <si>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</si>
  <si>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</si>
  <si>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</si>
  <si>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</si>
  <si>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</si>
  <si>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</si>
  <si>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</si>
  <si>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</si>
  <si>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</si>
  <si>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</si>
  <si>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</si>
  <si>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</si>
  <si>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</si>
  <si>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</si>
  <si>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</si>
  <si>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</si>
  <si>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</si>
  <si>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</si>
  <si>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</si>
  <si>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</si>
  <si>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</si>
  <si>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</si>
  <si>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</si>
  <si>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</si>
  <si>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</si>
  <si>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</si>
  <si>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</si>
  <si>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</si>
  <si>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</si>
  <si>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</si>
  <si>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</si>
  <si>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</si>
  <si>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</si>
  <si>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</si>
  <si>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</si>
  <si>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</si>
  <si>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</si>
  <si>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</si>
  <si>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</si>
  <si>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</si>
  <si>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</si>
  <si>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</si>
  <si>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</si>
  <si>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</si>
  <si>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</si>
  <si>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</si>
  <si>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</si>
  <si>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</si>
  <si>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</si>
  <si>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</si>
  <si>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</si>
  <si>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</si>
  <si>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</si>
  <si>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</si>
  <si>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</si>
  <si>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</si>
  <si>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</si>
  <si>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</si>
  <si>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</si>
  <si>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</si>
  <si>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</si>
  <si>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</si>
  <si>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</si>
  <si>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</si>
  <si>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</si>
  <si>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</si>
  <si>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</si>
  <si>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</si>
  <si>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</si>
  <si>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</si>
  <si>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</si>
  <si>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</si>
  <si>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</si>
  <si>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</si>
  <si>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</si>
  <si>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</si>
  <si>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</si>
  <si>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</si>
  <si>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</si>
  <si>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</si>
  <si>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</si>
  <si>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</si>
  <si>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</si>
  <si>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</si>
  <si>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</si>
  <si>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</si>
  <si>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</si>
  <si>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</si>
  <si>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</si>
  <si>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</si>
  <si>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</si>
  <si>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</si>
  <si>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</si>
  <si>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</si>
  <si>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</si>
  <si>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</si>
  <si>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</si>
  <si>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</si>
  <si>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</si>
  <si>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</si>
  <si>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</si>
  <si>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</si>
  <si>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</si>
  <si>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</si>
  <si>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</si>
  <si>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</si>
  <si>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</si>
  <si>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</si>
  <si>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</si>
  <si>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</si>
  <si>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</si>
  <si>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</si>
  <si>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</si>
  <si>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</si>
  <si>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</si>
  <si>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</si>
  <si>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</si>
  <si>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</si>
  <si>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</si>
  <si>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</si>
  <si>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</si>
  <si>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</si>
  <si>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</si>
  <si>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</si>
  <si>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</si>
  <si>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</si>
  <si>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</si>
  <si>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</si>
  <si>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</si>
  <si>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</si>
  <si>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</si>
  <si>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</si>
  <si>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</si>
  <si>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</si>
  <si>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</si>
  <si>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</si>
  <si>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</si>
  <si>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</si>
  <si>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</si>
  <si>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</si>
  <si>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</si>
  <si>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</si>
  <si>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</si>
  <si>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</si>
  <si>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</si>
  <si>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</si>
  <si>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</si>
  <si>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</si>
  <si>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</si>
  <si>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</si>
  <si>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</si>
  <si>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</si>
  <si>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</si>
  <si>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</si>
  <si>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</si>
  <si>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</si>
  <si>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</si>
  <si>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</si>
  <si>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</si>
  <si>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</si>
  <si>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</si>
  <si>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</si>
  <si>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</si>
  <si>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</si>
  <si>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</si>
  <si>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</si>
  <si>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</si>
  <si>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</si>
  <si>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</si>
  <si>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</si>
  <si>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</si>
  <si>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</si>
  <si>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</si>
  <si>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</si>
  <si>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</si>
  <si>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</si>
  <si>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</si>
  <si>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</si>
  <si>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</si>
  <si>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</si>
  <si>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</si>
  <si>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</si>
  <si>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</si>
  <si>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</si>
  <si>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</si>
  <si>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</si>
  <si>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</si>
  <si>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</si>
  <si>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</si>
  <si>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</si>
  <si>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</si>
  <si>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</si>
  <si>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</si>
  <si>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</si>
  <si>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</si>
  <si>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</si>
  <si>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</si>
  <si>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</si>
  <si>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</si>
  <si>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</si>
  <si>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</si>
  <si>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</si>
  <si>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</si>
  <si>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</si>
  <si>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</si>
  <si>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</si>
  <si>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</si>
  <si>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</si>
  <si>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</si>
  <si>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</si>
  <si>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</si>
  <si>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</si>
  <si>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</si>
  <si>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</si>
  <si>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</si>
  <si>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</si>
  <si>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</si>
  <si>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</si>
  <si>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</si>
  <si>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</si>
  <si>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</si>
  <si>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</si>
  <si>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</si>
  <si>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</si>
  <si>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</si>
  <si>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</si>
  <si>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</si>
  <si>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</si>
  <si>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</si>
  <si>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</si>
  <si>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</si>
  <si>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</si>
  <si>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</si>
  <si>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</si>
  <si>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</si>
  <si>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</si>
  <si>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</si>
  <si>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</si>
  <si>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</si>
  <si>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</si>
  <si>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</si>
  <si>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</si>
  <si>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</si>
  <si>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</si>
  <si>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</si>
  <si>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</si>
  <si>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</si>
  <si>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</si>
  <si>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</si>
  <si>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</si>
  <si>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</si>
  <si>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</si>
  <si>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</si>
  <si>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</si>
  <si>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</si>
  <si>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</si>
  <si>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</si>
  <si>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</si>
  <si>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</si>
  <si>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</si>
  <si>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</si>
  <si>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</si>
  <si>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</si>
  <si>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</si>
  <si>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</si>
  <si>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</si>
  <si>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</si>
  <si>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</si>
  <si>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</si>
  <si>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</si>
  <si>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</si>
  <si>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</si>
  <si>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</si>
  <si>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</si>
  <si>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</si>
  <si>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</si>
  <si>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</si>
  <si>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</si>
  <si>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</si>
  <si>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</si>
  <si>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</si>
  <si>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</si>
  <si>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</si>
  <si>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</si>
  <si>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</si>
  <si>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</si>
  <si>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</si>
  <si>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</si>
  <si>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</si>
  <si>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</si>
  <si>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</si>
  <si>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</si>
  <si>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</si>
  <si>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</si>
  <si>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</si>
  <si>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</si>
  <si>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</si>
  <si>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</si>
  <si>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</si>
  <si>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</si>
  <si>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</si>
  <si>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</si>
  <si>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</si>
  <si>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</si>
  <si>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</si>
  <si>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</si>
  <si>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</si>
  <si>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</si>
  <si>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</si>
  <si>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</si>
  <si>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</si>
  <si>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</si>
  <si>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</si>
  <si>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</si>
  <si>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</si>
  <si>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</si>
  <si>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</si>
  <si>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</si>
  <si>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</si>
  <si>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</si>
  <si>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</si>
  <si>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</si>
  <si>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</si>
  <si>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</si>
  <si>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</si>
  <si>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</si>
  <si>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</si>
  <si>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</si>
  <si>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</si>
  <si>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</si>
  <si>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</si>
  <si>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</si>
  <si>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</si>
  <si>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</si>
  <si>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</si>
  <si>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</si>
  <si>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</si>
  <si>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</si>
  <si>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</si>
  <si>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</si>
  <si>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</si>
  <si>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</si>
  <si>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</si>
  <si>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</si>
  <si>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</si>
  <si>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</si>
  <si>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</si>
  <si>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</si>
  <si>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</si>
  <si>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</si>
  <si>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</si>
  <si>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</si>
  <si>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</si>
  <si>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</si>
  <si>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</si>
  <si>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</si>
  <si>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</si>
  <si>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</si>
  <si>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</si>
  <si>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</si>
  <si>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</si>
  <si>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</si>
  <si>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</si>
  <si>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</si>
  <si>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</si>
  <si>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</si>
  <si>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</si>
  <si>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</si>
  <si>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</si>
  <si>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</si>
  <si>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</si>
  <si>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</si>
  <si>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</si>
  <si>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</si>
  <si>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</si>
  <si>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</si>
  <si>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</si>
  <si>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</si>
  <si>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</si>
  <si>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</si>
  <si>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</si>
  <si>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</si>
  <si>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</si>
  <si>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</si>
  <si>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</si>
  <si>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</si>
  <si>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</si>
  <si>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</si>
  <si>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</si>
  <si>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</si>
  <si>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</si>
  <si>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</si>
  <si>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</si>
  <si>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</si>
  <si>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</si>
  <si>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</si>
  <si>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</si>
  <si>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</si>
  <si>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</si>
  <si>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</si>
  <si>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</si>
  <si>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</si>
  <si>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</si>
  <si>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</si>
  <si>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</si>
  <si>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</si>
  <si>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</si>
  <si>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</si>
  <si>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</si>
  <si>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</si>
  <si>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</si>
  <si>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</si>
  <si>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</si>
  <si>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</si>
  <si>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</si>
  <si>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</si>
  <si>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</si>
  <si>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</si>
  <si>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</si>
  <si>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</si>
  <si>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</si>
  <si>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</si>
  <si>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</si>
  <si>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</si>
  <si>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</si>
  <si>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</si>
  <si>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</si>
  <si>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</si>
  <si>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</si>
  <si>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</si>
  <si>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</si>
  <si>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</si>
  <si>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</si>
  <si>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</si>
  <si>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</si>
  <si>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</si>
  <si>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</si>
  <si>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</si>
  <si>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</si>
  <si>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</si>
  <si>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</si>
  <si>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</si>
  <si>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</si>
  <si>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</si>
  <si>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</si>
  <si>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</si>
  <si>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</si>
  <si>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</si>
  <si>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</si>
  <si>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</si>
  <si>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</si>
  <si>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</si>
  <si>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</si>
  <si>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</si>
  <si>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</si>
  <si>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</si>
  <si>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</si>
  <si>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</si>
  <si>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</si>
  <si>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</si>
  <si>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</si>
  <si>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</si>
  <si>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</si>
  <si>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</si>
  <si>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</si>
  <si>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</si>
  <si>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</si>
  <si>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</si>
  <si>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</si>
  <si>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</si>
  <si>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</si>
  <si>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</si>
  <si>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</si>
  <si>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</si>
  <si>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</si>
  <si>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</si>
  <si>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</si>
  <si>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</si>
  <si>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</si>
  <si>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</si>
  <si>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</si>
  <si>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</si>
  <si>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</si>
  <si>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</si>
  <si>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</si>
  <si>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</si>
  <si>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</si>
  <si>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</si>
  <si>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</si>
  <si>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</si>
  <si>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</si>
  <si>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</si>
  <si>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</si>
  <si>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</si>
  <si>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</si>
  <si>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</si>
  <si>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</si>
  <si>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</si>
  <si>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</si>
  <si>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</si>
  <si>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</si>
  <si>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</si>
  <si>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</si>
  <si>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</si>
  <si>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</si>
  <si>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</si>
  <si>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</si>
  <si>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</si>
  <si>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</si>
  <si>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</si>
  <si>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</si>
  <si>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</si>
  <si>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</si>
  <si>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</si>
  <si>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</si>
  <si>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</si>
  <si>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</si>
  <si>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</si>
  <si>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</si>
  <si>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</si>
  <si>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</si>
  <si>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</si>
  <si>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</si>
  <si>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</si>
  <si>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</si>
  <si>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</si>
  <si>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</si>
  <si>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</si>
  <si>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</si>
  <si>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</si>
  <si>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</si>
  <si>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</si>
  <si>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</si>
  <si>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</si>
  <si>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</si>
  <si>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</si>
  <si>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</si>
  <si>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</si>
  <si>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</si>
  <si>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</si>
  <si>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</si>
  <si>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</si>
  <si>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</si>
  <si>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</si>
  <si>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</si>
  <si>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</si>
  <si>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</si>
  <si>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</si>
  <si>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</si>
  <si>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</si>
  <si>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</si>
  <si>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</si>
  <si>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</si>
  <si>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</si>
  <si>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</si>
  <si>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</si>
  <si>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</si>
  <si>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</si>
  <si>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</si>
  <si>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</si>
  <si>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</si>
  <si>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</si>
  <si>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</si>
  <si>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</si>
  <si>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</si>
  <si>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</si>
  <si>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</si>
  <si>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</si>
  <si>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</si>
  <si>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</si>
  <si>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</si>
  <si>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</si>
  <si>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</si>
  <si>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</si>
  <si>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</si>
  <si>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</si>
  <si>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</si>
  <si>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</si>
  <si>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</si>
  <si>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</si>
  <si>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</si>
  <si>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</si>
  <si>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</si>
  <si>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</si>
  <si>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</si>
  <si>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</si>
  <si>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</si>
  <si>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</si>
  <si>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</si>
  <si>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</si>
  <si>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</si>
  <si>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</si>
  <si>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</si>
  <si>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</si>
  <si>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</si>
  <si>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</si>
  <si>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</si>
  <si>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</si>
  <si>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</si>
  <si>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</si>
  <si>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</si>
  <si>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</si>
  <si>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</si>
  <si>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</si>
  <si>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</si>
  <si>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</si>
  <si>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</si>
  <si>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</si>
  <si>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</si>
  <si>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</si>
  <si>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</si>
  <si>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</si>
  <si>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</si>
  <si>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</si>
  <si>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</si>
  <si>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</si>
  <si>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</si>
  <si>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</si>
  <si>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</si>
  <si>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</si>
  <si>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</si>
  <si>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</si>
  <si>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</si>
  <si>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</si>
  <si>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</si>
  <si>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</si>
  <si>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</si>
  <si>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</si>
  <si>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</si>
  <si>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</si>
  <si>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</si>
  <si>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</si>
  <si>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</si>
  <si>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</si>
  <si>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</si>
  <si>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</si>
  <si>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</si>
  <si>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</si>
  <si>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</si>
  <si>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</si>
  <si>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</si>
  <si>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</si>
  <si>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</si>
  <si>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</si>
  <si>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</si>
  <si>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</si>
  <si>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</si>
  <si>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</si>
  <si>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</si>
  <si>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</si>
  <si>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</si>
  <si>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</si>
  <si>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</si>
  <si>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</si>
  <si>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</si>
  <si>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</si>
  <si>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</si>
  <si>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</si>
  <si>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</si>
  <si>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</si>
  <si>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</si>
  <si>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</si>
  <si>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</si>
  <si>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</si>
  <si>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</si>
  <si>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</si>
  <si>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</si>
  <si>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</si>
  <si>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</si>
  <si>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</si>
  <si>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</si>
  <si>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</si>
  <si>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</si>
  <si>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</si>
  <si>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</si>
  <si>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</si>
  <si>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</si>
  <si>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</si>
  <si>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</si>
  <si>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</si>
  <si>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</si>
  <si>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</si>
  <si>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</si>
  <si>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</si>
  <si>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</si>
  <si>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</si>
  <si>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</si>
  <si>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</si>
  <si>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</si>
  <si>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</si>
  <si>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</si>
  <si>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</si>
  <si>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</si>
  <si>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</si>
  <si>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</si>
  <si>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</si>
  <si>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</si>
  <si>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</si>
  <si>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</si>
  <si>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</si>
  <si>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</si>
  <si>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</si>
  <si>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</si>
  <si>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</si>
  <si>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</si>
  <si>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</si>
  <si>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</si>
  <si>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</si>
  <si>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</si>
  <si>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</si>
  <si>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</si>
  <si>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</si>
  <si>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</si>
  <si>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</si>
  <si>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</si>
  <si>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</si>
  <si>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</si>
  <si>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</si>
  <si>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</si>
  <si>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</si>
  <si>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</si>
  <si>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</si>
  <si>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</si>
  <si>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</si>
  <si>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</si>
  <si>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</si>
  <si>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</si>
  <si>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</si>
  <si>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</si>
  <si>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</si>
  <si>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</si>
  <si>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</si>
  <si>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</si>
  <si>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</si>
  <si>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</si>
  <si>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</si>
  <si>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</si>
  <si>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</si>
  <si>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</si>
  <si>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</si>
  <si>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</si>
  <si>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</si>
  <si>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</si>
  <si>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</si>
  <si>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</si>
  <si>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</si>
  <si>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</si>
  <si>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</si>
  <si>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</si>
  <si>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</si>
  <si>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</si>
  <si>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</si>
  <si>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</si>
  <si>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</si>
  <si>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</si>
  <si>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</si>
  <si>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</si>
  <si>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</si>
  <si>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</si>
  <si>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</si>
  <si>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</si>
  <si>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</si>
  <si>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</si>
  <si>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</si>
  <si>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</si>
  <si>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</si>
  <si>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</si>
  <si>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</si>
  <si>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</si>
  <si>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</si>
  <si>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</si>
  <si>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</si>
  <si>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</si>
  <si>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</si>
  <si>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</si>
  <si>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</si>
  <si>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</si>
  <si>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</si>
  <si>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</si>
  <si>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</si>
  <si>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</si>
  <si>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</si>
  <si>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</si>
  <si>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</si>
  <si>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</si>
  <si>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</si>
  <si>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</si>
  <si>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</si>
  <si>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</si>
  <si>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</si>
  <si>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</si>
  <si>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</si>
  <si>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</si>
  <si>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</si>
  <si>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</si>
  <si>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</si>
  <si>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</si>
  <si>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</si>
  <si>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</si>
  <si>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</si>
  <si>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</si>
  <si>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</si>
  <si>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</si>
  <si>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</si>
  <si>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</si>
  <si>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</si>
  <si>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</si>
  <si>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</si>
  <si>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</si>
  <si>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</si>
  <si>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</si>
  <si>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</si>
  <si>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</si>
  <si>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</si>
  <si>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</si>
  <si>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</si>
  <si>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</si>
  <si>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</si>
  <si>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</si>
  <si>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</si>
  <si>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</si>
  <si>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</si>
  <si>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</si>
  <si>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</si>
  <si>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</si>
  <si>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</si>
  <si>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</si>
  <si>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</si>
  <si>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</si>
  <si>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</si>
  <si>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</si>
  <si>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</si>
  <si>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</si>
  <si>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</si>
  <si>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</si>
  <si>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</si>
  <si>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</si>
  <si>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</si>
  <si>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</si>
  <si>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</si>
  <si>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</si>
  <si>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</si>
  <si>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</si>
  <si>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</si>
  <si>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</si>
  <si>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</si>
  <si>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</si>
  <si>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</si>
  <si>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</si>
  <si>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</si>
  <si>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</si>
  <si>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</si>
  <si>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</si>
  <si>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</si>
  <si>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</si>
  <si>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</si>
  <si>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</si>
  <si>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</si>
  <si>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</si>
  <si>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</si>
  <si>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</si>
  <si>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</si>
  <si>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</si>
  <si>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</si>
  <si>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</si>
  <si>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</si>
  <si>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</si>
  <si>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</si>
  <si>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</si>
  <si>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</si>
  <si>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</si>
  <si>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</si>
  <si>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</si>
  <si>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</si>
  <si>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</si>
  <si>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</si>
  <si>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</si>
  <si>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</si>
  <si>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</si>
  <si>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</si>
  <si>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</si>
  <si>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</si>
  <si>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</si>
  <si>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</si>
  <si>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</si>
  <si>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</si>
  <si>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</si>
  <si>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</si>
  <si>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</si>
  <si>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</si>
  <si>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</si>
  <si>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</si>
  <si>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</si>
  <si>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</si>
  <si>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</si>
  <si>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</si>
  <si>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</si>
  <si>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</si>
  <si>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</si>
  <si>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</si>
  <si>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</si>
  <si>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</si>
  <si>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</si>
  <si>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</si>
  <si>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</si>
  <si>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</si>
  <si>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</si>
  <si>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</si>
  <si>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</si>
  <si>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</si>
  <si>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</si>
  <si>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</si>
  <si>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</si>
  <si>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</si>
  <si>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</si>
  <si>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</si>
  <si>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</si>
  <si>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</si>
  <si>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</si>
  <si>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</si>
  <si>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</si>
  <si>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</si>
  <si>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</si>
  <si>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</si>
  <si>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</si>
  <si>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</si>
  <si>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</si>
  <si>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</si>
  <si>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</si>
  <si>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</si>
  <si>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</si>
  <si>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</si>
  <si>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</si>
  <si>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</si>
  <si>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</si>
  <si>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</si>
  <si>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</si>
  <si>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</si>
  <si>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</si>
  <si>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</si>
  <si>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</si>
  <si>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</si>
  <si>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</si>
  <si>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</si>
  <si>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</si>
  <si>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</si>
  <si>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</si>
  <si>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</si>
  <si>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</si>
  <si>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</si>
  <si>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</si>
  <si>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</si>
  <si>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</si>
  <si>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</si>
  <si>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</si>
  <si>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</si>
  <si>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</si>
  <si>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</si>
  <si>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</si>
  <si>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</si>
  <si>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</si>
  <si>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</si>
  <si>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</si>
  <si>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</si>
  <si>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</si>
  <si>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</si>
  <si>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</si>
  <si>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</si>
  <si>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</si>
  <si>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</si>
  <si>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</si>
  <si>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</si>
  <si>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</si>
  <si>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</si>
  <si>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</si>
  <si>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</si>
  <si>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</si>
  <si>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</si>
  <si>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</si>
  <si>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</si>
  <si>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</si>
  <si>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</si>
  <si>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</si>
  <si>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</si>
  <si>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</si>
  <si>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</si>
  <si>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</si>
  <si>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</si>
  <si>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</si>
  <si>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</si>
  <si>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</si>
  <si>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</si>
  <si>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</si>
  <si>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</si>
  <si>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</si>
  <si>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</si>
  <si>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</si>
  <si>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</si>
  <si>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</si>
  <si>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</si>
  <si>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</si>
  <si>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</si>
  <si>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</si>
  <si>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</si>
  <si>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</si>
  <si>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</si>
  <si>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</si>
  <si>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</si>
  <si>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</si>
  <si>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</si>
  <si>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</si>
  <si>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</si>
  <si>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</si>
  <si>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</si>
  <si>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</si>
  <si>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</si>
  <si>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</si>
  <si>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</si>
  <si>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</si>
  <si>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</si>
  <si>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</si>
  <si>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</si>
  <si>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</si>
  <si>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</si>
  <si>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</si>
  <si>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</si>
  <si>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</si>
  <si>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</si>
  <si>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</si>
  <si>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</si>
  <si>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</si>
  <si>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</si>
  <si>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</si>
  <si>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</si>
  <si>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</si>
  <si>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</si>
  <si>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</si>
  <si>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</si>
  <si>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</si>
  <si>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</si>
  <si>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</si>
  <si>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</si>
  <si>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</si>
  <si>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</si>
  <si>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</si>
  <si>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</si>
  <si>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</si>
  <si>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</si>
  <si>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</si>
  <si>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</si>
  <si>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</si>
  <si>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</si>
  <si>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</si>
  <si>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</si>
  <si>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</si>
  <si>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</si>
  <si>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</si>
  <si>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</si>
  <si>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</si>
  <si>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</si>
  <si>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</si>
  <si>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</si>
  <si>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</si>
  <si>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</si>
  <si>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</si>
  <si>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</si>
  <si>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</si>
  <si>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</si>
  <si>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</si>
  <si>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</si>
  <si>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</si>
  <si>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</si>
  <si>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</si>
  <si>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</si>
  <si>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</si>
  <si>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</si>
  <si>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</si>
  <si>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</si>
  <si>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</si>
  <si>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</si>
  <si>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</si>
  <si>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</si>
  <si>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</si>
  <si>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</si>
  <si>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</si>
  <si>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</si>
  <si>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</si>
  <si>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</si>
  <si>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</si>
  <si>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</si>
  <si>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</si>
  <si>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</si>
  <si>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</si>
  <si>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</si>
  <si>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</si>
  <si>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</si>
  <si>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</si>
  <si>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</si>
  <si>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</si>
  <si>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</si>
  <si>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</si>
  <si>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</si>
  <si>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</si>
  <si>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</si>
  <si>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</si>
  <si>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</si>
  <si>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</si>
  <si>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</si>
  <si>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</si>
  <si>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</si>
  <si>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</si>
  <si>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</si>
  <si>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</si>
  <si>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</si>
  <si>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</si>
  <si>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</si>
  <si>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</si>
  <si>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</si>
  <si>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</si>
  <si>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</si>
  <si>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</si>
  <si>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</si>
  <si>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</si>
  <si>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</si>
  <si>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</si>
  <si>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</si>
  <si>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</si>
  <si>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</si>
  <si>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</si>
  <si>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</si>
  <si>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</si>
  <si>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</si>
  <si>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</si>
  <si>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</si>
  <si>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</si>
  <si>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</si>
  <si>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</si>
  <si>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</si>
  <si>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</si>
  <si>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</si>
  <si>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</si>
  <si>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</si>
  <si>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</si>
  <si>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</si>
  <si>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</si>
  <si>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</si>
  <si>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</si>
  <si>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</si>
  <si>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</si>
  <si>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</si>
  <si>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</si>
  <si>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</si>
  <si>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</si>
  <si>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</si>
  <si>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</si>
  <si>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</si>
  <si>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</si>
  <si>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</si>
  <si>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</si>
  <si>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</si>
  <si>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</si>
  <si>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</si>
  <si>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</si>
  <si>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</si>
  <si>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</si>
  <si>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</si>
  <si>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</si>
  <si>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</si>
  <si>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</si>
  <si>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</si>
  <si>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</si>
  <si>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</si>
  <si>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</si>
  <si>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</si>
  <si>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</si>
  <si>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</si>
  <si>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</si>
  <si>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</si>
  <si>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</si>
  <si>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</si>
  <si>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</si>
  <si>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</si>
  <si>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</si>
  <si>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</si>
  <si>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</si>
  <si>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</si>
  <si>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</si>
  <si>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</si>
  <si>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</si>
  <si>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</si>
  <si>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</si>
  <si>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</si>
  <si>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</si>
  <si>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</si>
  <si>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</si>
  <si>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</si>
  <si>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</si>
  <si>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</si>
  <si>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</si>
  <si>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</si>
  <si>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</si>
  <si>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</si>
  <si>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</si>
  <si>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</si>
  <si>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</si>
  <si>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</si>
  <si>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</si>
  <si>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</si>
  <si>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</si>
  <si>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</si>
  <si>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</si>
  <si>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</si>
  <si>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</si>
  <si>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</si>
  <si>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</si>
  <si>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</si>
  <si>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</si>
  <si>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</si>
  <si>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</si>
  <si>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</si>
  <si>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</si>
  <si>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</si>
  <si>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</si>
  <si>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</si>
  <si>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</si>
  <si>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</si>
  <si>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</si>
  <si>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</si>
  <si>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</si>
  <si>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</si>
  <si>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</si>
  <si>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</si>
  <si>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</si>
  <si>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</si>
  <si>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</si>
  <si>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</si>
  <si>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</si>
  <si>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</si>
  <si>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</si>
  <si>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</si>
  <si>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</si>
  <si>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</si>
  <si>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</si>
  <si>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</si>
  <si>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</si>
  <si>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</si>
  <si>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</si>
  <si>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</si>
  <si>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</si>
  <si>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</si>
  <si>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</si>
  <si>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</si>
  <si>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</si>
  <si>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</si>
  <si>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</si>
  <si>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</si>
  <si>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</si>
  <si>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</si>
  <si>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</si>
  <si>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</si>
  <si>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</si>
  <si>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</si>
  <si>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</si>
  <si>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</si>
  <si>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</si>
  <si>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</si>
  <si>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</si>
  <si>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</si>
  <si>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</si>
  <si>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</si>
  <si>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</si>
  <si>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</si>
  <si>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</si>
  <si>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</si>
  <si>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</si>
  <si>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</si>
  <si>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</si>
  <si>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</si>
  <si>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</si>
  <si>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</si>
  <si>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</si>
  <si>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</si>
  <si>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</si>
  <si>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</si>
  <si>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</si>
  <si>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</si>
  <si>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</si>
  <si>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</si>
  <si>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</si>
  <si>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</si>
  <si>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</si>
  <si>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</si>
  <si>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</si>
  <si>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</si>
  <si>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</si>
  <si>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</si>
  <si>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</si>
  <si>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</si>
  <si>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</si>
  <si>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</si>
  <si>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</si>
  <si>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</si>
  <si>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</si>
  <si>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</si>
  <si>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</si>
  <si>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</si>
  <si>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</si>
  <si>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</si>
  <si>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</si>
  <si>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</si>
  <si>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</si>
  <si>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</si>
  <si>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</si>
  <si>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</si>
  <si>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</si>
  <si>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</si>
  <si>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</si>
  <si>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</si>
  <si>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</si>
  <si>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</si>
  <si>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</si>
  <si>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</si>
  <si>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</si>
  <si>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</si>
  <si>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</si>
  <si>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</si>
  <si>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</si>
  <si>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</si>
  <si>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</si>
  <si>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</si>
  <si>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</si>
  <si>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</si>
  <si>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</si>
  <si>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</si>
  <si>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</si>
  <si>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</si>
  <si>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</si>
  <si>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</si>
  <si>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</si>
  <si>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</si>
  <si>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</si>
  <si>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</si>
  <si>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</si>
  <si>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</si>
  <si>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</si>
  <si>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</si>
  <si>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</si>
  <si>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</si>
  <si>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</si>
  <si>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</si>
  <si>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</si>
  <si>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</si>
  <si>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</si>
  <si>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</si>
  <si>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</si>
  <si>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</si>
  <si>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</si>
  <si>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</si>
  <si>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</si>
  <si>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</si>
  <si>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</si>
  <si>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</si>
  <si>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</si>
  <si>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</si>
  <si>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</si>
  <si>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</si>
  <si>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</si>
  <si>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</si>
  <si>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</si>
  <si>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</si>
  <si>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</si>
  <si>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</si>
  <si>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</si>
  <si>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</si>
  <si>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</si>
  <si>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</si>
  <si>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</si>
  <si>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</si>
  <si>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</si>
  <si>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</si>
  <si>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</si>
  <si>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</si>
  <si>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</si>
  <si>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</si>
  <si>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</si>
  <si>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</si>
  <si>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</si>
  <si>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</si>
  <si>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</si>
  <si>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</si>
  <si>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</si>
  <si>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</si>
  <si>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</si>
  <si>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</si>
  <si>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</si>
  <si>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</si>
  <si>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</si>
  <si>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</si>
  <si>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</si>
  <si>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</si>
  <si>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</si>
  <si>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</si>
  <si>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</si>
  <si>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</si>
  <si>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</si>
  <si>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</si>
  <si>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</si>
  <si>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</si>
  <si>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</si>
  <si>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</si>
  <si>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</si>
  <si>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</si>
  <si>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</si>
  <si>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</si>
  <si>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</si>
  <si>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</si>
  <si>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</si>
  <si>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</si>
  <si>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</si>
  <si>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</si>
  <si>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</si>
  <si>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</si>
  <si>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</si>
  <si>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</si>
  <si>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</si>
  <si>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</si>
  <si>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</si>
  <si>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</si>
  <si>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</si>
  <si>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</si>
  <si>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</si>
  <si>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</si>
  <si>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</si>
  <si>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</si>
  <si>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</si>
  <si>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</si>
  <si>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</si>
  <si>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</si>
  <si>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</si>
  <si>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</si>
  <si>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</si>
  <si>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</si>
  <si>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</si>
  <si>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</si>
  <si>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</si>
  <si>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</si>
  <si>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</si>
  <si>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</si>
  <si>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</si>
  <si>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</si>
  <si>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</si>
  <si>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</si>
  <si>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</si>
  <si>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</si>
  <si>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</si>
  <si>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</si>
  <si>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</si>
  <si>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</si>
  <si>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</si>
  <si>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</si>
  <si>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</si>
  <si>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</si>
  <si>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</si>
  <si>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</si>
  <si>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</si>
  <si>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</si>
  <si>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</si>
  <si>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</si>
  <si>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</si>
  <si>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</si>
  <si>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</si>
  <si>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</si>
  <si>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</si>
  <si>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</si>
  <si>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</si>
  <si>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</si>
  <si>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</si>
  <si>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</si>
  <si>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</si>
  <si>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</si>
  <si>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</si>
  <si>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</si>
  <si>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</si>
  <si>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</si>
  <si>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</si>
  <si>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</si>
  <si>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</si>
  <si>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</si>
  <si>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</si>
  <si>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</si>
  <si>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</si>
  <si>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</si>
  <si>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</si>
  <si>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</si>
  <si>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</si>
  <si>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</si>
  <si>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</si>
  <si>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</si>
  <si>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</si>
  <si>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</si>
  <si>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</si>
  <si>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</si>
  <si>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</si>
  <si>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</si>
  <si>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</si>
  <si>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</si>
  <si>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</si>
  <si>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</si>
  <si>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</si>
  <si>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</si>
  <si>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</si>
  <si>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</si>
  <si>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</si>
  <si>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</si>
  <si>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</si>
  <si>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</si>
  <si>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</si>
  <si>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</si>
  <si>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</si>
  <si>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</si>
  <si>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</si>
  <si>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</si>
  <si>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</si>
  <si>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</si>
  <si>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</si>
  <si>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</si>
  <si>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</si>
  <si>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</si>
  <si>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</si>
  <si>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</si>
  <si>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</si>
  <si>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</si>
  <si>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</si>
  <si>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</si>
  <si>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</si>
  <si>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</si>
  <si>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</si>
  <si>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</si>
  <si>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</si>
  <si>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</si>
  <si>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</si>
  <si>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</si>
  <si>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</si>
  <si>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</si>
  <si>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</si>
  <si>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</si>
  <si>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</si>
  <si>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</si>
  <si>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</si>
  <si>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</si>
  <si>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</si>
  <si>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</si>
  <si>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</si>
  <si>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</si>
  <si>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</si>
  <si>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</si>
  <si>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</si>
  <si>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</si>
  <si>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</si>
  <si>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</si>
  <si>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</si>
  <si>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</si>
  <si>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</si>
  <si>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</si>
  <si>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</si>
  <si>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</si>
  <si>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</si>
  <si>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</si>
  <si>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</si>
  <si>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</si>
  <si>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</si>
  <si>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</si>
  <si>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</si>
  <si>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</si>
  <si>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</si>
  <si>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</si>
  <si>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</si>
  <si>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</si>
  <si>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</si>
  <si>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</si>
  <si>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</si>
  <si>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</si>
  <si>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</si>
  <si>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</si>
  <si>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</si>
  <si>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</si>
  <si>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</si>
  <si>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</si>
  <si>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</si>
  <si>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</si>
  <si>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</si>
  <si>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</si>
  <si>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</si>
  <si>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</si>
  <si>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</si>
  <si>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</si>
  <si>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</si>
  <si>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</si>
  <si>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</si>
  <si>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</si>
  <si>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</si>
  <si>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</si>
  <si>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</si>
  <si>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</si>
  <si>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</si>
  <si>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</si>
  <si>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</si>
  <si>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</si>
  <si>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</si>
  <si>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</si>
  <si>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</si>
  <si>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</si>
  <si>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</si>
  <si>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</si>
  <si>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</si>
  <si>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</si>
  <si>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</si>
  <si>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</si>
  <si>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</si>
  <si>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</si>
  <si>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</si>
  <si>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</si>
  <si>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</si>
  <si>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</si>
  <si>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</si>
  <si>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</si>
  <si>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</si>
  <si>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</si>
  <si>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</si>
  <si>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</si>
  <si>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</si>
  <si>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</si>
  <si>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</si>
  <si>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</si>
  <si>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</si>
  <si>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</si>
  <si>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</si>
  <si>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</si>
  <si>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</si>
  <si>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</si>
  <si>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</si>
  <si>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</si>
  <si>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</si>
  <si>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</si>
  <si>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</si>
  <si>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</si>
  <si>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</si>
  <si>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</si>
  <si>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</si>
  <si>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</si>
  <si>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</si>
  <si>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</si>
  <si>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</si>
  <si>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</si>
  <si>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</si>
  <si>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</si>
  <si>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</si>
  <si>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</si>
  <si>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</si>
  <si>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</si>
  <si>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</si>
  <si>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</si>
  <si>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</si>
  <si>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</si>
  <si>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</si>
  <si>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</si>
  <si>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</si>
  <si>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</si>
  <si>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</si>
  <si>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</si>
  <si>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</si>
  <si>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</si>
  <si>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</si>
  <si>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</si>
  <si>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</si>
  <si>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</si>
  <si>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</si>
  <si>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</si>
  <si>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</si>
  <si>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</si>
  <si>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</si>
  <si>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</si>
  <si>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</si>
  <si>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</si>
  <si>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</si>
  <si>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</si>
  <si>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</si>
  <si>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</si>
  <si>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</si>
  <si>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</si>
  <si>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</si>
  <si>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</si>
  <si>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</si>
  <si>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</si>
  <si>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</si>
  <si>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</si>
  <si>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</si>
  <si>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</si>
  <si>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</si>
  <si>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</si>
  <si>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</si>
  <si>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</si>
  <si>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</si>
  <si>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</si>
  <si>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</si>
  <si>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</si>
  <si>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</si>
  <si>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</si>
  <si>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</si>
  <si>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</si>
  <si>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</si>
  <si>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</si>
  <si>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</si>
  <si>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</si>
  <si>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</si>
  <si>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</si>
  <si>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</si>
  <si>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</si>
  <si>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</si>
  <si>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</si>
  <si>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</si>
  <si>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</si>
  <si>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</si>
  <si>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</si>
  <si>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</si>
  <si>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</si>
  <si>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</si>
  <si>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</si>
  <si>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</si>
  <si>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</si>
  <si>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</si>
  <si>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</si>
  <si>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</si>
  <si>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</si>
  <si>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</si>
  <si>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</si>
  <si>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</si>
  <si>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</si>
  <si>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</si>
  <si>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</si>
  <si>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</si>
  <si>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</si>
  <si>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</si>
  <si>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</si>
  <si>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</si>
  <si>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</si>
  <si>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</si>
  <si>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</si>
  <si>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</si>
  <si>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</si>
  <si>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</si>
  <si>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</si>
  <si>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</si>
  <si>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</si>
  <si>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</si>
  <si>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</si>
  <si>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</si>
  <si>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</si>
  <si>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</si>
  <si>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</si>
  <si>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</si>
  <si>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</si>
  <si>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</si>
  <si>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</si>
  <si>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</si>
  <si>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</si>
  <si>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</si>
  <si>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</si>
  <si>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</si>
  <si>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</si>
  <si>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</si>
  <si>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</si>
  <si>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</si>
  <si>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</si>
  <si>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</si>
  <si>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</si>
  <si>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</si>
  <si>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</si>
  <si>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</si>
  <si>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</si>
  <si>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</si>
  <si>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</si>
  <si>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</si>
  <si>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</si>
  <si>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</si>
  <si>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</si>
  <si>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</si>
  <si>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</si>
  <si>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</si>
  <si>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</si>
  <si>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</si>
  <si>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</si>
  <si>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</si>
  <si>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</si>
  <si>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</si>
  <si>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</si>
  <si>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</si>
  <si>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</si>
  <si>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</si>
  <si>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</si>
  <si>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</si>
  <si>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</si>
  <si>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</si>
  <si>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</si>
  <si>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</si>
  <si>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</si>
  <si>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</si>
  <si>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</si>
  <si>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</si>
  <si>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</si>
  <si>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</si>
  <si>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</si>
  <si>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</si>
  <si>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</si>
  <si>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</si>
  <si>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</si>
  <si>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</si>
  <si>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</si>
  <si>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</si>
  <si>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</si>
  <si>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</si>
  <si>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</si>
  <si>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</si>
  <si>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</si>
  <si>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</si>
  <si>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</si>
  <si>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</si>
  <si>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</si>
  <si>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</si>
  <si>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</si>
  <si>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</si>
  <si>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</si>
  <si>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</si>
  <si>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</si>
  <si>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</si>
  <si>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</si>
  <si>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</si>
  <si>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</si>
  <si>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</si>
  <si>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</si>
  <si>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</si>
  <si>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</si>
  <si>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</si>
  <si>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</si>
  <si>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</si>
  <si>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</si>
  <si>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</si>
  <si>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</si>
  <si>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</si>
  <si>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</si>
  <si>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</si>
  <si>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</si>
  <si>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</si>
  <si>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</si>
  <si>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</si>
  <si>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</si>
  <si>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</si>
  <si>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</si>
  <si>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</si>
  <si>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</si>
  <si>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</si>
  <si>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</si>
  <si>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</si>
  <si>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</si>
  <si>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</si>
  <si>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</si>
  <si>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</si>
  <si>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</si>
  <si>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</si>
  <si>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</si>
  <si>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</si>
  <si>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</si>
  <si>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</si>
  <si>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</si>
  <si>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</si>
  <si>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</si>
  <si>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</si>
  <si>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</si>
  <si>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</si>
  <si>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</si>
  <si>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</si>
  <si>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</si>
  <si>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</si>
  <si>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</si>
  <si>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</si>
  <si>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</si>
  <si>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</si>
  <si>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</si>
  <si>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</si>
  <si>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</si>
  <si>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</si>
  <si>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</si>
  <si>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</si>
  <si>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</si>
  <si>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</si>
  <si>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</si>
  <si>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</si>
  <si>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</si>
  <si>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</si>
  <si>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</si>
  <si>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</si>
  <si>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</si>
  <si>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</si>
  <si>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</si>
  <si>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</si>
  <si>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</si>
  <si>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</si>
  <si>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</si>
  <si>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</si>
  <si>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</si>
  <si>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</si>
  <si>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</si>
  <si>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</si>
  <si>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</si>
  <si>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</si>
  <si>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</si>
  <si>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</si>
  <si>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</si>
  <si>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</si>
  <si>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</si>
  <si>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</si>
  <si>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</si>
  <si>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</si>
  <si>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</si>
  <si>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</si>
  <si>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</si>
  <si>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</si>
  <si>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</si>
  <si>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</si>
  <si>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</si>
  <si>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</si>
  <si>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</si>
  <si>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</si>
  <si>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</si>
  <si>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</si>
  <si>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</si>
  <si>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</si>
  <si>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</si>
  <si>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</si>
  <si>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</si>
  <si>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</si>
  <si>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</si>
  <si>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</si>
  <si>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</si>
  <si>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</si>
  <si>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</si>
  <si>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</si>
  <si>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</si>
  <si>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</si>
  <si>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</si>
  <si>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</si>
  <si>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</si>
  <si>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</si>
  <si>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</si>
  <si>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</si>
  <si>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</si>
  <si>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</si>
  <si>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</si>
  <si>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</si>
  <si>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</si>
  <si>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</si>
  <si>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</si>
  <si>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</si>
  <si>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</si>
  <si>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</si>
  <si>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</si>
  <si>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</si>
  <si>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</si>
  <si>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</si>
  <si>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</si>
  <si>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</si>
  <si>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</si>
  <si>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</si>
  <si>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</si>
  <si>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</si>
  <si>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</si>
  <si>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</si>
  <si>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</si>
  <si>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</si>
  <si>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</si>
  <si>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</si>
  <si>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</si>
  <si>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</si>
  <si>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</si>
  <si>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</si>
  <si>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</si>
  <si>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</si>
  <si>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</si>
  <si>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</si>
  <si>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</si>
  <si>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</si>
  <si>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</si>
  <si>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</si>
  <si>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</si>
  <si>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</si>
  <si>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</si>
  <si>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</si>
  <si>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</si>
  <si>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</si>
  <si>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</si>
  <si>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</si>
  <si>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</si>
  <si>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</si>
  <si>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</si>
  <si>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</si>
  <si>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</si>
  <si>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</si>
  <si>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</si>
  <si>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</si>
  <si>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</si>
  <si>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</si>
  <si>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</si>
  <si>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</si>
  <si>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</si>
  <si>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</si>
  <si>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</si>
  <si>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</si>
  <si>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</si>
  <si>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</si>
  <si>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</si>
  <si>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</si>
  <si>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</si>
  <si>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</si>
  <si>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</si>
  <si>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</si>
  <si>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</si>
  <si>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</si>
  <si>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</si>
  <si>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</si>
  <si>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</si>
  <si>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</si>
  <si>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</si>
  <si>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</si>
  <si>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</si>
  <si>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</si>
  <si>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</si>
  <si>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</si>
  <si>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</si>
  <si>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</si>
  <si>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</si>
  <si>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</si>
  <si>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</si>
  <si>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</si>
  <si>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</si>
  <si>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</si>
  <si>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</si>
  <si>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</si>
  <si>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</si>
  <si>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</si>
  <si>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</si>
  <si>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</si>
  <si>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</si>
  <si>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</si>
  <si>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</si>
  <si>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</si>
  <si>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</si>
  <si>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</si>
  <si>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</si>
  <si>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</si>
  <si>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</si>
  <si>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</si>
  <si>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</si>
  <si>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</si>
  <si>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</si>
  <si>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</si>
  <si>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</si>
  <si>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</si>
  <si>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</si>
  <si>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</si>
  <si>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</si>
  <si>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</si>
  <si>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</si>
  <si>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</si>
  <si>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</si>
  <si>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</si>
  <si>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</si>
  <si>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</si>
  <si>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</si>
  <si>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</si>
  <si>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</si>
  <si>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</si>
  <si>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</si>
  <si>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</si>
  <si>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</si>
  <si>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</si>
  <si>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</si>
  <si>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</si>
  <si>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</si>
  <si>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</si>
  <si>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</si>
  <si>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</si>
  <si>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</si>
  <si>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</si>
  <si>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</si>
  <si>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</si>
  <si>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</si>
  <si>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</si>
  <si>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</si>
  <si>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</si>
  <si>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</si>
  <si>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</si>
  <si>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</si>
  <si>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</si>
  <si>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</si>
  <si>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</si>
  <si>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</si>
  <si>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</si>
  <si>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</si>
  <si>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</si>
  <si>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</si>
  <si>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</si>
  <si>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</si>
  <si>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</si>
  <si>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</si>
  <si>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</si>
  <si>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</si>
  <si>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</si>
  <si>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</si>
  <si>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</si>
  <si>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</si>
  <si>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</si>
  <si>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</si>
  <si>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</si>
  <si>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</si>
  <si>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</si>
  <si>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</si>
  <si>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</si>
  <si>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</si>
  <si>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</si>
  <si>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</si>
  <si>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</si>
  <si>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</si>
  <si>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</si>
  <si>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</si>
  <si>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</si>
  <si>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</si>
  <si>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</si>
  <si>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</si>
  <si>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</si>
  <si>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</si>
  <si>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</si>
  <si>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</si>
  <si>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</si>
  <si>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</si>
  <si>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</si>
  <si>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</si>
  <si>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</si>
  <si>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</si>
  <si>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</si>
  <si>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</si>
  <si>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</si>
  <si>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</si>
  <si>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</si>
  <si>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</si>
  <si>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</si>
  <si>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</si>
  <si>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</si>
  <si>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</si>
  <si>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</si>
  <si>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</si>
  <si>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</si>
  <si>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</si>
  <si>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</si>
  <si>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</si>
  <si>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</si>
  <si>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</si>
  <si>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</si>
  <si>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</si>
  <si>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</si>
  <si>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</si>
  <si>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</si>
  <si>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</si>
  <si>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</si>
  <si>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</si>
  <si>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</si>
  <si>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</si>
  <si>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</si>
  <si>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</si>
  <si>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</si>
  <si>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</si>
  <si>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</si>
  <si>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</si>
  <si>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</si>
  <si>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</si>
  <si>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</si>
  <si>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</si>
  <si>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</si>
  <si>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</si>
  <si>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</si>
  <si>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</si>
  <si>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</si>
  <si>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</si>
  <si>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</si>
  <si>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</si>
  <si>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</si>
  <si>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</si>
  <si>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</si>
  <si>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</si>
  <si>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</si>
  <si>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</si>
  <si>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</si>
  <si>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</si>
  <si>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</si>
  <si>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</si>
  <si>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</si>
  <si>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</si>
  <si>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</si>
  <si>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</si>
  <si>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</si>
  <si>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</si>
  <si>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</si>
  <si>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</si>
  <si>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</si>
  <si>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</si>
  <si>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</si>
  <si>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</si>
  <si>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</si>
  <si>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</si>
  <si>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</si>
  <si>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</si>
  <si>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</si>
  <si>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</si>
  <si>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</si>
  <si>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</si>
  <si>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</si>
  <si>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</si>
  <si>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</si>
  <si>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</si>
  <si>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</si>
  <si>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</si>
  <si>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</si>
  <si>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</si>
  <si>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</si>
  <si>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</si>
  <si>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</si>
  <si>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</si>
  <si>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</si>
  <si>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</si>
  <si>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</si>
  <si>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</si>
  <si>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</si>
  <si>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</si>
  <si>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</si>
  <si>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</si>
  <si>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</si>
  <si>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</si>
  <si>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</si>
  <si>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</si>
  <si>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</si>
  <si>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</si>
  <si>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</si>
  <si>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</si>
  <si>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</si>
  <si>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</si>
  <si>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</si>
  <si>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</si>
  <si>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</si>
  <si>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</si>
  <si>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</si>
  <si>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</si>
  <si>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</si>
  <si>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</si>
  <si>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</si>
  <si>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</si>
  <si>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</si>
  <si>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</si>
  <si>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</si>
  <si>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</si>
  <si>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</si>
  <si>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</si>
  <si>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</si>
  <si>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</si>
  <si>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</si>
  <si>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</si>
  <si>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</si>
  <si>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</si>
  <si>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</si>
  <si>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</si>
  <si>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</si>
  <si>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</si>
  <si>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</si>
  <si>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</si>
  <si>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</si>
  <si>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</si>
  <si>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</si>
  <si>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</si>
  <si>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</si>
  <si>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</si>
  <si>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</si>
  <si>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</si>
  <si>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</si>
  <si>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</si>
  <si>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</si>
  <si>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</si>
  <si>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</si>
  <si>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</si>
  <si>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</si>
  <si>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</si>
  <si>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</si>
  <si>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</si>
  <si>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</si>
  <si>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</si>
  <si>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</si>
  <si>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</si>
  <si>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</si>
  <si>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</si>
  <si>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</si>
  <si>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</si>
  <si>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</si>
  <si>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</si>
  <si>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</si>
  <si>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</si>
  <si>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</si>
  <si>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</si>
  <si>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</si>
  <si>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</si>
  <si>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</si>
  <si>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</si>
  <si>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</si>
  <si>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</si>
  <si>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</si>
  <si>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</si>
  <si>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</si>
  <si>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</si>
  <si>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</si>
  <si>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</si>
  <si>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</si>
  <si>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</si>
  <si>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</si>
  <si>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</si>
  <si>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</si>
  <si>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</si>
  <si>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</si>
  <si>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</si>
  <si>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</si>
  <si>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</si>
  <si>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</si>
  <si>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</si>
  <si>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</si>
  <si>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</si>
  <si>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</si>
  <si>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</si>
  <si>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</si>
  <si>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</si>
  <si>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</si>
  <si>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</si>
  <si>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</si>
  <si>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</si>
  <si>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</si>
  <si>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</si>
  <si>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</si>
  <si>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</si>
  <si>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</si>
  <si>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</si>
  <si>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</si>
  <si>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</si>
  <si>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</si>
  <si>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</si>
  <si>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</si>
  <si>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</si>
  <si>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</si>
  <si>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</si>
  <si>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</si>
  <si>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</si>
  <si>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</si>
  <si>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</si>
  <si>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</si>
  <si>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</si>
  <si>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</si>
  <si>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</si>
  <si>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</si>
  <si>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</si>
  <si>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</si>
  <si>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</si>
  <si>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</si>
  <si>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</si>
  <si>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</si>
  <si>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</si>
  <si>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</si>
  <si>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</si>
  <si>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</si>
  <si>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</si>
  <si>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</si>
  <si>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</si>
  <si>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</si>
  <si>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</si>
  <si>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</si>
  <si>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</si>
  <si>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</si>
  <si>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</si>
  <si>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</si>
  <si>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</si>
  <si>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</si>
  <si>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</si>
  <si>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</si>
  <si>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</si>
  <si>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</si>
  <si>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</si>
  <si>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</si>
  <si>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</si>
  <si>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</si>
  <si>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</si>
  <si>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</si>
  <si>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</si>
  <si>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</si>
  <si>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</si>
  <si>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</si>
  <si>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</si>
  <si>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</si>
  <si>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</si>
  <si>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</si>
  <si>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</si>
  <si>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</si>
  <si>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</si>
  <si>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</si>
  <si>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</si>
  <si>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</si>
  <si>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</si>
  <si>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</si>
  <si>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</si>
  <si>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</si>
  <si>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</si>
  <si>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</si>
  <si>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</si>
  <si>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</si>
  <si>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</si>
  <si>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</si>
  <si>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</si>
  <si>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</si>
  <si>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</si>
  <si>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</si>
  <si>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</si>
  <si>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</si>
  <si>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</si>
  <si>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</si>
  <si>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</si>
  <si>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</si>
  <si>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</si>
  <si>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</si>
  <si>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</si>
  <si>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</si>
  <si>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</si>
  <si>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</si>
  <si>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</si>
  <si>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</si>
  <si>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</si>
  <si>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</si>
  <si>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</si>
  <si>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</si>
  <si>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</si>
  <si>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</si>
  <si>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</si>
  <si>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</si>
  <si>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</si>
  <si>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</si>
  <si>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</si>
  <si>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</si>
  <si>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</si>
  <si>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</si>
  <si>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</si>
  <si>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</si>
  <si>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</si>
  <si>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</si>
  <si>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</si>
  <si>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</si>
  <si>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</si>
  <si>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</si>
  <si>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</si>
  <si>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</si>
  <si>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</si>
  <si>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</si>
  <si>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</si>
  <si>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</si>
  <si>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</si>
  <si>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</si>
  <si>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</si>
  <si>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</si>
  <si>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</si>
  <si>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</si>
  <si>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</si>
  <si>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</si>
  <si>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</si>
  <si>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</si>
  <si>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</si>
  <si>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</si>
  <si>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</si>
  <si>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</si>
  <si>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</si>
  <si>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</si>
  <si>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</si>
  <si>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</si>
  <si>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</si>
  <si>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</si>
  <si>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</si>
  <si>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</si>
  <si>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</si>
  <si>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</si>
  <si>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</si>
  <si>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</si>
  <si>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</si>
  <si>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</si>
  <si>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</si>
  <si>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</si>
  <si>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</si>
  <si>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</si>
  <si>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</si>
  <si>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</si>
  <si>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</si>
  <si>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</si>
  <si>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</si>
  <si>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</si>
  <si>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</si>
  <si>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</si>
  <si>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</si>
  <si>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</si>
  <si>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</si>
  <si>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</si>
  <si>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</si>
  <si>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</si>
  <si>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</si>
  <si>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</si>
  <si>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</si>
  <si>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</si>
  <si>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</si>
  <si>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</si>
  <si>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</si>
  <si>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</si>
  <si>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</si>
  <si>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</si>
  <si>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</si>
  <si>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</si>
  <si>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</si>
  <si>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</si>
  <si>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</si>
  <si>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</si>
  <si>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</si>
  <si>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</si>
  <si>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</si>
  <si>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</si>
  <si>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</si>
  <si>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</si>
  <si>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</si>
  <si>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</si>
  <si>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</si>
  <si>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</si>
  <si>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</si>
  <si>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</si>
  <si>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</si>
  <si>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</si>
  <si>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</si>
  <si>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</si>
  <si>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</si>
  <si>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</si>
  <si>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</si>
  <si>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</si>
  <si>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</si>
  <si>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</si>
  <si>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</si>
  <si>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</si>
  <si>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</si>
  <si>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</si>
  <si>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</si>
  <si>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</si>
  <si>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</si>
  <si>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</si>
  <si>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</si>
  <si>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</si>
  <si>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</si>
  <si>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</si>
  <si>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</si>
  <si>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</si>
  <si>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</si>
  <si>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</si>
  <si>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</si>
  <si>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</si>
  <si>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</si>
  <si>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</si>
  <si>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</si>
  <si>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</si>
  <si>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</si>
  <si>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</si>
  <si>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</si>
  <si>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</si>
  <si>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</si>
  <si>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</si>
  <si>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</si>
  <si>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</si>
  <si>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</si>
  <si>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</si>
  <si>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</si>
  <si>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</si>
  <si>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</si>
  <si>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</si>
  <si>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</si>
  <si>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</si>
  <si>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</si>
  <si>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</si>
  <si>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</si>
  <si>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</si>
  <si>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</si>
  <si>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</si>
  <si>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</si>
  <si>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</si>
  <si>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</si>
  <si>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</si>
  <si>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</si>
  <si>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</si>
  <si>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</si>
  <si>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</si>
  <si>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</si>
  <si>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</si>
  <si>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</si>
  <si>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</si>
  <si>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</si>
  <si>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</si>
  <si>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</si>
  <si>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</si>
  <si>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</si>
  <si>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</si>
  <si>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</si>
  <si>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</si>
  <si>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</si>
  <si>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</si>
  <si>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</si>
  <si>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</si>
  <si>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</si>
  <si>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</si>
  <si>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</si>
  <si>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</si>
  <si>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</si>
  <si>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</si>
  <si>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</si>
  <si>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</si>
  <si>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</si>
  <si>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</si>
  <si>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</si>
  <si>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</si>
  <si>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</si>
  <si>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</si>
  <si>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</si>
  <si>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</si>
  <si>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</si>
  <si>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</si>
  <si>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</si>
  <si>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</si>
  <si>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</si>
  <si>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</si>
  <si>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</si>
  <si>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</si>
  <si>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</si>
  <si>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</si>
  <si>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</si>
  <si>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</si>
  <si>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</si>
  <si>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</si>
  <si>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</si>
  <si>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</si>
  <si>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</si>
  <si>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</si>
  <si>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</si>
  <si>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</si>
  <si>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</si>
  <si>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</si>
  <si>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</si>
  <si>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</si>
  <si>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</si>
  <si>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</si>
  <si>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</si>
  <si>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</si>
  <si>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</si>
  <si>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</si>
  <si>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</si>
  <si>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</si>
  <si>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</si>
  <si>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</si>
  <si>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</si>
  <si>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</si>
  <si>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</si>
  <si>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</si>
  <si>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</si>
  <si>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</si>
  <si>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</si>
  <si>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</si>
  <si>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</si>
  <si>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</si>
  <si>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</si>
  <si>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</si>
  <si>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</si>
  <si>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</si>
  <si>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</si>
  <si>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</si>
  <si>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</si>
  <si>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</si>
  <si>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</si>
  <si>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</si>
  <si>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</si>
  <si>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</si>
  <si>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</si>
  <si>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</si>
  <si>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</si>
  <si>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</si>
  <si>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</si>
  <si>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</si>
  <si>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</si>
  <si>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</si>
  <si>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</si>
  <si>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</si>
  <si>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</si>
  <si>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</si>
  <si>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</si>
  <si>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</si>
  <si>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</si>
  <si>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</si>
  <si>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</si>
  <si>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</si>
  <si>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</si>
  <si>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</si>
  <si>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</si>
  <si>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</si>
  <si>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</si>
  <si>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</si>
  <si>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</si>
  <si>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</si>
  <si>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</si>
  <si>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</si>
  <si>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</si>
  <si>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</si>
  <si>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</si>
  <si>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</si>
  <si>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</si>
  <si>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</si>
  <si>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</si>
  <si>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</si>
  <si>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</si>
  <si>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</si>
  <si>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</si>
  <si>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</si>
  <si>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</si>
  <si>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</si>
  <si>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</si>
  <si>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</si>
  <si>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</si>
  <si>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</si>
  <si>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</si>
  <si>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</si>
  <si>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</si>
  <si>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</si>
  <si>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</si>
  <si>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</si>
  <si>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</si>
  <si>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</si>
  <si>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</si>
  <si>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</si>
  <si>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</si>
  <si>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</si>
  <si>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</si>
  <si>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</si>
  <si>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</si>
  <si>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</si>
  <si>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</si>
  <si>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</si>
  <si>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</si>
  <si>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</si>
  <si>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</si>
  <si>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</si>
  <si>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</si>
  <si>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</si>
  <si>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</si>
  <si>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</si>
  <si>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</si>
  <si>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</si>
  <si>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</si>
  <si>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</si>
  <si>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</si>
  <si>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</si>
  <si>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</si>
  <si>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</si>
  <si>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</si>
  <si>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</si>
  <si>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</si>
  <si>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</si>
  <si>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</si>
  <si>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</si>
  <si>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</si>
  <si>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</si>
  <si>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</si>
  <si>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</si>
  <si>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</si>
  <si>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</si>
  <si>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</si>
  <si>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</si>
  <si>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</si>
  <si>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</si>
  <si>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</si>
  <si>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</si>
  <si>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</si>
  <si>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</si>
  <si>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</si>
  <si>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</si>
  <si>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</si>
  <si>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</si>
  <si>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</si>
  <si>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</si>
  <si>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</si>
  <si>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</si>
  <si>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</si>
  <si>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</si>
  <si>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</si>
  <si>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</si>
  <si>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</si>
  <si>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</si>
  <si>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</si>
  <si>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</si>
  <si>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</si>
  <si>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</si>
  <si>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</si>
  <si>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</si>
  <si>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</si>
  <si>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</si>
  <si>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</si>
  <si>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</si>
  <si>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</si>
  <si>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</si>
  <si>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</si>
  <si>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</si>
  <si>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</si>
  <si>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</si>
  <si>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</si>
  <si>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</si>
  <si>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</si>
  <si>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</si>
  <si>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</si>
  <si>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</si>
  <si>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</si>
  <si>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</si>
  <si>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</si>
  <si>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</si>
  <si>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</si>
  <si>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</si>
  <si>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</si>
  <si>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</si>
  <si>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</si>
  <si>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</si>
  <si>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</si>
  <si>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</si>
  <si>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</si>
  <si>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</si>
  <si>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</si>
  <si>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</si>
  <si>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</si>
  <si>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</si>
  <si>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</si>
  <si>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</si>
  <si>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</si>
  <si>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</si>
  <si>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</si>
  <si>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</si>
  <si>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</si>
  <si>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</si>
  <si>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</si>
  <si>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</si>
  <si>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</si>
  <si>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</si>
  <si>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</si>
  <si>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</si>
  <si>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</si>
  <si>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</si>
  <si>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</si>
  <si>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</si>
  <si>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</si>
  <si>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</si>
  <si>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</si>
  <si>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</si>
  <si>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</si>
  <si>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</si>
  <si>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</si>
  <si>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</si>
  <si>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</si>
  <si>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</si>
  <si>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</si>
  <si>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</si>
  <si>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</si>
  <si>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</si>
  <si>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</si>
  <si>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</si>
  <si>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</si>
  <si>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</si>
  <si>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</si>
  <si>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</si>
  <si>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</si>
  <si>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</si>
  <si>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</si>
  <si>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</si>
  <si>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</si>
  <si>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</si>
  <si>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</si>
  <si>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</si>
  <si>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</si>
  <si>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</si>
  <si>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</si>
  <si>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</si>
  <si>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</si>
  <si>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</si>
  <si>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</si>
  <si>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</si>
  <si>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</si>
  <si>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</si>
  <si>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</si>
  <si>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</si>
  <si>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</si>
  <si>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</si>
  <si>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</si>
  <si>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</si>
  <si>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</si>
  <si>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</si>
  <si>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</si>
  <si>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</si>
  <si>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</si>
  <si>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</si>
  <si>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</si>
  <si>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</si>
  <si>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</si>
  <si>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</si>
  <si>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</si>
  <si>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</si>
  <si>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</si>
  <si>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</si>
  <si>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</si>
  <si>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</si>
  <si>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</si>
  <si>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</si>
  <si>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</si>
  <si>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</si>
  <si>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</si>
  <si>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</si>
  <si>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</si>
  <si>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</si>
  <si>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</si>
  <si>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</si>
  <si>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</si>
  <si>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</si>
  <si>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</si>
  <si>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</si>
  <si>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</si>
  <si>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</si>
  <si>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</si>
  <si>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</si>
  <si>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</si>
  <si>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</si>
  <si>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</si>
  <si>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</si>
  <si>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</si>
  <si>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</si>
  <si>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</si>
  <si>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</si>
  <si>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</si>
  <si>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</si>
  <si>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</si>
  <si>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</si>
  <si>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</si>
  <si>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</si>
  <si>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</si>
  <si>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</si>
  <si>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</si>
  <si>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</si>
  <si>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</si>
  <si>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</si>
  <si>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</si>
  <si>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</si>
  <si>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</si>
  <si>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</si>
  <si>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</si>
  <si>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</si>
  <si>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</si>
  <si>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</si>
  <si>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</si>
  <si>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</si>
  <si>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</si>
  <si>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</si>
  <si>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</si>
  <si>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</si>
  <si>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</si>
  <si>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</si>
  <si>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</si>
  <si>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</si>
  <si>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</si>
  <si>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</si>
  <si>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</si>
  <si>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</si>
  <si>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</si>
  <si>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</si>
  <si>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</si>
  <si>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</si>
  <si>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</si>
  <si>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</si>
  <si>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</si>
  <si>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</si>
  <si>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</si>
  <si>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</si>
  <si>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</si>
  <si>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</si>
  <si>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</si>
  <si>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</si>
  <si>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</si>
  <si>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</si>
  <si>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</si>
  <si>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</si>
  <si>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</si>
  <si>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</si>
  <si>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</si>
  <si>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</si>
  <si>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</si>
  <si>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</si>
  <si>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</si>
  <si>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</si>
  <si>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</si>
  <si>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</si>
  <si>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</si>
  <si>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</si>
  <si>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</si>
  <si>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</si>
  <si>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</si>
  <si>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</si>
  <si>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</si>
  <si>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</si>
  <si>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</si>
  <si>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</si>
  <si>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</si>
  <si>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</si>
  <si>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</si>
  <si>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</si>
  <si>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</si>
  <si>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</si>
  <si>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</si>
  <si>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</si>
  <si>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</si>
  <si>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</si>
  <si>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</si>
  <si>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</si>
  <si>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</si>
  <si>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</si>
  <si>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</si>
  <si>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</si>
  <si>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</si>
  <si>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</si>
  <si>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</si>
  <si>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</si>
  <si>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</si>
  <si>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</si>
  <si>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</si>
  <si>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</si>
  <si>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</si>
  <si>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</si>
  <si>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</si>
  <si>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</si>
  <si>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</si>
  <si>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</si>
  <si>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</si>
  <si>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</si>
  <si>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</si>
  <si>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</si>
  <si>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</si>
  <si>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</si>
  <si>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</si>
  <si>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</si>
  <si>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</si>
  <si>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</si>
  <si>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</si>
  <si>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</si>
  <si>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</si>
  <si>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</si>
  <si>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</si>
  <si>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</si>
  <si>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</si>
  <si>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</si>
  <si>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</si>
  <si>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</si>
  <si>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</si>
  <si>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</si>
  <si>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</si>
  <si>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</si>
  <si>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</si>
  <si>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</si>
  <si>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</si>
  <si>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</si>
  <si>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</si>
  <si>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</si>
  <si>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</si>
  <si>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</si>
  <si>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</si>
  <si>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</si>
  <si>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</si>
  <si>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</si>
  <si>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</si>
  <si>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</si>
  <si>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</si>
  <si>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</si>
  <si>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</si>
  <si>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</si>
  <si>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</si>
  <si>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</si>
  <si>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</si>
  <si>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</si>
  <si>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</si>
  <si>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</si>
  <si>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</si>
  <si>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</si>
  <si>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</si>
  <si>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</si>
  <si>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</si>
  <si>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</si>
  <si>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</si>
  <si>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</si>
  <si>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</si>
  <si>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</si>
  <si>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</si>
  <si>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</si>
  <si>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</si>
  <si>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</si>
  <si>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</si>
  <si>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</si>
  <si>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</si>
  <si>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</si>
  <si>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</si>
  <si>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</si>
  <si>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</si>
  <si>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</si>
  <si>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</si>
  <si>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</si>
  <si>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</si>
  <si>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</si>
  <si>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</si>
  <si>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</si>
  <si>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</si>
  <si>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</si>
  <si>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</si>
  <si>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</si>
  <si>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</si>
  <si>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</si>
  <si>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</si>
  <si>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</si>
  <si>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</si>
  <si>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</si>
  <si>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</si>
  <si>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</si>
  <si>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</si>
  <si>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</si>
  <si>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</si>
  <si>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</si>
  <si>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</si>
  <si>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</si>
  <si>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</si>
  <si>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</si>
  <si>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</si>
  <si>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</si>
  <si>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</si>
  <si>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</si>
  <si>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</si>
  <si>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</si>
  <si>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</si>
  <si>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</si>
  <si>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</si>
  <si>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</si>
  <si>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</si>
  <si>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</si>
  <si>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</si>
  <si>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</si>
  <si>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</si>
  <si>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</si>
  <si>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</si>
  <si>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</si>
  <si>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</si>
  <si>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</si>
  <si>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</si>
  <si>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</si>
  <si>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</si>
  <si>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</si>
  <si>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</si>
  <si>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</si>
  <si>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</si>
  <si>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</si>
  <si>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</si>
  <si>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</si>
  <si>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</si>
  <si>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</si>
  <si>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</si>
  <si>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</si>
  <si>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</si>
  <si>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</si>
  <si>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</si>
  <si>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</si>
  <si>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</si>
  <si>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</si>
  <si>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</si>
  <si>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</si>
  <si>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</si>
  <si>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</si>
  <si>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</si>
  <si>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</si>
  <si>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</si>
  <si>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</si>
  <si>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</si>
  <si>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</si>
  <si>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</si>
  <si>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</si>
  <si>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</si>
  <si>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</si>
  <si>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</si>
  <si>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</si>
  <si>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</si>
  <si>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</si>
  <si>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</si>
  <si>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</si>
  <si>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</si>
  <si>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</si>
  <si>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</si>
  <si>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</si>
  <si>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</si>
  <si>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</si>
  <si>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</si>
  <si>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</si>
  <si>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</si>
  <si>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</si>
  <si>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</si>
  <si>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</si>
  <si>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</si>
  <si>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</si>
  <si>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</si>
  <si>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</si>
  <si>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</si>
  <si>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</si>
  <si>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</si>
  <si>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</si>
  <si>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</si>
  <si>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</si>
  <si>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</si>
  <si>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</si>
  <si>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</si>
  <si>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</si>
  <si>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</si>
  <si>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</si>
  <si>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</si>
  <si>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</si>
  <si>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</si>
  <si>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</si>
  <si>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</si>
  <si>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</si>
  <si>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</si>
  <si>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</si>
  <si>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</si>
  <si>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</si>
  <si>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</si>
  <si>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</si>
  <si>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</si>
  <si>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</si>
  <si>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</si>
  <si>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</si>
  <si>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</si>
  <si>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</si>
  <si>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</si>
  <si>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</si>
  <si>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</si>
  <si>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</si>
  <si>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</si>
  <si>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</si>
  <si>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</si>
  <si>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</si>
  <si>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</si>
  <si>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</si>
  <si>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</si>
  <si>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</si>
  <si>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</si>
  <si>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</si>
  <si>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</si>
  <si>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</si>
  <si>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</si>
  <si>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</si>
  <si>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</si>
  <si>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</si>
  <si>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</si>
  <si>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</si>
  <si>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</si>
  <si>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</si>
  <si>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</si>
  <si>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</si>
  <si>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</si>
  <si>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</si>
  <si>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</si>
  <si>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</si>
  <si>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</si>
  <si>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</si>
  <si>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</si>
  <si>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</si>
  <si>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</si>
  <si>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</si>
  <si>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</si>
  <si>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</si>
  <si>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</si>
  <si>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</si>
  <si>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</si>
  <si>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</si>
  <si>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</si>
  <si>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</si>
  <si>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</si>
  <si>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</si>
  <si>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</si>
  <si>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</si>
  <si>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</si>
  <si>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</si>
  <si>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</si>
  <si>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</si>
  <si>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</si>
  <si>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</si>
  <si>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</si>
  <si>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</si>
  <si>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</si>
  <si>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</si>
  <si>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</si>
  <si>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</si>
  <si>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</si>
  <si>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</si>
  <si>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</si>
  <si>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</si>
  <si>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</si>
  <si>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</si>
  <si>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</si>
  <si>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</si>
  <si>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</si>
  <si>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</si>
  <si>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</si>
  <si>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</si>
  <si>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</si>
  <si>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</si>
  <si>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</si>
  <si>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</si>
  <si>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</si>
  <si>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</si>
  <si>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</si>
  <si>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</si>
  <si>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</si>
  <si>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</si>
  <si>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</si>
  <si>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</si>
  <si>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</si>
  <si>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</si>
  <si>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</si>
  <si>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</si>
  <si>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</si>
  <si>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</si>
  <si>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</si>
  <si>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</si>
  <si>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</si>
  <si>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</si>
  <si>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</si>
  <si>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</si>
  <si>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</si>
  <si>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</si>
  <si>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</si>
  <si>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</si>
  <si>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</si>
  <si>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</si>
  <si>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</si>
  <si>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</si>
  <si>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</si>
  <si>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</si>
  <si>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</si>
  <si>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</si>
  <si>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</si>
  <si>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</si>
  <si>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</si>
  <si>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</si>
  <si>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</si>
  <si>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</si>
  <si>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</si>
  <si>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</si>
  <si>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</si>
  <si>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</si>
  <si>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</si>
  <si>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</si>
  <si>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</si>
  <si>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</si>
  <si>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</si>
  <si>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</si>
  <si>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</si>
  <si>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</si>
  <si>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</si>
  <si>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</si>
  <si>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</si>
  <si>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</si>
  <si>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</si>
  <si>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</si>
  <si>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</si>
  <si>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</si>
  <si>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</si>
  <si>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</si>
  <si>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</si>
  <si>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</si>
  <si>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</si>
  <si>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</si>
  <si>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</si>
  <si>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</si>
  <si>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</si>
  <si>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</si>
  <si>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</si>
  <si>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</si>
  <si>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</si>
  <si>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</si>
  <si>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</si>
  <si>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</si>
  <si>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</si>
  <si>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</si>
  <si>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</si>
  <si>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</si>
  <si>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</si>
  <si>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</si>
  <si>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</si>
  <si>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</si>
  <si>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</si>
  <si>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</si>
  <si>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</si>
  <si>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</si>
  <si>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</si>
  <si>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</si>
  <si>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</si>
  <si>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</si>
  <si>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</si>
  <si>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</si>
  <si>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</si>
  <si>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</si>
  <si>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</si>
  <si>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</si>
  <si>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</si>
  <si>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</si>
  <si>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</si>
  <si>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</si>
  <si>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</si>
  <si>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</si>
  <si>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</si>
  <si>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</si>
  <si>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</si>
  <si>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</si>
  <si>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</si>
  <si>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</si>
  <si>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</si>
  <si>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</si>
  <si>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</si>
  <si>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</si>
  <si>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</si>
  <si>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</si>
  <si>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</si>
  <si>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</si>
  <si>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</si>
  <si>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</si>
  <si>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</si>
  <si>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</si>
  <si>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</si>
  <si>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</si>
  <si>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</si>
  <si>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</si>
  <si>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</si>
  <si>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</si>
  <si>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</si>
  <si>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</si>
  <si>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</si>
  <si>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</si>
  <si>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</si>
  <si>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</si>
  <si>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</si>
  <si>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</si>
  <si>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</si>
  <si>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</si>
  <si>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</si>
  <si>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</si>
  <si>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</si>
  <si>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</si>
  <si>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</si>
  <si>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</si>
  <si>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</si>
  <si>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</si>
  <si>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</si>
  <si>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</si>
  <si>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</si>
  <si>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</si>
  <si>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</si>
  <si>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</si>
  <si>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</si>
  <si>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</si>
  <si>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</si>
  <si>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</si>
  <si>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</si>
  <si>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</si>
  <si>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</si>
  <si>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</si>
  <si>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</si>
  <si>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</si>
  <si>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</si>
  <si>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</si>
  <si>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</si>
  <si>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</si>
  <si>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</si>
  <si>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</si>
  <si>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</si>
  <si>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</si>
  <si>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</si>
  <si>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</si>
  <si>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</si>
  <si>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</si>
  <si>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</si>
  <si>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</si>
  <si>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</si>
  <si>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</si>
  <si>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</si>
  <si>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</si>
  <si>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</si>
  <si>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</si>
  <si>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</si>
  <si>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</si>
  <si>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</si>
  <si>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</si>
  <si>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</si>
  <si>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</si>
  <si>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</si>
  <si>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</si>
  <si>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</si>
  <si>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</si>
  <si>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</si>
  <si>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</si>
  <si>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</si>
  <si>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</si>
  <si>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</si>
  <si>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</si>
  <si>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</si>
  <si>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</si>
  <si>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</si>
  <si>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</si>
  <si>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</si>
  <si>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</si>
  <si>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</si>
  <si>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</si>
  <si>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</si>
  <si>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</si>
  <si>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</si>
  <si>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</si>
  <si>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</si>
  <si>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</si>
  <si>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</si>
  <si>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</si>
  <si>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</si>
  <si>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</si>
  <si>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</si>
  <si>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</si>
  <si>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</si>
  <si>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</si>
  <si>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</si>
  <si>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</si>
  <si>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</si>
  <si>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</si>
  <si>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</si>
  <si>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</si>
  <si>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</si>
  <si>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</si>
  <si>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</si>
  <si>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</si>
  <si>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</si>
  <si>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</si>
  <si>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</si>
  <si>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</si>
  <si>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</si>
  <si>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</si>
  <si>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</si>
  <si>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</si>
  <si>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</si>
  <si>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</si>
  <si>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</si>
  <si>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</si>
  <si>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</si>
  <si>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</si>
  <si>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</si>
  <si>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</si>
  <si>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</si>
  <si>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</si>
  <si>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</si>
  <si>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</si>
  <si>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</si>
  <si>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</si>
  <si>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</si>
  <si>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</si>
  <si>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</si>
  <si>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</si>
  <si>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</si>
  <si>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</si>
  <si>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</si>
  <si>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</si>
  <si>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</si>
  <si>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</si>
  <si>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</si>
  <si>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</si>
  <si>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</si>
  <si>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</si>
  <si>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</si>
  <si>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</si>
  <si>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</si>
  <si>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</si>
  <si>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</si>
  <si>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</si>
  <si>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</si>
  <si>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</si>
  <si>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</si>
  <si>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</si>
  <si>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</si>
  <si>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</si>
  <si>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</si>
  <si>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</si>
  <si>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</si>
  <si>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</si>
  <si>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</si>
  <si>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</si>
  <si>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</si>
  <si>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</si>
  <si>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</si>
  <si>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</si>
  <si>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</si>
  <si>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</si>
  <si>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</si>
  <si>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</si>
  <si>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</si>
  <si>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</si>
  <si>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</si>
  <si>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</si>
  <si>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</si>
  <si>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</si>
  <si>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</si>
  <si>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</si>
  <si>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</si>
  <si>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</si>
  <si>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</si>
  <si>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</si>
  <si>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</si>
  <si>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</si>
  <si>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</si>
  <si>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</si>
  <si>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</si>
  <si>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</si>
  <si>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</si>
  <si>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</si>
  <si>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</si>
  <si>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</si>
  <si>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</si>
  <si>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</si>
  <si>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</si>
  <si>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</si>
  <si>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</si>
  <si>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</si>
  <si>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</si>
  <si>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</si>
  <si>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</si>
  <si>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</si>
  <si>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</si>
  <si>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</si>
  <si>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</si>
  <si>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</si>
  <si>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</si>
  <si>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</si>
  <si>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</si>
  <si>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</si>
  <si>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</si>
  <si>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</si>
  <si>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</si>
  <si>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</si>
  <si>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</si>
  <si>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</si>
  <si>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</si>
  <si>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</si>
  <si>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</si>
  <si>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</si>
  <si>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</si>
  <si>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</si>
  <si>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</si>
  <si>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</si>
  <si>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</si>
  <si>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</si>
  <si>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</si>
  <si>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</si>
  <si>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</si>
  <si>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</si>
  <si>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</si>
  <si>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</si>
  <si>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</si>
  <si>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</si>
  <si>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</si>
  <si>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</si>
  <si>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</si>
  <si>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</si>
  <si>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</si>
  <si>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</si>
  <si>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</si>
  <si>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</si>
  <si>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</si>
  <si>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</si>
  <si>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</si>
  <si>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</si>
  <si>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</si>
  <si>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</si>
  <si>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</si>
  <si>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</si>
  <si>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</si>
  <si>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</si>
  <si>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</si>
  <si>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</si>
  <si>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</si>
  <si>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</si>
  <si>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</si>
  <si>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</si>
  <si>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</si>
  <si>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</si>
  <si>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</si>
  <si>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</si>
  <si>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</si>
  <si>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</si>
  <si>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</si>
  <si>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</si>
  <si>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</si>
  <si>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</si>
  <si>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</si>
  <si>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</si>
  <si>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</si>
  <si>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</si>
  <si>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</si>
  <si>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</si>
  <si>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</si>
  <si>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</si>
  <si>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</si>
  <si>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</si>
  <si>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</si>
  <si>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</si>
  <si>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</si>
  <si>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</si>
  <si>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</si>
  <si>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</si>
  <si>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</si>
  <si>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</si>
  <si>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</si>
  <si>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</si>
  <si>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</si>
  <si>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</si>
  <si>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</si>
  <si>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</si>
  <si>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</si>
  <si>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</si>
  <si>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</si>
  <si>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</si>
  <si>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</si>
  <si>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</si>
  <si>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</si>
  <si>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</si>
  <si>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</si>
  <si>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</si>
  <si>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</si>
  <si>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</si>
  <si>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</si>
  <si>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</si>
  <si>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</si>
  <si>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</si>
  <si>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</si>
  <si>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</si>
  <si>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</si>
  <si>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</si>
  <si>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</si>
  <si>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</si>
  <si>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</si>
  <si>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</si>
  <si>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</si>
  <si>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</si>
  <si>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</si>
  <si>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</si>
  <si>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</si>
  <si>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</si>
  <si>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</si>
  <si>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</si>
  <si>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</si>
  <si>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</si>
  <si>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</si>
  <si>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</si>
  <si>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</si>
  <si>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</si>
  <si>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</si>
  <si>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</si>
  <si>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</si>
  <si>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</si>
  <si>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</si>
  <si>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</si>
  <si>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</si>
  <si>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</si>
  <si>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</si>
  <si>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</si>
  <si>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</si>
  <si>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</si>
  <si>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</si>
  <si>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</si>
  <si>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</si>
  <si>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</si>
  <si>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</si>
  <si>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</si>
  <si>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</si>
  <si>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</si>
  <si>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</si>
  <si>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</si>
  <si>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</si>
  <si>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</si>
  <si>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</si>
  <si>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</si>
  <si>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</si>
  <si>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</si>
  <si>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</si>
  <si>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</si>
  <si>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</si>
  <si>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</si>
  <si>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</si>
  <si>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</si>
  <si>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</si>
  <si>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</si>
  <si>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</si>
  <si>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</si>
  <si>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</si>
  <si>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</si>
  <si>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</si>
  <si>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</si>
  <si>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</si>
  <si>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</si>
  <si>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</si>
  <si>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</si>
  <si>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</si>
  <si>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</si>
  <si>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</si>
  <si>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</si>
  <si>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</si>
  <si>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</si>
  <si>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</si>
  <si>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</si>
  <si>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</si>
  <si>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</si>
  <si>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</si>
  <si>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</si>
  <si>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</si>
  <si>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</si>
  <si>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</si>
  <si>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</si>
  <si>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</si>
  <si>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</si>
  <si>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</si>
  <si>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</si>
  <si>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</si>
  <si>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</si>
  <si>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</si>
  <si>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</si>
  <si>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</si>
  <si>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</si>
  <si>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</si>
  <si>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</si>
  <si>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</si>
  <si>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</si>
  <si>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</si>
  <si>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</si>
  <si>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</si>
  <si>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</si>
  <si>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</si>
  <si>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</si>
  <si>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</si>
  <si>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</si>
  <si>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</si>
  <si>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</si>
  <si>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</si>
  <si>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</si>
  <si>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</si>
  <si>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</si>
  <si>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</si>
  <si>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</si>
  <si>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</si>
  <si>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</si>
  <si>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</si>
  <si>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</si>
  <si>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</si>
  <si>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</si>
  <si>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</si>
  <si>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</si>
  <si>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</si>
  <si>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</si>
  <si>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</si>
  <si>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</si>
  <si>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</si>
  <si>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</si>
  <si>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</si>
  <si>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</si>
  <si>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</si>
  <si>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</si>
  <si>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</si>
  <si>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</si>
  <si>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</si>
  <si>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</si>
  <si>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</si>
  <si>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</si>
  <si>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</si>
  <si>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</si>
  <si>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</si>
  <si>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</si>
  <si>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</si>
  <si>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</si>
  <si>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</si>
  <si>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</si>
  <si>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</si>
  <si>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</si>
  <si>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</si>
  <si>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</si>
  <si>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</si>
  <si>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</si>
  <si>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</si>
  <si>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</si>
  <si>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</si>
  <si>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</si>
  <si>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</si>
  <si>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</si>
  <si>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</si>
  <si>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</si>
  <si>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</si>
  <si>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</si>
  <si>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</si>
  <si>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</si>
  <si>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</si>
  <si>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</si>
  <si>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</si>
  <si>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</si>
  <si>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</si>
  <si>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</si>
  <si>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</si>
  <si>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</si>
  <si>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</si>
  <si>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</si>
  <si>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</si>
  <si>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</si>
  <si>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</si>
  <si>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</si>
  <si>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</si>
  <si>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</si>
  <si>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</si>
  <si>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</si>
  <si>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</si>
  <si>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</si>
  <si>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</si>
  <si>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</si>
  <si>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</si>
  <si>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</si>
  <si>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</si>
  <si>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</si>
  <si>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</si>
  <si>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</si>
  <si>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</si>
  <si>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</si>
  <si>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</si>
  <si>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</si>
  <si>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</si>
  <si>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</si>
  <si>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</si>
  <si>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</si>
  <si>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</si>
  <si>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</si>
  <si>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</si>
  <si>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</si>
  <si>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</si>
  <si>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</si>
  <si>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</si>
  <si>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</si>
  <si>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</si>
  <si>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</si>
  <si>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</si>
  <si>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</si>
  <si>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</si>
  <si>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</si>
  <si>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</si>
  <si>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</si>
  <si>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</si>
  <si>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</si>
  <si>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</si>
  <si>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</si>
  <si>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</si>
  <si>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</si>
  <si>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</si>
  <si>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</si>
  <si>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</si>
  <si>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</si>
  <si>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</si>
  <si>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</si>
  <si>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</si>
  <si>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</si>
  <si>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</si>
  <si>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</si>
  <si>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</si>
  <si>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</si>
  <si>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</si>
  <si>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</si>
  <si>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</si>
  <si>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</si>
  <si>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</si>
  <si>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</si>
  <si>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</si>
  <si>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</si>
  <si>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</si>
  <si>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</si>
  <si>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</si>
  <si>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</si>
  <si>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</si>
  <si>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</si>
  <si>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</si>
  <si>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</si>
  <si>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</si>
  <si>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</si>
  <si>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</si>
  <si>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</si>
  <si>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</si>
  <si>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</si>
  <si>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</si>
  <si>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</si>
  <si>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</si>
  <si>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</si>
  <si>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</si>
  <si>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</si>
  <si>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</si>
  <si>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</si>
  <si>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</si>
  <si>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</si>
  <si>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</si>
  <si>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</si>
  <si>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</si>
  <si>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</si>
  <si>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</si>
  <si>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</si>
  <si>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</si>
  <si>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</si>
  <si>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</si>
  <si>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</si>
  <si>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</si>
  <si>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</si>
  <si>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</si>
  <si>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</si>
  <si>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</si>
  <si>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</si>
  <si>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</si>
  <si>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</si>
  <si>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</si>
  <si>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</si>
  <si>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</si>
  <si>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</si>
  <si>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</si>
  <si>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</si>
  <si>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</si>
  <si>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</si>
  <si>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</si>
  <si>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</si>
  <si>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</si>
  <si>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</si>
  <si>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</si>
  <si>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</si>
  <si>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</si>
  <si>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</si>
  <si>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</si>
  <si>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</si>
  <si>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</si>
  <si>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</si>
  <si>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</si>
  <si>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</si>
  <si>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</si>
  <si>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</si>
  <si>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</si>
  <si>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</si>
  <si>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</si>
  <si>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</si>
  <si>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</si>
  <si>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</si>
  <si>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</si>
  <si>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</si>
  <si>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</si>
  <si>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</si>
  <si>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</si>
  <si>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</si>
  <si>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</si>
  <si>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</si>
  <si>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</si>
  <si>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</si>
  <si>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</si>
  <si>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</si>
  <si>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</si>
  <si>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</si>
  <si>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</si>
  <si>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</si>
  <si>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</si>
  <si>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</si>
  <si>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</si>
  <si>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</si>
  <si>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</si>
  <si>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</si>
  <si>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</si>
  <si>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</si>
  <si>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</si>
  <si>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</si>
  <si>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</si>
  <si>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</si>
  <si>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</si>
  <si>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</si>
  <si>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</si>
  <si>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</si>
  <si>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</si>
  <si>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</si>
  <si>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</si>
  <si>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</si>
  <si>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</si>
  <si>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</si>
  <si>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</si>
  <si>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</si>
  <si>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</si>
  <si>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</si>
  <si>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</si>
  <si>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</si>
  <si>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</si>
  <si>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</si>
  <si>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</si>
  <si>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</si>
  <si>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</si>
  <si>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</si>
  <si>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</si>
  <si>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</si>
  <si>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</si>
  <si>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</si>
  <si>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</si>
  <si>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</si>
  <si>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</si>
  <si>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</si>
  <si>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</si>
  <si>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</si>
  <si>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</si>
  <si>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</si>
  <si>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</si>
  <si>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</si>
  <si>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</si>
  <si>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</si>
  <si>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</si>
  <si>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</si>
  <si>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</si>
  <si>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</si>
  <si>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</si>
  <si>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</si>
  <si>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</si>
  <si>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</si>
  <si>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</si>
  <si>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</si>
  <si>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</si>
  <si>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</si>
  <si>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</si>
  <si>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</si>
  <si>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</si>
  <si>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</si>
  <si>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</si>
  <si>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</si>
  <si>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</si>
  <si>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</si>
  <si>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</si>
  <si>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</si>
  <si>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</si>
  <si>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</si>
  <si>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</si>
  <si>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</si>
  <si>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</si>
  <si>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</si>
  <si>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</si>
  <si>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</si>
  <si>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</si>
  <si>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</si>
  <si>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</si>
  <si>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</si>
  <si>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</si>
  <si>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</si>
  <si>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</si>
  <si>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</si>
  <si>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</si>
  <si>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</si>
  <si>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</si>
  <si>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</si>
  <si>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</si>
  <si>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</si>
  <si>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</si>
  <si>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</si>
  <si>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</si>
  <si>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</si>
  <si>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</si>
  <si>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</si>
  <si>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</si>
  <si>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</si>
  <si>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</si>
  <si>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</si>
  <si>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</si>
  <si>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</si>
  <si>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</si>
  <si>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</si>
  <si>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</si>
  <si>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</si>
  <si>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</si>
  <si>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</si>
  <si>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</si>
  <si>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</si>
  <si>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</si>
  <si>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</si>
  <si>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</si>
  <si>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</si>
  <si>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</si>
  <si>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</si>
  <si>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</si>
  <si>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</si>
  <si>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</si>
  <si>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</si>
  <si>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</si>
  <si>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</si>
  <si>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</si>
  <si>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</si>
  <si>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</si>
  <si>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</si>
  <si>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</si>
  <si>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</si>
  <si>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</si>
  <si>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</si>
  <si>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</si>
  <si>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</si>
  <si>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</si>
  <si>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</si>
  <si>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</si>
  <si>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</si>
  <si>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</si>
  <si>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</si>
  <si>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</si>
  <si>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</si>
  <si>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</si>
  <si>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</si>
  <si>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</si>
  <si>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</si>
  <si>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</si>
  <si>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</si>
  <si>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</si>
  <si>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</si>
  <si>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</si>
  <si>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</si>
  <si>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</si>
  <si>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</si>
  <si>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</si>
  <si>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</si>
  <si>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</si>
  <si>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</si>
  <si>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</si>
  <si>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</si>
  <si>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</si>
  <si>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</si>
  <si>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</si>
  <si>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</si>
  <si>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</si>
  <si>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</si>
  <si>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</si>
  <si>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</si>
  <si>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</si>
  <si>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</si>
  <si>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</si>
  <si>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</si>
  <si>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</si>
  <si>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</si>
  <si>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</si>
  <si>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</si>
  <si>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</si>
  <si>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</si>
  <si>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</si>
  <si>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</si>
  <si>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</si>
  <si>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</si>
  <si>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</si>
  <si>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</si>
  <si>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</si>
  <si>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</si>
  <si>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</si>
  <si>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</si>
  <si>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</si>
  <si>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</si>
  <si>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</si>
  <si>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</si>
  <si>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</si>
  <si>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</si>
  <si>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</si>
  <si>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</si>
  <si>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</si>
  <si>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</si>
  <si>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</si>
  <si>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</si>
  <si>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</si>
  <si>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</si>
  <si>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</si>
  <si>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</si>
  <si>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</si>
  <si>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</si>
  <si>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</si>
  <si>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</si>
  <si>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</si>
  <si>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</si>
  <si>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</si>
  <si>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</si>
  <si>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</si>
  <si>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</si>
  <si>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</si>
  <si>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</si>
  <si>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</si>
  <si>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</si>
  <si>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</si>
  <si>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</si>
  <si>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</si>
  <si>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</si>
  <si>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</si>
  <si>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</si>
  <si>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</si>
  <si>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</si>
  <si>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</si>
  <si>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</si>
  <si>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</si>
  <si>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</si>
  <si>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</si>
  <si>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</si>
  <si>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</si>
  <si>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</si>
  <si>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</si>
  <si>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</si>
  <si>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</si>
  <si>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</si>
  <si>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</si>
  <si>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</si>
  <si>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</si>
  <si>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</si>
  <si>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</si>
  <si>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</si>
  <si>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</si>
  <si>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</si>
  <si>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</si>
  <si>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</si>
  <si>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</si>
  <si>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</si>
  <si>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</si>
  <si>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</si>
  <si>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</si>
  <si>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</si>
  <si>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</si>
  <si>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</si>
  <si>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</si>
  <si>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</si>
  <si>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</si>
  <si>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</si>
  <si>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</si>
  <si>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</si>
  <si>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</si>
  <si>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</si>
  <si>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</si>
  <si>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</si>
  <si>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</si>
  <si>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</si>
  <si>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</si>
  <si>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</si>
  <si>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</si>
  <si>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</si>
  <si>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</si>
  <si>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</si>
  <si>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</si>
  <si>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</si>
  <si>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</si>
  <si>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</si>
  <si>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</si>
  <si>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</si>
  <si>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</si>
  <si>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</si>
  <si>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</si>
  <si>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</si>
  <si>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</si>
  <si>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</si>
  <si>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</si>
  <si>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</si>
  <si>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</si>
  <si>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</si>
  <si>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</si>
  <si>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</si>
  <si>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</si>
  <si>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</si>
  <si>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</si>
  <si>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</si>
  <si>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</si>
  <si>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</si>
  <si>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</si>
  <si>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</si>
  <si>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</si>
  <si>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</si>
  <si>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</si>
  <si>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</si>
  <si>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</si>
  <si>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</si>
  <si>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</si>
  <si>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</si>
  <si>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</si>
  <si>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</si>
  <si>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</si>
  <si>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</si>
  <si>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</si>
  <si>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</si>
  <si>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</si>
  <si>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</si>
  <si>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</si>
  <si>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</si>
  <si>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</si>
  <si>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</si>
  <si>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</si>
  <si>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</si>
  <si>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</si>
  <si>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</si>
  <si>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</si>
  <si>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</si>
  <si>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</si>
  <si>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</si>
  <si>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</si>
  <si>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</si>
  <si>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</si>
  <si>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</si>
  <si>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</si>
  <si>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</si>
  <si>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</si>
  <si>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</si>
  <si>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</si>
  <si>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</si>
  <si>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</si>
  <si>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</si>
  <si>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</si>
  <si>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</si>
  <si>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</si>
  <si>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</si>
  <si>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</si>
  <si>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</si>
  <si>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</si>
  <si>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</si>
  <si>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</si>
  <si>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</si>
  <si>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</si>
  <si>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</si>
  <si>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</si>
  <si>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</si>
  <si>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</si>
  <si>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</si>
  <si>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</si>
  <si>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</si>
  <si>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</si>
  <si>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</si>
  <si>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</si>
  <si>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</si>
  <si>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</si>
  <si>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</si>
  <si>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</si>
  <si>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</si>
  <si>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</si>
  <si>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</si>
  <si>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</si>
  <si>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</si>
  <si>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</si>
  <si>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</si>
  <si>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</si>
  <si>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</si>
  <si>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</si>
  <si>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</si>
  <si>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</si>
  <si>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</si>
  <si>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</si>
  <si>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</si>
  <si>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</si>
  <si>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</si>
  <si>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</si>
  <si>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</si>
  <si>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</si>
  <si>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</si>
  <si>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</si>
  <si>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</si>
  <si>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</si>
  <si>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</si>
  <si>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</si>
  <si>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</si>
  <si>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</si>
  <si>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</si>
  <si>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</si>
  <si>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</si>
  <si>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</si>
  <si>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</si>
  <si>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</si>
  <si>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</si>
  <si>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</si>
  <si>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</si>
  <si>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</si>
  <si>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</si>
  <si>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</si>
  <si>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</si>
  <si>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</si>
  <si>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</si>
  <si>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</si>
  <si>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</si>
  <si>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</si>
  <si>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</si>
  <si>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</si>
  <si>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</si>
  <si>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</si>
  <si>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</si>
  <si>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</si>
  <si>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</si>
  <si>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</si>
  <si>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</si>
  <si>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</si>
  <si>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</si>
  <si>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</si>
  <si>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</si>
  <si>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</si>
  <si>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</si>
  <si>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</si>
  <si>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</si>
  <si>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</si>
  <si>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</si>
  <si>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</si>
  <si>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</si>
  <si>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</si>
  <si>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</si>
  <si>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</si>
  <si>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</si>
  <si>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</si>
  <si>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</si>
  <si>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</si>
  <si>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</si>
  <si>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</si>
  <si>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</si>
  <si>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</si>
  <si>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</si>
  <si>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</si>
  <si>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</si>
  <si>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</si>
  <si>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</si>
  <si>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</si>
  <si>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</si>
  <si>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</si>
  <si>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</si>
  <si>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</si>
  <si>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</si>
  <si>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</si>
  <si>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</si>
  <si>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</si>
  <si>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</si>
  <si>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</si>
  <si>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</si>
  <si>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</si>
  <si>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</si>
  <si>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</si>
  <si>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</si>
  <si>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</si>
  <si>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</si>
  <si>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</si>
  <si>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</si>
  <si>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</si>
  <si>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</si>
  <si>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</si>
  <si>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</si>
  <si>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</si>
  <si>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</si>
  <si>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</si>
  <si>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</si>
  <si>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</si>
  <si>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</si>
  <si>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</si>
  <si>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</si>
  <si>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</si>
  <si>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</si>
  <si>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</si>
  <si>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</si>
  <si>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</si>
  <si>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</si>
  <si>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</si>
  <si>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</si>
  <si>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</si>
  <si>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</si>
  <si>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</si>
  <si>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</si>
  <si>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</si>
  <si>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</si>
  <si>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</si>
  <si>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</si>
  <si>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</si>
  <si>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</si>
  <si>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</si>
  <si>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</si>
  <si>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</si>
  <si>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</si>
  <si>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</si>
  <si>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</si>
  <si>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</si>
  <si>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</si>
  <si>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</si>
  <si>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</si>
  <si>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</si>
  <si>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</si>
  <si>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</si>
  <si>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</si>
  <si>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</si>
  <si>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</si>
  <si>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</si>
  <si>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</si>
  <si>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</si>
  <si>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</si>
  <si>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</si>
  <si>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</si>
  <si>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</si>
  <si>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</si>
  <si>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</si>
  <si>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</si>
  <si>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</si>
  <si>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</si>
  <si>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</si>
  <si>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</si>
  <si>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</si>
  <si>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</si>
  <si>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</si>
  <si>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</si>
  <si>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</si>
  <si>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</si>
  <si>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</si>
  <si>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</si>
  <si>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</si>
  <si>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</si>
  <si>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</si>
  <si>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</si>
  <si>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</si>
  <si>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</si>
  <si>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</si>
  <si>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</si>
  <si>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</si>
  <si>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</si>
  <si>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</si>
  <si>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</si>
  <si>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</si>
  <si>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</si>
  <si>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</si>
  <si>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</si>
  <si>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</si>
  <si>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</si>
  <si>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</si>
  <si>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</si>
  <si>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</si>
  <si>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</si>
  <si>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</si>
  <si>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</si>
  <si>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</si>
  <si>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</si>
  <si>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</si>
  <si>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</si>
  <si>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</si>
  <si>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</si>
  <si>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</si>
  <si>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</si>
  <si>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</si>
  <si>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</si>
  <si>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</si>
  <si>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</si>
  <si>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</si>
  <si>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</si>
  <si>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</si>
  <si>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</si>
  <si>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</si>
  <si>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</si>
  <si>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</si>
  <si>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</si>
  <si>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</si>
  <si>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</si>
  <si>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</si>
  <si>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</si>
  <si>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</si>
  <si>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</si>
  <si>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</si>
  <si>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</si>
  <si>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</si>
  <si>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</si>
  <si>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</si>
  <si>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</si>
  <si>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</si>
  <si>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</si>
  <si>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</si>
  <si>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</si>
  <si>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</si>
  <si>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</si>
  <si>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</si>
  <si>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</si>
  <si>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</si>
  <si>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</si>
  <si>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</si>
  <si>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</si>
  <si>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</si>
  <si>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</si>
  <si>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</si>
  <si>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</si>
  <si>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</si>
  <si>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</si>
  <si>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</si>
  <si>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</si>
  <si>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</si>
  <si>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</si>
  <si>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</si>
  <si>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</si>
  <si>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</si>
  <si>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</si>
  <si>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</si>
  <si>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</si>
  <si>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</si>
  <si>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</si>
  <si>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</si>
  <si>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</si>
  <si>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</si>
  <si>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</si>
  <si>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</si>
  <si>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</si>
  <si>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</si>
  <si>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</si>
  <si>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</si>
  <si>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</si>
  <si>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</si>
  <si>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</si>
  <si>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</si>
  <si>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</si>
  <si>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</si>
  <si>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</si>
  <si>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</si>
  <si>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</si>
  <si>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</si>
  <si>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</si>
  <si>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</si>
  <si>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</si>
  <si>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</si>
  <si>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</si>
  <si>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</si>
  <si>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</si>
  <si>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</si>
  <si>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</si>
  <si>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</si>
  <si>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</si>
  <si>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</si>
  <si>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</si>
  <si>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</si>
  <si>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</si>
  <si>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</si>
  <si>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</si>
  <si>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</si>
  <si>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</si>
  <si>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</si>
  <si>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</si>
  <si>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</si>
  <si>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</si>
  <si>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</si>
  <si>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</si>
  <si>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</si>
  <si>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</si>
  <si>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</si>
  <si>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</si>
  <si>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</si>
  <si>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</si>
  <si>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</si>
  <si>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</si>
  <si>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</si>
  <si>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</si>
  <si>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</si>
  <si>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</si>
  <si>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</si>
  <si>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</si>
  <si>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</si>
  <si>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</si>
  <si>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</si>
  <si>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</si>
  <si>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</si>
  <si>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</si>
  <si>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</si>
  <si>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</si>
  <si>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</si>
  <si>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</si>
  <si>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</si>
  <si>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</si>
  <si>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</si>
  <si>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</si>
  <si>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</si>
  <si>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</si>
  <si>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</si>
  <si>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</si>
  <si>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</si>
  <si>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</si>
  <si>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</si>
  <si>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</si>
  <si>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</si>
  <si>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</si>
  <si>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</si>
  <si>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</si>
  <si>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</si>
  <si>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</si>
  <si>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</si>
  <si>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</si>
  <si>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</si>
  <si>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</si>
  <si>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</si>
  <si>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</si>
  <si>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</si>
  <si>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</si>
  <si>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</si>
  <si>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</si>
  <si>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</si>
  <si>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</si>
  <si>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</si>
  <si>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</si>
  <si>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</si>
  <si>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</si>
  <si>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</si>
  <si>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</si>
  <si>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</si>
  <si>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</si>
  <si>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</si>
  <si>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</si>
  <si>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</si>
  <si>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</si>
  <si>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</si>
  <si>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</si>
  <si>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</si>
  <si>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</si>
  <si>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</si>
  <si>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</si>
  <si>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</si>
  <si>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</si>
  <si>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</si>
  <si>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</si>
  <si>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</si>
  <si>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</si>
  <si>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</si>
  <si>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</si>
  <si>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</si>
  <si>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</si>
  <si>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</si>
  <si>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</si>
  <si>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</si>
  <si>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</si>
  <si>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</si>
  <si>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</si>
  <si>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</si>
  <si>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</si>
  <si>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</si>
  <si>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</si>
  <si>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</si>
  <si>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</si>
  <si>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</si>
  <si>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</si>
  <si>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</si>
  <si>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</si>
  <si>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</si>
  <si>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</si>
  <si>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</si>
  <si>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</si>
  <si>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</si>
  <si>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</si>
  <si>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</si>
  <si>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</si>
  <si>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</si>
  <si>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</si>
  <si>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</si>
  <si>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</si>
  <si>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</si>
  <si>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</si>
  <si>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</si>
  <si>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</si>
  <si>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</si>
  <si>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</si>
  <si>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</si>
  <si>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</si>
  <si>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</si>
  <si>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</si>
  <si>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</si>
  <si>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</si>
  <si>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</si>
  <si>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</si>
  <si>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</si>
  <si>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</si>
  <si>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</si>
  <si>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</si>
  <si>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</si>
  <si>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</si>
  <si>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</si>
  <si>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</si>
  <si>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</si>
  <si>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</si>
  <si>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</si>
  <si>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</si>
  <si>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</si>
  <si>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</si>
  <si>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</si>
  <si>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</si>
  <si>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</si>
  <si>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</si>
  <si>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</si>
  <si>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</si>
  <si>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</si>
  <si>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</si>
  <si>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</si>
  <si>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</si>
  <si>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</si>
  <si>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</si>
  <si>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</si>
  <si>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</si>
  <si>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</si>
  <si>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</si>
  <si>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</si>
  <si>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</si>
  <si>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</si>
  <si>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</si>
  <si>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</si>
  <si>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</si>
  <si>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</si>
  <si>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</si>
  <si>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</si>
  <si>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</si>
  <si>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</si>
  <si>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</si>
  <si>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</si>
  <si>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</si>
  <si>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</si>
  <si>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</si>
  <si>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</si>
  <si>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</si>
  <si>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</si>
  <si>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</si>
  <si>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</si>
  <si>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</si>
  <si>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</si>
  <si>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</si>
  <si>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</si>
  <si>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</si>
  <si>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</si>
  <si>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</si>
  <si>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</si>
  <si>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</si>
  <si>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</si>
  <si>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</si>
  <si>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</si>
  <si>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</si>
  <si>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</si>
  <si>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</si>
  <si>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</si>
  <si>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</si>
  <si>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</si>
  <si>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</si>
  <si>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</si>
  <si>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</si>
  <si>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</si>
  <si>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</si>
  <si>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</si>
  <si>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</si>
  <si>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</si>
  <si>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</si>
  <si>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</si>
  <si>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</si>
  <si>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</si>
  <si>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</si>
  <si>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</si>
  <si>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</si>
  <si>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</si>
  <si>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</si>
  <si>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</si>
  <si>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</si>
  <si>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</si>
  <si>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</si>
  <si>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</si>
  <si>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</si>
  <si>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</si>
  <si>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</si>
  <si>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</si>
  <si>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</si>
  <si>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</si>
  <si>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</si>
  <si>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</si>
  <si>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</si>
  <si>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</si>
  <si>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</si>
  <si>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</si>
  <si>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</si>
  <si>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</si>
  <si>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</si>
  <si>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</si>
  <si>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</si>
  <si>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</si>
  <si>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</si>
  <si>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</si>
  <si>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</si>
  <si>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</si>
  <si>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</si>
  <si>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</si>
  <si>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</si>
  <si>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</si>
  <si>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</si>
  <si>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</si>
  <si>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</si>
  <si>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</si>
  <si>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</si>
  <si>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</si>
  <si>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</si>
  <si>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</si>
  <si>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</si>
  <si>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</si>
  <si>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</si>
  <si>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</si>
  <si>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</si>
  <si>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</si>
  <si>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</si>
  <si>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</si>
  <si>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</si>
  <si>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</si>
  <si>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</si>
  <si>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</si>
  <si>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</si>
  <si>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</si>
  <si>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</si>
  <si>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</si>
  <si>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</si>
  <si>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</si>
  <si>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</si>
  <si>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</si>
  <si>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</si>
  <si>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</si>
  <si>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</si>
  <si>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</si>
  <si>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</si>
  <si>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</si>
  <si>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</si>
  <si>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</si>
  <si>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</si>
  <si>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</si>
  <si>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</si>
  <si>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</si>
  <si>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</si>
  <si>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</si>
  <si>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</si>
  <si>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</si>
  <si>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</si>
  <si>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</si>
  <si>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</si>
  <si>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</si>
  <si>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</si>
  <si>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</si>
  <si>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</si>
  <si>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</si>
  <si>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</si>
  <si>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</si>
  <si>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</si>
  <si>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</si>
  <si>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</si>
  <si>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</si>
  <si>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</si>
  <si>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</si>
  <si>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</si>
  <si>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</si>
  <si>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</si>
  <si>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</si>
  <si>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</si>
  <si>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</si>
  <si>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</si>
  <si>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</si>
  <si>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</si>
  <si>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</si>
  <si>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</si>
  <si>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</si>
  <si>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</si>
  <si>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</si>
  <si>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</si>
  <si>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</si>
  <si>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</si>
  <si>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</si>
  <si>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</si>
  <si>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</si>
  <si>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</si>
  <si>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</si>
  <si>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</si>
  <si>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</si>
  <si>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</si>
  <si>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</si>
  <si>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</si>
  <si>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</si>
  <si>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</si>
  <si>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</si>
  <si>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</si>
  <si>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</si>
  <si>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</si>
  <si>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</si>
  <si>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</si>
  <si>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</si>
  <si>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</si>
  <si>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</si>
  <si>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</si>
  <si>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</si>
  <si>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</si>
  <si>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</si>
  <si>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</si>
  <si>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</si>
  <si>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</si>
  <si>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</si>
  <si>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</si>
  <si>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</si>
  <si>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</si>
  <si>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</si>
  <si>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</si>
  <si>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</si>
  <si>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</si>
  <si>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</si>
  <si>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</si>
  <si>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</si>
  <si>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</si>
  <si>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</si>
  <si>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</si>
  <si>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</si>
  <si>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</si>
  <si>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</si>
  <si>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</si>
  <si>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</si>
  <si>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</si>
  <si>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</si>
  <si>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</si>
  <si>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</si>
  <si>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</si>
  <si>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</si>
  <si>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</si>
  <si>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</si>
  <si>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</si>
  <si>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</si>
  <si>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</si>
  <si>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</si>
  <si>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</si>
  <si>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</si>
  <si>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</si>
  <si>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</si>
  <si>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</si>
  <si>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</si>
  <si>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</si>
  <si>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</si>
  <si>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</si>
  <si>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</si>
  <si>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</si>
  <si>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</si>
  <si>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</si>
  <si>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</si>
  <si>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</si>
  <si>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</si>
  <si>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</si>
  <si>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</si>
  <si>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</si>
  <si>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</si>
  <si>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</si>
  <si>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</si>
  <si>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</si>
  <si>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</si>
  <si>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</si>
  <si>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</si>
  <si>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</si>
  <si>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</si>
  <si>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</si>
  <si>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</si>
  <si>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</si>
  <si>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</si>
  <si>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</si>
  <si>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</si>
  <si>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</si>
  <si>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</si>
  <si>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</si>
  <si>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</si>
  <si>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</si>
  <si>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</si>
  <si>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</si>
  <si>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</si>
  <si>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</si>
  <si>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</si>
  <si>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</si>
  <si>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</si>
  <si>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</si>
  <si>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</si>
  <si>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</si>
  <si>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</si>
  <si>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</si>
  <si>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</si>
  <si>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</si>
  <si>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</si>
  <si>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</si>
  <si>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</si>
  <si>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</si>
  <si>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</si>
  <si>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</si>
  <si>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</si>
  <si>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</si>
  <si>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</si>
  <si>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</si>
  <si>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</si>
  <si>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</si>
  <si>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</si>
  <si>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</si>
  <si>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</si>
  <si>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</si>
  <si>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</si>
  <si>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</si>
  <si>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</si>
  <si>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</si>
  <si>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</si>
  <si>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</si>
  <si>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</si>
  <si>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</si>
  <si>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</si>
  <si>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</si>
  <si>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</si>
  <si>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</si>
  <si>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</si>
  <si>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</si>
  <si>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</si>
  <si>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</si>
  <si>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</si>
  <si>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</si>
  <si>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</si>
  <si>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</si>
  <si>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</si>
  <si>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</si>
  <si>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</si>
  <si>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</si>
  <si>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</si>
  <si>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</si>
  <si>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</si>
  <si>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</si>
  <si>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</si>
  <si>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</si>
  <si>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</si>
  <si>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</si>
  <si>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</si>
  <si>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</si>
  <si>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</si>
  <si>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</si>
  <si>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</si>
  <si>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</si>
  <si>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</si>
  <si>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</si>
  <si>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</si>
  <si>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</si>
  <si>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</si>
  <si>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</si>
  <si>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</si>
  <si>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</si>
  <si>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</si>
  <si>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</si>
  <si>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</si>
  <si>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</si>
  <si>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</si>
  <si>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</si>
  <si>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</si>
  <si>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</si>
  <si>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</si>
  <si>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</si>
  <si>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</si>
  <si>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</si>
  <si>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</si>
  <si>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</si>
  <si>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</si>
  <si>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</si>
  <si>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</si>
  <si>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</si>
  <si>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</si>
  <si>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</si>
  <si>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</si>
  <si>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</si>
  <si>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</si>
  <si>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</si>
  <si>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</si>
  <si>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</si>
  <si>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</si>
  <si>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</si>
  <si>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</si>
  <si>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</si>
  <si>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</si>
  <si>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</si>
  <si>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</si>
  <si>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</si>
  <si>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</si>
  <si>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</si>
  <si>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</si>
  <si>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</si>
  <si>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</si>
  <si>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</si>
  <si>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</si>
  <si>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</si>
  <si>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</si>
  <si>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</si>
  <si>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</si>
  <si>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</si>
  <si>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</si>
  <si>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</si>
  <si>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</si>
  <si>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</si>
  <si>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</si>
  <si>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</si>
  <si>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</si>
  <si>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</si>
  <si>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</si>
  <si>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</si>
  <si>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</si>
  <si>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</si>
  <si>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</si>
  <si>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</si>
  <si>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</si>
  <si>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</si>
  <si>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</si>
  <si>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</si>
  <si>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</si>
  <si>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</si>
  <si>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</si>
  <si>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</si>
  <si>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</si>
  <si>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</si>
  <si>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</si>
  <si>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</si>
  <si>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</si>
  <si>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</si>
  <si>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</si>
  <si>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</si>
  <si>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</si>
  <si>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</si>
  <si>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</si>
  <si>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</si>
  <si>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</si>
  <si>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</si>
  <si>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</si>
  <si>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</si>
  <si>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</si>
  <si>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</si>
  <si>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</si>
  <si>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</si>
  <si>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</si>
  <si>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</si>
  <si>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</si>
  <si>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</si>
  <si>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</si>
  <si>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</si>
  <si>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</si>
  <si>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</si>
  <si>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</si>
  <si>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</si>
  <si>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</si>
  <si>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</si>
  <si>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</si>
  <si>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</si>
  <si>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</si>
  <si>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</si>
  <si>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</si>
  <si>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</si>
  <si>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</si>
  <si>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</si>
  <si>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</si>
  <si>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</si>
  <si>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</si>
  <si>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</si>
  <si>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</si>
  <si>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</si>
  <si>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</si>
  <si>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</si>
  <si>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</si>
  <si>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</si>
  <si>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</si>
  <si>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</si>
  <si>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</si>
  <si>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</si>
  <si>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</si>
  <si>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</si>
  <si>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</si>
  <si>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</si>
  <si>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</si>
  <si>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</si>
  <si>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</si>
  <si>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</si>
  <si>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</si>
  <si>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</si>
  <si>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</si>
  <si>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</si>
  <si>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</si>
  <si>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</si>
  <si>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</si>
  <si>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</si>
  <si>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</si>
  <si>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</si>
  <si>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</si>
  <si>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</si>
  <si>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</si>
  <si>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</si>
  <si>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</si>
  <si>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</si>
  <si>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</si>
  <si>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</si>
  <si>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</si>
  <si>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</si>
  <si>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</si>
  <si>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</si>
  <si>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</si>
  <si>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</si>
  <si>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</si>
  <si>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</si>
  <si>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</si>
  <si>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</si>
  <si>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</si>
  <si>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</si>
  <si>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</si>
  <si>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</si>
  <si>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</si>
  <si>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</si>
  <si>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</si>
  <si>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</si>
  <si>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</si>
  <si>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</si>
  <si>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</si>
  <si>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</si>
  <si>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</si>
  <si>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</si>
  <si>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</si>
  <si>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</si>
  <si>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</si>
  <si>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</si>
  <si>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</si>
  <si>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</si>
  <si>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</si>
  <si>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</si>
  <si>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CLFF_1000$$$DE04OF1000 R&amp;D Europe GoGlobal Trainee</t>
  </si>
  <si>
    <t>CLFF_1000$$$DE01OF0304 PM-OES Supply Chain 4.0</t>
  </si>
  <si>
    <t>CLFF_1000$$$TW02TPTA14 PM-OES Supply Chain 4.0</t>
  </si>
  <si>
    <t>FR8056007</t>
  </si>
  <si>
    <t>P000000411</t>
  </si>
  <si>
    <t>CFLTFLE_2152IMIPEVOL01</t>
  </si>
  <si>
    <t>CFLTFLE_2152IMIPPCRD01</t>
  </si>
  <si>
    <t>CORAERP_MMOR1975.6201 GENM - CELL THERAPY BIOP. R&amp;D</t>
  </si>
  <si>
    <t>CTEMPLA_1000BR10000003 Downstream Marketing Brazil</t>
  </si>
  <si>
    <t>CTEMPEU_1000AT40MS0012 PS Downstream Aseptic for personell cost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</si>
  <si>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</si>
  <si>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</si>
  <si>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</si>
  <si>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</si>
  <si>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</si>
  <si>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</si>
  <si>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</si>
  <si>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CNOW_7210$$$0000021322 SM-AL8 Biomolecular ARD US</t>
  </si>
  <si>
    <t>TO BE DONE IN 2026</t>
  </si>
  <si>
    <t>G000000482</t>
  </si>
  <si>
    <t>FR8078900</t>
  </si>
  <si>
    <t>CLFF_1000$$$DE20529800</t>
  </si>
  <si>
    <t>CLFF_1000$$$DE20529900</t>
  </si>
  <si>
    <t>FR8078609</t>
  </si>
  <si>
    <t xml:space="preserve">CORAERP_MMOR1975.6635 6635 </t>
  </si>
  <si>
    <t xml:space="preserve">PNEXT_D300120210201000000 </t>
  </si>
  <si>
    <t xml:space="preserve">IEMERAL_000009101287 </t>
  </si>
  <si>
    <t xml:space="preserve">CSCALA_1248$BMGR </t>
  </si>
  <si>
    <t xml:space="preserve">T00054100000 </t>
  </si>
  <si>
    <t xml:space="preserve">CORAERP_MMOR1945.5595 </t>
  </si>
  <si>
    <t xml:space="preserve">CORAERP_MMOR1945.5898 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</si>
  <si>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</si>
  <si>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</si>
  <si>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</si>
  <si>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</si>
  <si>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</si>
  <si>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</si>
  <si>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</si>
  <si>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</si>
  <si>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D30012000000000</t>
  </si>
  <si>
    <t>DFLTPGCOH_DIV-65_001060_IO</t>
  </si>
  <si>
    <t>DFLTPGCOH_BF-H6_001248</t>
  </si>
  <si>
    <t>DFLTPGCOH_DIV-65_001945</t>
  </si>
  <si>
    <t>DFLTPGCOH_DIV-63_001945</t>
  </si>
  <si>
    <t>STANDARD</t>
  </si>
  <si>
    <t>G000000864</t>
  </si>
  <si>
    <t>DFLTPGCOH_MISSING_NODES</t>
  </si>
  <si>
    <t>DFLTPGCOH_002152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</si>
  <si>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</si>
  <si>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</si>
  <si>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</si>
  <si>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</si>
  <si>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</si>
  <si>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</si>
  <si>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</si>
  <si>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</si>
  <si>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</si>
  <si>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</si>
  <si>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</si>
  <si>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</si>
  <si>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</si>
  <si>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</si>
  <si>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</si>
  <si>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</si>
  <si>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</si>
  <si>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</si>
  <si>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</si>
  <si>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</si>
  <si>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</si>
  <si>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</si>
  <si>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L000010061</t>
  </si>
  <si>
    <t>L000009964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</si>
  <si>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</si>
  <si>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</si>
  <si>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</si>
  <si>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</si>
  <si>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</si>
  <si>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</si>
  <si>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</si>
  <si>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</si>
  <si>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</si>
  <si>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</si>
  <si>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</si>
  <si>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</si>
  <si>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</si>
  <si>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</si>
  <si>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</si>
  <si>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</si>
  <si>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</si>
  <si>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</si>
  <si>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</si>
  <si>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</si>
  <si>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</si>
  <si>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</si>
  <si>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</si>
  <si>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</si>
  <si>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</si>
  <si>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</si>
  <si>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</si>
  <si>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</si>
  <si>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</si>
  <si>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</si>
  <si>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</si>
  <si>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</si>
  <si>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CORAERP_MMOR1975.9208 PS - A&amp;F Patent Fees</t>
  </si>
  <si>
    <t>L000013785</t>
  </si>
  <si>
    <t>FR8104874</t>
  </si>
  <si>
    <t>CLFF_7210$$$2123TAJQ01 Equipment R&amp;D LSS</t>
  </si>
  <si>
    <t>INEXT_001050000481 2123TAJQ01-IO</t>
  </si>
  <si>
    <t>CTEMPEU_1000FR60635000 Bio Innovation FR</t>
  </si>
  <si>
    <t>ITEMPEU_001500004649 M207</t>
  </si>
  <si>
    <t>ITEMPEU_001500005028 FR60 Interim Project Bio.</t>
  </si>
  <si>
    <t>CNOW_7210$$$0000020510 SAC R&amp;D Novel Modality</t>
  </si>
  <si>
    <t>CTEMPEU_1000CH70RD1107 SAC R&amp;D Folates</t>
  </si>
  <si>
    <t>ITEMPEU_003300000518 P-LNP-ALC-Lipids Chemistries</t>
  </si>
  <si>
    <t>ITEMPEU_003900000225 CH71  UCB Farchim</t>
  </si>
  <si>
    <t>CPHOENX_01010000629700 Analytics &amp; Development Support</t>
  </si>
  <si>
    <t>IPHOENX_000002428201 T_New Lipids for EFSS</t>
  </si>
  <si>
    <t>IPHOENX_000002428801 T-mRNA-Polymers for mRNA Delivery</t>
  </si>
  <si>
    <t>IPHOENX_000002429601 SAC Inasolve Price adj IP Transf</t>
  </si>
  <si>
    <t>IPHOENX_000002433601 P-LNP-R&amp;D Grade Lipid Services</t>
  </si>
  <si>
    <t>T00047400000 Verrechnung 2428801 LS-CAT-LS</t>
  </si>
  <si>
    <t>IPHOENX_000002433401 P-mRNA-Design Suite</t>
  </si>
  <si>
    <t>L000013901</t>
  </si>
  <si>
    <t>FR8104825</t>
  </si>
  <si>
    <t>CEMERAL_70007001457754 Reg LS Project Eagle</t>
  </si>
  <si>
    <t>CLFF_7210$$$1756Y11755 LS Project Eagle</t>
  </si>
  <si>
    <t>IPHOENX_000002423601 CTO Super Enzyme program</t>
  </si>
  <si>
    <t>CORAERP_MMOR1975.6716 GENM - VIRUS &amp; GENE THERAPY BIOP R&amp;D</t>
  </si>
  <si>
    <t>CNOW_7210$$$0000000311 VGT Bioprocessing 2</t>
  </si>
  <si>
    <t>CORAERP_MMOR1975.6734 PS - CRAZY HORSE - VIRAL VECTOR MANUFACTURING TEMPLATE R&amp;D</t>
  </si>
  <si>
    <t>ITEMPEU_001300003829 In silico cQA Risk Assessment</t>
  </si>
  <si>
    <t>CNOW_7210$$$0000021381 *STL APPLIED MARKET ADMETox R&amp;D</t>
  </si>
  <si>
    <t>CNOW_7210$$$0000020561 GENM - R&amp;D Management</t>
  </si>
  <si>
    <t>IPHOENX_000002422701 P-mRNA-Polymers for mRNA Delivery</t>
  </si>
  <si>
    <t>ITEMPEU_003300000040 CH71 O_P_APA 4-arm PEG-5kDa-ethylamin</t>
  </si>
  <si>
    <t>ITEMPEU_003300000069 XXXCH71 T_P_CSL MPEG-20kDa-propionaldehy</t>
  </si>
  <si>
    <t>ITEMPEU_003300000111 P-LNP-Synthetic Cholesterol</t>
  </si>
  <si>
    <t>ITEMPEU_003300000339 CH71 Sales Marketing Support Passafaro</t>
  </si>
  <si>
    <t>ITEMPEU_003300000362 T-SM-Monodisperse PEGs (mPEGs)</t>
  </si>
  <si>
    <t>ITEMPEU_003300000402 XXXXCH71 O_L_Seeding Activities</t>
  </si>
  <si>
    <t>ITEMPEU_003300000418 CH71 EXP PLGA/PLA</t>
  </si>
  <si>
    <t>ITEMPEU_003300000464 P-LNP-DMG-DSG-PEG2ka</t>
  </si>
  <si>
    <t>ITEMPEU_003300000465 CH71 T_New Lipids for RNA Delivery</t>
  </si>
  <si>
    <t>ITEMPEU_003300000467 CH71 P_DMG-PEG-2000 / DSG-PEG-2000 1.0</t>
  </si>
  <si>
    <t>ITEMPEU_003300000472 CH71 ACB_ALC-0159</t>
  </si>
  <si>
    <t>ITEMPEU_003300000523 CH71 P_New Lipids for RNA Delivery</t>
  </si>
  <si>
    <t>IPHOENX_000002348501 XXXT_mRNA AmpTec support</t>
  </si>
  <si>
    <t>IPHOENX_000002404001 XXXT_Polymers for mRNA delivery</t>
  </si>
  <si>
    <t>IPHOENX_000002413801 T_mRNA Upscaling</t>
  </si>
  <si>
    <t>IPHOENX_000002413901 XXXT_Lipids for mRNA delivery</t>
  </si>
  <si>
    <t>IPHOENX_000002422801 P-LNP-Lipids for mRNA delivery</t>
  </si>
  <si>
    <t>IPHOENX_000002427301 P-LNP-Lipidomics</t>
  </si>
  <si>
    <t>IPHOENX_000002427401 P-LNP-DSPC-DOPC-DPPC-buy resell</t>
  </si>
  <si>
    <t>IPHOENX_000002425301 P-PGM-mRNA Process Development</t>
  </si>
  <si>
    <t>L000006435</t>
  </si>
  <si>
    <t>DFLTPGCOH_002106</t>
  </si>
  <si>
    <t>DFLTPGCOH_002097</t>
  </si>
  <si>
    <t>DFLTPGCOH_002002</t>
  </si>
  <si>
    <t>DFLTPGCOH_002116</t>
  </si>
  <si>
    <t>DFLTPGCOH_002113</t>
  </si>
  <si>
    <t>DFLTPGCOH_002072</t>
  </si>
  <si>
    <t>DFLTPGCOH_002001</t>
  </si>
  <si>
    <t>DFLTPGCOH_002061</t>
  </si>
  <si>
    <t>DFLTPGCOH_002047</t>
  </si>
  <si>
    <t>DFLTPGCOH_002085</t>
  </si>
  <si>
    <t>DFLTPGCOH_002142</t>
  </si>
  <si>
    <t>DFLTPGCOH_002136</t>
  </si>
  <si>
    <t>DFLTPGCOH_BF-Y6_001945</t>
  </si>
  <si>
    <t>DFLTPGCOH_BF-C4_002177</t>
  </si>
  <si>
    <t>L000006422</t>
  </si>
  <si>
    <t>TEMPEU_1000FR60635000</t>
  </si>
  <si>
    <t>TEMPEU_1000CH70RD1107</t>
  </si>
  <si>
    <t>PHOENX_01010000629700</t>
  </si>
  <si>
    <t>L000007098</t>
  </si>
  <si>
    <t>L000007099</t>
  </si>
  <si>
    <t>L000012607</t>
  </si>
  <si>
    <t>L000007094</t>
  </si>
  <si>
    <t>L000007095</t>
  </si>
  <si>
    <t>LFF_7210$$$2123TAJQ01</t>
  </si>
  <si>
    <t>mapped for 2025 do the same for 2026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</si>
  <si>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</si>
  <si>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</si>
  <si>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</si>
  <si>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</si>
  <si>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</si>
  <si>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</si>
  <si>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</si>
  <si>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</si>
  <si>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</si>
  <si>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</si>
  <si>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</si>
  <si>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</si>
  <si>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DE10537813</t>
  </si>
  <si>
    <t>DE20537813</t>
  </si>
  <si>
    <t>DE10538999</t>
  </si>
  <si>
    <t>DE10538529</t>
  </si>
  <si>
    <t>DE10538536</t>
  </si>
  <si>
    <t>DE10538539</t>
  </si>
  <si>
    <t>DE10538540</t>
  </si>
  <si>
    <t>DE20538529</t>
  </si>
  <si>
    <t>DE20538536</t>
  </si>
  <si>
    <t>DE20538539</t>
  </si>
  <si>
    <t>DE20538540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</si>
</sst>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7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81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16" xfId="0" applyFont="1" applyBorder="1"/>
    <xf numFmtId="0" fontId="0" fillId="7" borderId="16" xfId="0" applyFont="1" applyFill="1" applyBorder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5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25.055300462962" createdVersion="7" refreshedVersion="7" minRefreshableVersion="3" recordCount="5234" xr:uid="{11839AE3-6158-4318-87AD-2C711D0BF451}">
  <cacheSource type="worksheet">
    <worksheetSource name="Proc"/>
  </cacheSource>
  <cacheFields count="19">
    <cacheField name="App" numFmtId="0">
      <sharedItems containsBlank="1" count="1660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6-01-03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70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34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70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45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45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45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45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45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45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45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45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45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45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45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41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38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38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38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38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38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38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38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38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38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38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38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38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38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38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38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38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38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38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38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38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38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38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38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38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38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38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38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38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38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38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38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38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38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38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38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38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38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38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38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38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38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37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37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37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37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36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36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36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36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36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35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35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33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33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32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29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29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29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29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29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29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29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29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29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29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29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29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29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29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29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29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29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29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29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29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29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28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28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28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28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28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23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23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23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18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18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18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18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18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18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18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18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18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18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18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18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18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18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18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18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18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18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14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14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14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09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208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208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208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208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208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208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208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208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208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208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208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208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94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94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93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93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93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83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68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68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68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68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68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68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68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68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68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68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68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68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68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68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68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68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68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68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68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68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65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65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65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65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64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64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64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64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64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64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64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64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64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64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64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64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64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64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64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64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64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64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64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64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64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64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64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64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64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64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64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64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64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64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63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63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63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63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63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63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63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63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63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63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63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63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63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63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63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63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63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63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59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59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59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59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59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59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53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53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48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48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43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43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43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43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43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43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43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43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43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43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43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43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43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43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43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43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43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43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43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43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43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43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43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43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43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43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43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43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43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43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43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43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43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43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43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43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43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43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43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43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43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43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43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43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43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43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43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43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43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43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40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40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40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40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41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38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38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33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33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33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33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33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33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33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33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33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33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33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31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31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31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31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31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31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31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31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31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31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31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31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31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31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31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31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31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31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31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31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31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31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31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31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31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31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31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29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29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29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29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29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29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29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29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29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29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28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28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28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27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27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27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27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27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27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26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26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24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23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23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23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22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22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22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20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20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20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20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20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20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20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17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17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17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17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17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17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17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17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17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17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17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17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17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17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17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17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17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17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17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17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17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17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17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17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17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17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17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17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17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16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16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14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14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14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114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114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14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14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14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14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14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112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112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112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112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112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112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112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12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11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11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11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11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11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11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11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11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11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11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11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11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11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11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11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11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11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109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109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108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108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108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108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108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108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108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108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108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108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108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08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08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08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08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08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08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08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08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08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08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08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08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108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08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08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08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08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08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08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08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08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08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08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08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08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08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08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108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08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08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08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08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08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08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08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08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08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08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08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08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08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08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08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08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08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08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08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08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08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08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08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08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08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08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08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08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08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08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08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08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08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08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08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08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08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08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08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08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08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08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08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08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08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08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08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08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08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08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08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08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08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08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08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08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08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08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08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08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08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08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08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08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08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08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08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08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08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08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08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08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08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08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08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08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08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08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08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108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108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108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108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108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108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108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108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108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108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108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108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108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05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05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105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105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105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105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105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105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105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105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105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105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105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105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105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105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105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105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105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105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105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05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105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105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05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05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05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05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05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05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05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05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05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05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05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05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05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05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05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05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05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05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05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04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04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03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03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03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03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03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03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03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02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02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02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101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101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101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101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101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101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101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101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101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101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101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101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101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101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101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101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101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101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101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101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101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101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101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101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101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101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101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101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101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101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101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101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101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01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101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101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101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01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100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100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100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100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100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100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00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00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00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00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00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00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00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00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00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00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00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00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100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99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99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99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99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99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99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99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99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99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99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99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99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99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99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99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99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99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99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98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98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98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98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98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98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98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98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98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98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98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98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95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95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95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95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95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95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95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95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95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95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95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95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95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95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95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95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95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95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95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95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95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95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95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95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95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95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95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95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95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94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94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94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94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94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94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94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94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94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94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94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94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94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94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94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94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94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94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94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94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94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94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94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94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94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94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94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94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94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94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94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94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94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94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94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93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93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93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93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93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93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93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93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93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93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93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93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93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93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93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93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93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93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93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93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93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93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93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93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93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93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93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93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93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93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93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93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93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93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93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93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93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93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93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93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93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93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93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93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93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93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93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93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93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93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93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93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93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93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93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93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93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93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93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93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93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93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93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93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93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93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93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93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93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93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93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93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93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93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93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93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93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93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93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93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93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93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93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93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93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93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93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93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93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93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93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93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93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93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93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93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93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93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93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93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93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93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93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93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93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93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93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93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93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93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93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93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93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93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93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93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93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93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93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93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93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93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93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93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93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93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93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93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93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93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93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93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93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93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93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93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93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93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93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93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93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93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93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93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93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93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93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93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93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93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93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93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93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93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93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93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93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93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93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93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93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93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93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93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93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93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93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93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93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93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93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93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93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93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93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93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93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93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91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91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91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91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91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91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91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91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91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91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91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91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91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91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91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91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90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90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90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90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90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90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90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90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90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90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90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90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90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90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90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90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90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90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90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90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90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90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90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90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90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90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90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90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90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90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90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90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90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90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90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90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90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90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90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89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89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89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89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89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89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89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89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89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89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89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89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89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89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89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89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89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89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88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88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88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88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88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88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88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88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88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88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88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88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88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88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88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88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88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88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88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88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88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88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88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88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88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88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88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88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88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88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88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88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88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88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88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88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88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88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88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88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88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88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88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88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88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88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88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88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88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88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88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88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88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88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88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88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88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88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88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88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88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88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88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88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88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88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88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88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88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88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88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88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88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88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88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88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88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88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88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88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88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88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88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88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88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88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88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88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88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88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88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88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88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88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88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88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88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88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88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88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88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88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88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88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88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88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88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88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88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88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88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88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88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88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88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84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84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84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84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84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84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84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84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84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84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84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84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83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83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83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83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83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83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83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83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83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83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83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83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83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83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83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83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83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83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83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83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83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83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83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83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83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83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83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83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83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83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83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80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80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80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80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80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80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80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80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80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79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78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78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78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78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78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78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77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77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77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77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77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77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77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77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77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77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77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77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77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77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77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77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77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77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77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77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76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76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76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76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76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76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76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76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76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76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76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76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75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75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75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75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75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75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75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75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75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75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75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75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72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72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72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72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72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72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72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72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72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72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72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72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72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72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72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72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72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72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72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72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72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72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72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72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72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72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72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72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72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72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72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72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72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72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72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72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72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72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72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72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72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72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72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72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72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72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72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72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72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72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71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71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71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71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71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71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71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71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71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71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71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71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71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71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71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71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68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67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67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67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67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67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67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65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65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65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65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65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65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65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65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65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65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65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65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65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65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65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65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65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65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65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65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65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65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65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65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65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65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65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65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65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65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65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65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65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65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65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65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65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65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65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65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65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65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65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65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65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65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65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63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63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63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63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63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63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63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63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63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63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63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63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63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63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63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63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63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63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63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63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63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63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63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63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63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63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63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63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61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61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61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61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56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56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56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56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56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55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55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55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55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55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55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55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55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55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55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55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55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52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52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52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52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52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52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52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52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52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52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52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52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52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52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52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52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52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52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52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52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52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52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52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52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52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52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52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52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52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51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50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49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49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49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49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49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49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49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49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49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49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49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49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49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49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49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49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49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49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49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49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49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49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49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49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49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49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49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48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48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48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48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48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48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48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48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48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48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48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48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48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48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48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48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48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48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48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48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48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48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48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48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48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48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48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48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48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48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48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48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48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48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48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48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48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48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48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47"/>
    <s v="Ruby Grace Garcia"/>
    <m/>
  </r>
  <r>
    <x v="408"/>
    <x v="1"/>
    <x v="8"/>
    <s v="ITEMPEU_001700006137"/>
    <s v="H000004596"/>
    <n v="0"/>
    <s v="Non-LFF"/>
    <s v=""/>
    <m/>
    <b v="0"/>
    <x v="1"/>
    <x v="0"/>
    <d v="2025-10-24T00:00:00"/>
    <m/>
    <m/>
    <x v="1"/>
    <n v="50"/>
    <s v="Anna Glab"/>
    <m/>
  </r>
  <r>
    <x v="408"/>
    <x v="1"/>
    <x v="8"/>
    <s v="ITEMPEU_001700006138"/>
    <s v="H000004597"/>
    <n v="0"/>
    <s v="Non-LFF"/>
    <s v=""/>
    <m/>
    <b v="0"/>
    <x v="1"/>
    <x v="0"/>
    <d v="2025-10-24T00:00:00"/>
    <m/>
    <m/>
    <x v="1"/>
    <n v="50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45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45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45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45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45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45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45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45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45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45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45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45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45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45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45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45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45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45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45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45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45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45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45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45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45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45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45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45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45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45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45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45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45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45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45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45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45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45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45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45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45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45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45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45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45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45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45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45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45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43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43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43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43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43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43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43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43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43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43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43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43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43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43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43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43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43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43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43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43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43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43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43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43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43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43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43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43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43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42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40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40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40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37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37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37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37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37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37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37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37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37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37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37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37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37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37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37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37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37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37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37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37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37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37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37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37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37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37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37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37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37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37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37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37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37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37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37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37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37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37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37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37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37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37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37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37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37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37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37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37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37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37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37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37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37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37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37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37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37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37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37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34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34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34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34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34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34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34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34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34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34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34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34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34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34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34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34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34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34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34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34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34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34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34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34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33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33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33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33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33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33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33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33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33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33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33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33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33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33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31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31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31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31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31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31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31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29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29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29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29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29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29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29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29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29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29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29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29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29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29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29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29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29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29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29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29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29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29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29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29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29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29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29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29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29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29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29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29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29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29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29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29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29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29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29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29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29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29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29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29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29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29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29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29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29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29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29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29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29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29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29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29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29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29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29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29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29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29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29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29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28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28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28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28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28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28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28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28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28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28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26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26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26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26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26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26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26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26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26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26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26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26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26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26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26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26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26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26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26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26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26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26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26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26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26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26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26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26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26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26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26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26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26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26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25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25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25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25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25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25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25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25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25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25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25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25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25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25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25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25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25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25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25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25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25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25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25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25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25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25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25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25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25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25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25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25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25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25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25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25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25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25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25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25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25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25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25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25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25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25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25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25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25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25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25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25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25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25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25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25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25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25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25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25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25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25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25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25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25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25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25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25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25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25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25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25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25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25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25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25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25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25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25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25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25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25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25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25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25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25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25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25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25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25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25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25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25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25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25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25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25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25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25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25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25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25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25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25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25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25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25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25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25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25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25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25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25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25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25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25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25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25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25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25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25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25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25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25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25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25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25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25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25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25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25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25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25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25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25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25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25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25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25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25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25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25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25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25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25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24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24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24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24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24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24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24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24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24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24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24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24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24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24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24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24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24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24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24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24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24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24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24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24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24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24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24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24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23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23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23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23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23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23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23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23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23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23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23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22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22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22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22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22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22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22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22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22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22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22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22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22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22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22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22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22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22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22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22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22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22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22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22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22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22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1"/>
    <n v="21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21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20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20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20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20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20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20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20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20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20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1"/>
    <n v="20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20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20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20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20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20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20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20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20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20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20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19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19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1"/>
    <n v="19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19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19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19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19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19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19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19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19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19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19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19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19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19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19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19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19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19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19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19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19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19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19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19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19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1"/>
    <n v="19"/>
    <s v="Ruby Grace Garcia"/>
    <m/>
  </r>
  <r>
    <x v="463"/>
    <x v="1"/>
    <x v="8"/>
    <s v="RDC0000095"/>
    <s v="H000004396"/>
    <s v="DFLTPGCOH_MISSING_NODES"/>
    <s v="Non-LFF"/>
    <s v=""/>
    <m/>
    <b v="0"/>
    <x v="1"/>
    <x v="0"/>
    <d v="2025-12-08T00:00:00"/>
    <m/>
    <m/>
    <x v="1"/>
    <n v="19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1"/>
    <n v="19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1"/>
    <n v="19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1"/>
    <n v="19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1"/>
    <n v="19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1"/>
    <n v="19"/>
    <s v="Ruby Grace Garcia"/>
    <m/>
  </r>
  <r>
    <x v="465"/>
    <x v="0"/>
    <x v="2"/>
    <s v="D00134300000000 EUV Rinse G5 – Samsung SF1.4"/>
    <s v="P000001013"/>
    <s v="P000001013"/>
    <s v="Non-LFF"/>
    <s v=""/>
    <m/>
    <b v="1"/>
    <x v="3"/>
    <x v="0"/>
    <d v="2025-12-10T00:00:00"/>
    <m/>
    <m/>
    <x v="1"/>
    <n v="17"/>
    <s v="John Rowie Del Rosario"/>
    <m/>
  </r>
  <r>
    <x v="465"/>
    <x v="0"/>
    <x v="2"/>
    <s v="D00134400000000 EUV Rinse G5 – Intel A14"/>
    <s v="P000001013"/>
    <s v="P000001013"/>
    <s v="Non-LFF"/>
    <s v=""/>
    <m/>
    <b v="1"/>
    <x v="3"/>
    <x v="0"/>
    <d v="2025-12-10T00:00:00"/>
    <m/>
    <m/>
    <x v="1"/>
    <n v="17"/>
    <s v="John Rowie Del Rosario"/>
    <m/>
  </r>
  <r>
    <x v="465"/>
    <x v="0"/>
    <x v="2"/>
    <s v="D00134000000000 PFAS-free KrF Resist"/>
    <s v="P000001013"/>
    <s v="P000001013"/>
    <s v="Non-LFF"/>
    <m/>
    <m/>
    <b v="1"/>
    <x v="3"/>
    <x v="0"/>
    <d v="2025-12-10T00:00:00"/>
    <m/>
    <m/>
    <x v="1"/>
    <n v="17"/>
    <s v="John Rowie Del Rosario"/>
    <m/>
  </r>
  <r>
    <x v="465"/>
    <x v="0"/>
    <x v="2"/>
    <s v="D00134100000000 EUV Rinse G5 – Micron 180s"/>
    <s v="P000001013"/>
    <s v="P000001013"/>
    <s v="Non-LFF"/>
    <s v=""/>
    <m/>
    <b v="1"/>
    <x v="3"/>
    <x v="0"/>
    <d v="2025-12-10T00:00:00"/>
    <m/>
    <m/>
    <x v="1"/>
    <n v="17"/>
    <s v="John Rowie Del Rosario"/>
    <m/>
  </r>
  <r>
    <x v="465"/>
    <x v="0"/>
    <x v="2"/>
    <s v="D00133900000000 PFAS-free i-line Resists"/>
    <s v="P000001013"/>
    <s v="P000001013"/>
    <s v="Non-LFF"/>
    <s v=""/>
    <m/>
    <b v="1"/>
    <x v="3"/>
    <x v="0"/>
    <d v="2025-12-10T00:00:00"/>
    <m/>
    <m/>
    <x v="1"/>
    <n v="17"/>
    <s v="John Rowie Del Rosario"/>
    <m/>
  </r>
  <r>
    <x v="465"/>
    <x v="0"/>
    <x v="2"/>
    <s v="D00134700000000 FZero Sensitizer tBuDHN"/>
    <s v="P000001013"/>
    <s v="P000001013"/>
    <s v="Non-LFF"/>
    <s v=""/>
    <m/>
    <b v="1"/>
    <x v="3"/>
    <x v="0"/>
    <d v="2025-12-10T00:00:00"/>
    <m/>
    <m/>
    <x v="1"/>
    <n v="17"/>
    <s v="John Rowie Del Rosario"/>
    <m/>
  </r>
  <r>
    <x v="465"/>
    <x v="0"/>
    <x v="2"/>
    <s v="D00134200000000 EUV Rinse G5 – SK Hynix D1d"/>
    <s v="P000001013"/>
    <s v="P000001013"/>
    <s v="Non-LFF"/>
    <s v=""/>
    <m/>
    <b v="1"/>
    <x v="3"/>
    <x v="0"/>
    <d v="2025-12-10T00:00:00"/>
    <m/>
    <m/>
    <x v="1"/>
    <n v="17"/>
    <s v="John Rowie Del Rosario"/>
    <m/>
  </r>
  <r>
    <x v="465"/>
    <x v="0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1"/>
    <n v="17"/>
    <s v="John Rowie Del Rosario"/>
    <m/>
  </r>
  <r>
    <x v="466"/>
    <x v="1"/>
    <x v="2"/>
    <s v="CFLTFLE_2152IMIPEVOL01"/>
    <s v="P000000411"/>
    <s v="P000000411"/>
    <s v="Non-LFF"/>
    <s v=""/>
    <m/>
    <b v="1"/>
    <x v="3"/>
    <x v="0"/>
    <d v="2025-12-12T00:00:00"/>
    <m/>
    <m/>
    <x v="1"/>
    <n v="15"/>
    <s v="Roselle Delos Angeles"/>
    <m/>
  </r>
  <r>
    <x v="466"/>
    <x v="1"/>
    <x v="8"/>
    <s v="CFLTFLE_2152IMIPPCRD01"/>
    <s v="P000000540"/>
    <s v="DFLTPGCOH_002152"/>
    <s v="Non-LFF"/>
    <s v=""/>
    <m/>
    <b v="0"/>
    <x v="3"/>
    <x v="0"/>
    <d v="2025-12-12T00:00:00"/>
    <m/>
    <m/>
    <x v="1"/>
    <n v="15"/>
    <s v="Roselle Delos Angeles"/>
    <m/>
  </r>
  <r>
    <x v="466"/>
    <x v="1"/>
    <x v="2"/>
    <s v="CLFF_1000$$$DE04OF1000 R&amp;D Europe GoGlobal Trainee"/>
    <s v="P000001336"/>
    <s v="P000001336"/>
    <s v="LFF (MDG-F)"/>
    <s v="DE04OF1000"/>
    <m/>
    <b v="1"/>
    <x v="3"/>
    <x v="0"/>
    <d v="2025-12-12T00:00:00"/>
    <m/>
    <m/>
    <x v="1"/>
    <n v="15"/>
    <s v="Roselle Delos Angeles"/>
    <m/>
  </r>
  <r>
    <x v="466"/>
    <x v="1"/>
    <x v="2"/>
    <s v="CLFF_1000$$$DE01OF0304 PM-OES Supply Chain 4.0"/>
    <s v="P000000575"/>
    <s v="P000000575"/>
    <s v="LFF (MDG-F)"/>
    <s v="DE01OF0304"/>
    <m/>
    <b v="1"/>
    <x v="3"/>
    <x v="0"/>
    <d v="2025-12-12T00:00:00"/>
    <m/>
    <m/>
    <x v="1"/>
    <n v="15"/>
    <s v="Roselle Delos Angeles"/>
    <m/>
  </r>
  <r>
    <x v="466"/>
    <x v="1"/>
    <x v="2"/>
    <s v="CLFF_1000$$$TW02TPTA14 PM-OES Supply Chain 4.0"/>
    <s v="P000000575"/>
    <s v="P000000575"/>
    <s v="LFF (MDG-F)"/>
    <s v="TW02TPTA14"/>
    <m/>
    <b v="1"/>
    <x v="3"/>
    <x v="0"/>
    <d v="2025-12-12T00:00:00"/>
    <m/>
    <m/>
    <x v="1"/>
    <n v="15"/>
    <s v="Roselle Delos Angeles"/>
    <m/>
  </r>
  <r>
    <x v="467"/>
    <x v="0"/>
    <x v="2"/>
    <s v="CORAERP_MMOR1975.6201 GENM - CELL THERAPY BIOP. R&amp;D"/>
    <s v="L000013511"/>
    <s v="L000013511"/>
    <s v="Non-LFF"/>
    <s v=""/>
    <m/>
    <b v="1"/>
    <x v="2"/>
    <x v="0"/>
    <d v="2025-12-15T00:00:00"/>
    <m/>
    <m/>
    <x v="1"/>
    <n v="14"/>
    <s v="Ruby Grace Garcia"/>
    <m/>
  </r>
  <r>
    <x v="467"/>
    <x v="0"/>
    <x v="2"/>
    <s v="CORAERP_MMOR1945.5124 BioP Process &amp; Governance"/>
    <s v="L000013915"/>
    <s v="L000013915"/>
    <s v="Non-LFF"/>
    <s v=""/>
    <m/>
    <b v="1"/>
    <x v="2"/>
    <x v="0"/>
    <d v="2025-12-15T00:00:00"/>
    <m/>
    <m/>
    <x v="1"/>
    <n v="14"/>
    <s v="Ruby Grace Garcia"/>
    <m/>
  </r>
  <r>
    <x v="467"/>
    <x v="0"/>
    <x v="2"/>
    <s v="CNOW_7210$$$0000025463 Marketing Ops (Upstream &amp; Systems)"/>
    <s v="L000013915"/>
    <s v="L000013915"/>
    <s v="Non-LFF"/>
    <s v=""/>
    <m/>
    <b v="1"/>
    <x v="2"/>
    <x v="0"/>
    <d v="2025-12-15T00:00:00"/>
    <m/>
    <m/>
    <x v="1"/>
    <n v="14"/>
    <s v="Ruby Grace Garcia"/>
    <m/>
  </r>
  <r>
    <x v="467"/>
    <x v="0"/>
    <x v="2"/>
    <s v="CTEMPLA_1000BR10000003 Downstream Marketing Brazil"/>
    <s v="L000013912"/>
    <s v="L000013912"/>
    <s v="Non-LFF"/>
    <s v=""/>
    <m/>
    <b v="1"/>
    <x v="2"/>
    <x v="0"/>
    <d v="2025-12-15T00:00:00"/>
    <m/>
    <m/>
    <x v="1"/>
    <n v="14"/>
    <s v="Ruby Grace Garcia"/>
    <m/>
  </r>
  <r>
    <x v="467"/>
    <x v="0"/>
    <x v="2"/>
    <s v="CTEMPEU_1000AT40MS0012 PS Downstream Aseptic for personell cost"/>
    <s v="L000013914"/>
    <s v="L000013914"/>
    <s v="Non-LFF"/>
    <s v=""/>
    <m/>
    <b v="1"/>
    <x v="2"/>
    <x v="0"/>
    <d v="2025-12-15T00:00:00"/>
    <m/>
    <m/>
    <x v="1"/>
    <n v="14"/>
    <s v="Ruby Grace Garcia"/>
    <m/>
  </r>
  <r>
    <x v="467"/>
    <x v="0"/>
    <x v="2"/>
    <s v="CLFF_7210$$$1756C00005 BioC Innovation Mgmt Mkt UK"/>
    <s v="L000013913"/>
    <s v="L000013913"/>
    <s v="LFF (MDG-F)"/>
    <s v="1756C00005"/>
    <m/>
    <b v="1"/>
    <x v="2"/>
    <x v="0"/>
    <d v="2025-12-15T00:00:00"/>
    <m/>
    <m/>
    <x v="1"/>
    <n v="14"/>
    <s v="Ruby Grace Garcia"/>
    <m/>
  </r>
  <r>
    <x v="468"/>
    <x v="1"/>
    <x v="7"/>
    <s v="CNOW_7210$$$0000021322 SM-AL8 Biomolecular ARD US"/>
    <s v="L000006661"/>
    <s v="G000000864"/>
    <s v="Non-LFF"/>
    <s v=""/>
    <s v="TO BE DONE IN 2026"/>
    <b v="0"/>
    <x v="0"/>
    <x v="0"/>
    <d v="2025-12-15T00:00:00"/>
    <m/>
    <m/>
    <x v="1"/>
    <n v="14"/>
    <s v="Manuel Walther"/>
    <m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11"/>
    <s v="Nadine Anic"/>
    <m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11"/>
    <s v="Nadine Anic"/>
    <m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11"/>
    <s v="Nadine Anic"/>
    <m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11"/>
    <s v="Nadine Anic"/>
    <m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11"/>
    <s v="Ruby Grace Garcia"/>
    <m/>
  </r>
  <r>
    <x v="470"/>
    <x v="0"/>
    <x v="2"/>
    <s v="PNEXT_D300120210201000000 "/>
    <s v="L000011451"/>
    <s v="L000011451"/>
    <s v="Non-LFF"/>
    <s v=""/>
    <m/>
    <b v="1"/>
    <x v="2"/>
    <x v="0"/>
    <d v="2025-12-18T00:00:00"/>
    <m/>
    <m/>
    <x v="1"/>
    <n v="11"/>
    <s v="Ruby Grace Garcia"/>
    <m/>
  </r>
  <r>
    <x v="470"/>
    <x v="0"/>
    <x v="2"/>
    <s v="IEMERAL_000009101287 "/>
    <s v="L000008442"/>
    <s v="L000008442"/>
    <s v="Non-LFF"/>
    <s v=""/>
    <m/>
    <b v="1"/>
    <x v="2"/>
    <x v="0"/>
    <d v="2025-12-18T00:00:00"/>
    <m/>
    <m/>
    <x v="1"/>
    <n v="11"/>
    <s v="Ruby Grace Garcia"/>
    <m/>
  </r>
  <r>
    <x v="470"/>
    <x v="0"/>
    <x v="2"/>
    <s v="CSCALA_1248$BMGR "/>
    <s v="L000005798"/>
    <s v="L000005798"/>
    <s v="Non-LFF"/>
    <s v=""/>
    <m/>
    <b v="1"/>
    <x v="2"/>
    <x v="0"/>
    <d v="2025-12-18T00:00:00"/>
    <m/>
    <m/>
    <x v="1"/>
    <n v="11"/>
    <s v="Ruby Grace Garcia"/>
    <m/>
  </r>
  <r>
    <x v="470"/>
    <x v="0"/>
    <x v="2"/>
    <s v="T00054100000 "/>
    <s v="L000011451"/>
    <s v="L000011451"/>
    <s v="Non-LFF"/>
    <s v=""/>
    <m/>
    <b v="1"/>
    <x v="2"/>
    <x v="0"/>
    <d v="2025-12-18T00:00:00"/>
    <m/>
    <m/>
    <x v="1"/>
    <n v="11"/>
    <s v="Ruby Grace Garcia"/>
    <m/>
  </r>
  <r>
    <x v="470"/>
    <x v="0"/>
    <x v="2"/>
    <s v="CORAERP_MMOR1945.5595 "/>
    <s v="L000007997"/>
    <s v="L000007997"/>
    <s v="Non-LFF"/>
    <s v=""/>
    <m/>
    <b v="1"/>
    <x v="2"/>
    <x v="0"/>
    <d v="2025-12-18T00:00:00"/>
    <m/>
    <m/>
    <x v="1"/>
    <n v="11"/>
    <s v="Ruby Grace Garcia"/>
    <m/>
  </r>
  <r>
    <x v="470"/>
    <x v="0"/>
    <x v="2"/>
    <s v="CORAERP_MMOR1945.5898 "/>
    <s v="L000012324"/>
    <s v="L000012324"/>
    <s v="Non-LFF"/>
    <s v=""/>
    <m/>
    <b v="1"/>
    <x v="2"/>
    <x v="0"/>
    <d v="2025-12-18T00:00:00"/>
    <m/>
    <m/>
    <x v="1"/>
    <n v="11"/>
    <s v="Ruby Grace Garcia"/>
    <m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11"/>
    <s v="Nadine Anic"/>
    <m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11"/>
    <s v="Nadine Anic"/>
    <m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11"/>
    <s v="Nadine Anic"/>
    <m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11"/>
    <s v="Nadine Anic"/>
    <m/>
  </r>
  <r>
    <x v="472"/>
    <x v="1"/>
    <x v="2"/>
    <s v="ITEMPLA_009002000163"/>
    <s v="G000000187"/>
    <s v="G000000187"/>
    <s v="Non-LFF"/>
    <s v=""/>
    <m/>
    <b v="1"/>
    <x v="0"/>
    <x v="0"/>
    <d v="2025-12-24T00:00:00"/>
    <m/>
    <m/>
    <x v="1"/>
    <n v="7"/>
    <s v="Joshua De Guzman"/>
    <m/>
  </r>
  <r>
    <x v="472"/>
    <x v="1"/>
    <x v="2"/>
    <s v="ITEMPLA_009002000133"/>
    <s v="G000000187"/>
    <s v="G000000187"/>
    <s v="Non-LFF"/>
    <s v=""/>
    <m/>
    <b v="1"/>
    <x v="0"/>
    <x v="0"/>
    <d v="2025-12-24T00:00:00"/>
    <m/>
    <m/>
    <x v="1"/>
    <n v="7"/>
    <s v="Joshua De Guzman"/>
    <m/>
  </r>
  <r>
    <x v="472"/>
    <x v="1"/>
    <x v="2"/>
    <s v="ITEMPLA_009002000161"/>
    <s v="G000000187"/>
    <s v="G000000187"/>
    <s v="Non-LFF"/>
    <s v=""/>
    <m/>
    <b v="1"/>
    <x v="0"/>
    <x v="0"/>
    <d v="2025-12-24T00:00:00"/>
    <m/>
    <m/>
    <x v="1"/>
    <n v="7"/>
    <s v="Joshua De Guzman"/>
    <m/>
  </r>
  <r>
    <x v="472"/>
    <x v="1"/>
    <x v="2"/>
    <s v="ITEMPLA_009002000179"/>
    <s v="G000000187"/>
    <s v="G000000187"/>
    <s v="Non-LFF"/>
    <s v=""/>
    <m/>
    <b v="1"/>
    <x v="0"/>
    <x v="0"/>
    <d v="2025-12-24T00:00:00"/>
    <m/>
    <m/>
    <x v="1"/>
    <n v="7"/>
    <s v="Joshua De Guzman"/>
    <m/>
  </r>
  <r>
    <x v="472"/>
    <x v="1"/>
    <x v="2"/>
    <s v="ITEMPLA_009002000127"/>
    <s v="G000000187"/>
    <s v="G000000187"/>
    <s v="Non-LFF"/>
    <s v=""/>
    <m/>
    <b v="1"/>
    <x v="0"/>
    <x v="0"/>
    <d v="2025-12-24T00:00:00"/>
    <m/>
    <m/>
    <x v="1"/>
    <n v="7"/>
    <s v="Joshua De Guzman"/>
    <m/>
  </r>
  <r>
    <x v="472"/>
    <x v="1"/>
    <x v="2"/>
    <s v="ITEMPLA_009002000161"/>
    <s v="G000000187"/>
    <s v="G000000187"/>
    <s v="Non-LFF"/>
    <s v=""/>
    <m/>
    <b v="1"/>
    <x v="0"/>
    <x v="0"/>
    <d v="2025-12-24T00:00:00"/>
    <m/>
    <m/>
    <x v="1"/>
    <n v="7"/>
    <s v="Joshua De Guzman"/>
    <m/>
  </r>
  <r>
    <x v="472"/>
    <x v="1"/>
    <x v="2"/>
    <s v="ITEMPLA_009002000095"/>
    <s v="G000000187"/>
    <s v="G000000187"/>
    <s v="Non-LFF"/>
    <s v=""/>
    <m/>
    <b v="1"/>
    <x v="0"/>
    <x v="0"/>
    <d v="2025-12-24T00:00:00"/>
    <m/>
    <m/>
    <x v="1"/>
    <n v="7"/>
    <s v="Joshua De Guzman"/>
    <m/>
  </r>
  <r>
    <x v="472"/>
    <x v="1"/>
    <x v="2"/>
    <s v="ITEMPLA_009002000181"/>
    <s v="G000000187"/>
    <s v="G000000187"/>
    <s v="Non-LFF"/>
    <s v=""/>
    <m/>
    <b v="1"/>
    <x v="0"/>
    <x v="0"/>
    <d v="2025-12-24T00:00:00"/>
    <m/>
    <m/>
    <x v="1"/>
    <n v="7"/>
    <s v="Joshua De Guzman"/>
    <m/>
  </r>
  <r>
    <x v="472"/>
    <x v="1"/>
    <x v="2"/>
    <s v="ITEMPLA_009002000132"/>
    <s v="G000000187"/>
    <s v="G000000187"/>
    <s v="Non-LFF"/>
    <s v=""/>
    <m/>
    <b v="1"/>
    <x v="0"/>
    <x v="0"/>
    <d v="2025-12-24T00:00:00"/>
    <m/>
    <m/>
    <x v="1"/>
    <n v="7"/>
    <s v="Joshua De Guzman"/>
    <m/>
  </r>
  <r>
    <x v="472"/>
    <x v="1"/>
    <x v="2"/>
    <s v="ITEMPLA_009002000210"/>
    <s v="G000000187"/>
    <s v="G000000187"/>
    <s v="Non-LFF"/>
    <s v=""/>
    <m/>
    <b v="1"/>
    <x v="0"/>
    <x v="0"/>
    <d v="2025-12-24T00:00:00"/>
    <m/>
    <m/>
    <x v="1"/>
    <n v="7"/>
    <s v="Joshua De Guzman"/>
    <m/>
  </r>
  <r>
    <x v="472"/>
    <x v="1"/>
    <x v="2"/>
    <s v="ITEMPLA_009002000178"/>
    <s v="G000000187"/>
    <s v="G000000187"/>
    <s v="Non-LFF"/>
    <s v=""/>
    <m/>
    <b v="1"/>
    <x v="0"/>
    <x v="0"/>
    <d v="2025-12-24T00:00:00"/>
    <m/>
    <m/>
    <x v="1"/>
    <n v="7"/>
    <s v="Joshua De Guzman"/>
    <m/>
  </r>
  <r>
    <x v="472"/>
    <x v="1"/>
    <x v="2"/>
    <s v="ITEMPLA_009002000096"/>
    <s v="G000000187"/>
    <s v="G000000187"/>
    <s v="Non-LFF"/>
    <s v=""/>
    <m/>
    <b v="1"/>
    <x v="0"/>
    <x v="0"/>
    <d v="2025-12-24T00:00:00"/>
    <m/>
    <m/>
    <x v="1"/>
    <n v="7"/>
    <s v="Joshua De Guzman"/>
    <m/>
  </r>
  <r>
    <x v="472"/>
    <x v="1"/>
    <x v="2"/>
    <s v="ITEMPLA_009002000182"/>
    <s v="G000000187"/>
    <s v="G000000187"/>
    <s v="Non-LFF"/>
    <s v=""/>
    <m/>
    <b v="1"/>
    <x v="0"/>
    <x v="0"/>
    <d v="2025-12-24T00:00:00"/>
    <m/>
    <m/>
    <x v="1"/>
    <n v="7"/>
    <s v="Joshua De Guzman"/>
    <m/>
  </r>
  <r>
    <x v="472"/>
    <x v="1"/>
    <x v="2"/>
    <s v="ITEMPLA_009002000164"/>
    <s v="G000000187"/>
    <s v="G000000187"/>
    <s v="Non-LFF"/>
    <s v=""/>
    <m/>
    <b v="1"/>
    <x v="0"/>
    <x v="0"/>
    <d v="2025-12-24T00:00:00"/>
    <m/>
    <m/>
    <x v="1"/>
    <n v="7"/>
    <s v="Joshua De Guzman"/>
    <m/>
  </r>
  <r>
    <x v="472"/>
    <x v="1"/>
    <x v="2"/>
    <s v="ITEMPLA_009002000180"/>
    <s v="G000000187"/>
    <s v="G000000187"/>
    <s v="Non-LFF"/>
    <s v=""/>
    <m/>
    <b v="1"/>
    <x v="0"/>
    <x v="0"/>
    <d v="2025-12-24T00:00:00"/>
    <m/>
    <m/>
    <x v="1"/>
    <n v="7"/>
    <s v="Joshua De Guzman"/>
    <m/>
  </r>
  <r>
    <x v="472"/>
    <x v="1"/>
    <x v="2"/>
    <s v="ITEMPLA_009002000240"/>
    <s v="G000000187"/>
    <s v="G000000187"/>
    <s v="Non-LFF"/>
    <s v=""/>
    <m/>
    <b v="1"/>
    <x v="0"/>
    <x v="0"/>
    <d v="2025-12-24T00:00:00"/>
    <m/>
    <m/>
    <x v="1"/>
    <n v="7"/>
    <s v="Joshua De Guzman"/>
    <m/>
  </r>
  <r>
    <x v="473"/>
    <x v="1"/>
    <x v="2"/>
    <s v="CNOW_7210$$$0000051907"/>
    <s v="L000013436"/>
    <s v="L000013436"/>
    <s v="Non-LFF"/>
    <s v=""/>
    <m/>
    <b v="1"/>
    <x v="2"/>
    <x v="0"/>
    <d v="2025-12-29T00:00:00"/>
    <m/>
    <m/>
    <x v="0"/>
    <n v="4"/>
    <s v="Ruby Grace Garcia"/>
    <m/>
  </r>
  <r>
    <x v="473"/>
    <x v="1"/>
    <x v="2"/>
    <s v="CNOW_7210$$$0000056113"/>
    <s v="L000013436"/>
    <s v="L000013436"/>
    <s v="Non-LFF"/>
    <s v=""/>
    <m/>
    <b v="1"/>
    <x v="2"/>
    <x v="0"/>
    <d v="2025-12-29T00:00:00"/>
    <m/>
    <m/>
    <x v="0"/>
    <n v="4"/>
    <s v="Ruby Grace Garcia"/>
    <m/>
  </r>
  <r>
    <x v="473"/>
    <x v="1"/>
    <x v="2"/>
    <s v="CNOW_7210$$$0000010422"/>
    <s v="L000010057"/>
    <s v="L000010057"/>
    <s v="Non-LFF"/>
    <s v=""/>
    <m/>
    <b v="1"/>
    <x v="2"/>
    <x v="0"/>
    <d v="2025-12-29T00:00:00"/>
    <m/>
    <m/>
    <x v="0"/>
    <n v="4"/>
    <s v="Ruby Grace Garcia"/>
    <m/>
  </r>
  <r>
    <x v="474"/>
    <x v="1"/>
    <x v="5"/>
    <s v="CNOW_7210$$$0000020055"/>
    <s v="L000011321"/>
    <s v="DFLTPGCOH_002106"/>
    <s v="Non-LFF"/>
    <s v=""/>
    <m/>
    <b v="0"/>
    <x v="2"/>
    <x v="0"/>
    <d v="2026-01-02T00:00:00"/>
    <m/>
    <m/>
    <x v="0"/>
    <n v="0"/>
    <s v="Ruby Grace Garcia"/>
    <m/>
  </r>
  <r>
    <x v="474"/>
    <x v="1"/>
    <x v="5"/>
    <s v="CNOW_7210$$$0000020981"/>
    <s v="L000011157"/>
    <s v="DFLTPGCOH_002097"/>
    <s v="Non-LFF"/>
    <s v=""/>
    <m/>
    <b v="0"/>
    <x v="2"/>
    <x v="0"/>
    <d v="2026-01-02T00:00:00"/>
    <m/>
    <m/>
    <x v="0"/>
    <n v="0"/>
    <s v="Ruby Grace Garcia"/>
    <m/>
  </r>
  <r>
    <x v="474"/>
    <x v="1"/>
    <x v="5"/>
    <s v="CNOW_7210$$$0000015480"/>
    <s v="L000011157"/>
    <s v="DFLTPGCOH_002002"/>
    <s v="Non-LFF"/>
    <s v=""/>
    <m/>
    <b v="0"/>
    <x v="2"/>
    <x v="0"/>
    <d v="2026-01-02T00:00:00"/>
    <m/>
    <m/>
    <x v="0"/>
    <n v="0"/>
    <s v="Ruby Grace Garcia"/>
    <m/>
  </r>
  <r>
    <x v="474"/>
    <x v="1"/>
    <x v="5"/>
    <s v="CNOW_ROW$$$$0000095644"/>
    <s v="L000013119"/>
    <s v="DFLTPGCOH_002116"/>
    <s v="Non-LFF"/>
    <s v=""/>
    <m/>
    <b v="0"/>
    <x v="2"/>
    <x v="0"/>
    <d v="2026-01-02T00:00:00"/>
    <m/>
    <m/>
    <x v="0"/>
    <n v="0"/>
    <s v="Ruby Grace Garcia"/>
    <m/>
  </r>
  <r>
    <x v="474"/>
    <x v="1"/>
    <x v="5"/>
    <s v="CNOW_7210$$$0000059617"/>
    <s v="L000013119"/>
    <s v="DFLTPGCOH_002113"/>
    <s v="Non-LFF"/>
    <s v=""/>
    <m/>
    <b v="0"/>
    <x v="2"/>
    <x v="0"/>
    <d v="2026-01-02T00:00:00"/>
    <m/>
    <m/>
    <x v="0"/>
    <n v="0"/>
    <s v="Ruby Grace Garcia"/>
    <m/>
  </r>
  <r>
    <x v="474"/>
    <x v="1"/>
    <x v="5"/>
    <s v="CNOW_7210$$$0000266012"/>
    <s v="L000007229"/>
    <s v="DFLTPGCOH_002072"/>
    <s v="Non-LFF"/>
    <s v=""/>
    <m/>
    <b v="0"/>
    <x v="2"/>
    <x v="0"/>
    <d v="2026-01-02T00:00:00"/>
    <m/>
    <m/>
    <x v="0"/>
    <n v="0"/>
    <s v="Ruby Grace Garcia"/>
    <m/>
  </r>
  <r>
    <x v="474"/>
    <x v="1"/>
    <x v="5"/>
    <s v="CNOW_7210$$$0000058852"/>
    <s v="L000011239"/>
    <s v="DFLTPGCOH_002001"/>
    <s v="Non-LFF"/>
    <s v=""/>
    <m/>
    <b v="0"/>
    <x v="2"/>
    <x v="0"/>
    <d v="2026-01-02T00:00:00"/>
    <m/>
    <m/>
    <x v="0"/>
    <n v="0"/>
    <s v="Ruby Grace Garcia"/>
    <m/>
  </r>
  <r>
    <x v="474"/>
    <x v="1"/>
    <x v="5"/>
    <s v="CNOW_7210$$$0000058853"/>
    <s v="L000011239"/>
    <s v="DFLTPGCOH_002001"/>
    <s v="Non-LFF"/>
    <s v=""/>
    <m/>
    <b v="0"/>
    <x v="2"/>
    <x v="0"/>
    <d v="2026-01-02T00:00:00"/>
    <m/>
    <m/>
    <x v="0"/>
    <n v="0"/>
    <s v="Ruby Grace Garcia"/>
    <m/>
  </r>
  <r>
    <x v="474"/>
    <x v="1"/>
    <x v="5"/>
    <s v="CNOW_7210$$$0000058854"/>
    <s v="L000011239"/>
    <s v="DFLTPGCOH_002001"/>
    <s v="Non-LFF"/>
    <s v=""/>
    <m/>
    <b v="0"/>
    <x v="2"/>
    <x v="0"/>
    <d v="2026-01-02T00:00:00"/>
    <m/>
    <m/>
    <x v="0"/>
    <n v="0"/>
    <s v="Ruby Grace Garcia"/>
    <m/>
  </r>
  <r>
    <x v="474"/>
    <x v="1"/>
    <x v="5"/>
    <s v="CNOW_7210$$$0000052122"/>
    <s v="L000011157"/>
    <s v="DFLTPGCOH_002061"/>
    <s v="Non-LFF"/>
    <s v=""/>
    <m/>
    <b v="0"/>
    <x v="2"/>
    <x v="0"/>
    <d v="2026-01-02T00:00:00"/>
    <m/>
    <m/>
    <x v="0"/>
    <n v="0"/>
    <s v="Ruby Grace Garcia"/>
    <m/>
  </r>
  <r>
    <x v="474"/>
    <x v="1"/>
    <x v="5"/>
    <s v="CNOW_7210$$$0000020942"/>
    <s v="L000011157"/>
    <s v="DFLTPGCOH_002097"/>
    <s v="Non-LFF"/>
    <s v=""/>
    <m/>
    <b v="0"/>
    <x v="2"/>
    <x v="0"/>
    <d v="2026-01-02T00:00:00"/>
    <m/>
    <m/>
    <x v="0"/>
    <n v="0"/>
    <s v="Ruby Grace Garcia"/>
    <m/>
  </r>
  <r>
    <x v="474"/>
    <x v="1"/>
    <x v="5"/>
    <s v="CNOW_7210$$$0000020426"/>
    <s v="L000013905"/>
    <s v="DFLTPGCOH_002097"/>
    <s v="Non-LFF"/>
    <s v=""/>
    <m/>
    <b v="0"/>
    <x v="2"/>
    <x v="0"/>
    <d v="2026-01-02T00:00:00"/>
    <m/>
    <m/>
    <x v="0"/>
    <n v="0"/>
    <s v="Ruby Grace Garcia"/>
    <m/>
  </r>
  <r>
    <x v="474"/>
    <x v="1"/>
    <x v="5"/>
    <s v="CNOW_7210$$$0000057600"/>
    <s v="L000012219"/>
    <s v="DFLTPGCOH_002047"/>
    <s v="Non-LFF"/>
    <s v=""/>
    <m/>
    <b v="0"/>
    <x v="2"/>
    <x v="0"/>
    <d v="2026-01-02T00:00:00"/>
    <m/>
    <m/>
    <x v="0"/>
    <n v="0"/>
    <s v="Ruby Grace Garcia"/>
    <m/>
  </r>
  <r>
    <x v="474"/>
    <x v="1"/>
    <x v="5"/>
    <s v="CNOW_7210$$$0000057605"/>
    <s v="L000009119"/>
    <s v="DFLTPGCOH_002047"/>
    <s v="Non-LFF"/>
    <s v=""/>
    <m/>
    <b v="0"/>
    <x v="2"/>
    <x v="0"/>
    <d v="2026-01-02T00:00:00"/>
    <m/>
    <m/>
    <x v="0"/>
    <n v="0"/>
    <s v="Ruby Grace Garcia"/>
    <m/>
  </r>
  <r>
    <x v="474"/>
    <x v="1"/>
    <x v="5"/>
    <s v="CNOW_7210$$$0000025538"/>
    <s v="L000009119"/>
    <s v="DFLTPGCOH_002085"/>
    <s v="Non-LFF"/>
    <s v=""/>
    <m/>
    <b v="0"/>
    <x v="2"/>
    <x v="0"/>
    <d v="2026-01-02T00:00:00"/>
    <m/>
    <m/>
    <x v="0"/>
    <n v="0"/>
    <s v="Ruby Grace Garcia"/>
    <m/>
  </r>
  <r>
    <x v="474"/>
    <x v="1"/>
    <x v="5"/>
    <s v="CNOW_AUS0$$$0000092080"/>
    <s v="L000009119"/>
    <s v="DFLTPGCOH_002142"/>
    <s v="Non-LFF"/>
    <s v=""/>
    <m/>
    <b v="0"/>
    <x v="2"/>
    <x v="0"/>
    <d v="2026-01-02T00:00:00"/>
    <m/>
    <m/>
    <x v="0"/>
    <n v="0"/>
    <s v="Ruby Grace Garcia"/>
    <m/>
  </r>
  <r>
    <x v="474"/>
    <x v="1"/>
    <x v="5"/>
    <s v="CNOW_ROW$$$$K17B"/>
    <s v="L000011157"/>
    <s v="DFLTPGCOH_002136"/>
    <s v="Non-LFF"/>
    <s v=""/>
    <m/>
    <b v="0"/>
    <x v="2"/>
    <x v="0"/>
    <d v="2026-01-02T00:00:00"/>
    <m/>
    <m/>
    <x v="0"/>
    <n v="0"/>
    <s v="Ruby Grace Garcia"/>
    <m/>
  </r>
  <r>
    <x v="474"/>
    <x v="1"/>
    <x v="5"/>
    <s v="CNOW_7210$$$0000040182"/>
    <s v="L000013315"/>
    <s v="DFLTPGCOH_002097"/>
    <s v="Non-LFF"/>
    <s v=""/>
    <m/>
    <b v="0"/>
    <x v="2"/>
    <x v="0"/>
    <d v="2026-01-02T00:00:00"/>
    <m/>
    <m/>
    <x v="0"/>
    <n v="0"/>
    <s v="Ruby Grace Garcia"/>
    <m/>
  </r>
  <r>
    <x v="474"/>
    <x v="1"/>
    <x v="5"/>
    <s v="CNOW_7210$$$0000052123"/>
    <s v="L000011157"/>
    <s v="DFLTPGCOH_002061"/>
    <s v="Non-LFF"/>
    <s v=""/>
    <m/>
    <b v="0"/>
    <x v="2"/>
    <x v="0"/>
    <d v="2026-01-02T00:00:00"/>
    <m/>
    <m/>
    <x v="0"/>
    <n v="0"/>
    <s v="Ruby Grace Garcia"/>
    <m/>
  </r>
  <r>
    <x v="474"/>
    <x v="1"/>
    <x v="5"/>
    <s v="CNOW_7210$$$0000057905"/>
    <s v="L000011157"/>
    <s v="DFLTPGCOH_002047"/>
    <s v="Non-LFF"/>
    <s v=""/>
    <m/>
    <b v="0"/>
    <x v="2"/>
    <x v="0"/>
    <d v="2026-01-02T00:00:00"/>
    <m/>
    <m/>
    <x v="0"/>
    <n v="0"/>
    <s v="Ruby Grace Garcia"/>
    <m/>
  </r>
  <r>
    <x v="474"/>
    <x v="1"/>
    <x v="5"/>
    <s v="CNOW_7210$$$0000057906"/>
    <s v="L000011157"/>
    <s v="DFLTPGCOH_002047"/>
    <s v="Non-LFF"/>
    <s v=""/>
    <m/>
    <b v="0"/>
    <x v="2"/>
    <x v="0"/>
    <d v="2026-01-02T00:00:00"/>
    <m/>
    <m/>
    <x v="0"/>
    <n v="0"/>
    <s v="Ruby Grace Garcia"/>
    <m/>
  </r>
  <r>
    <x v="474"/>
    <x v="1"/>
    <x v="5"/>
    <s v="CNOW_AUS0$$$0000091769"/>
    <s v="L000012141"/>
    <s v="DFLTPGCOH_002142"/>
    <s v="Non-LFF"/>
    <s v=""/>
    <m/>
    <b v="0"/>
    <x v="2"/>
    <x v="0"/>
    <d v="2026-01-02T00:00:00"/>
    <m/>
    <m/>
    <x v="0"/>
    <n v="0"/>
    <s v="Ruby Grace Garcia"/>
    <m/>
  </r>
  <r>
    <x v="474"/>
    <x v="1"/>
    <x v="5"/>
    <s v="CORAERP_MMOR1945.9114"/>
    <s v="L000013905"/>
    <s v="DFLTPGCOH_BF-Y6_001945"/>
    <s v="Non-LFF"/>
    <s v=""/>
    <m/>
    <b v="0"/>
    <x v="2"/>
    <x v="0"/>
    <d v="2026-01-02T00:00:00"/>
    <m/>
    <m/>
    <x v="0"/>
    <n v="0"/>
    <s v="Ruby Grace Garcia"/>
    <m/>
  </r>
  <r>
    <x v="474"/>
    <x v="1"/>
    <x v="5"/>
    <s v="CEMERAL_64010010861301"/>
    <s v="L000011157"/>
    <s v="DFLTPGCOH_BF-C4_002177"/>
    <s v="Non-LFF"/>
    <s v=""/>
    <m/>
    <b v="0"/>
    <x v="2"/>
    <x v="0"/>
    <d v="2026-01-02T00:00:00"/>
    <m/>
    <m/>
    <x v="0"/>
    <n v="0"/>
    <s v="Ruby Grace Garcia"/>
    <m/>
  </r>
  <r>
    <x v="475"/>
    <x v="1"/>
    <x v="5"/>
    <s v="CORAERP_MMOR1975.9208 PS - A&amp;F Patent Fees"/>
    <s v="L000013785"/>
    <s v="L000006422"/>
    <s v="Non-LFF"/>
    <s v=""/>
    <m/>
    <b v="0"/>
    <x v="2"/>
    <x v="0"/>
    <d v="2026-01-02T00:00:00"/>
    <m/>
    <m/>
    <x v="0"/>
    <n v="0"/>
    <s v="Ruby Grace Garcia"/>
    <m/>
  </r>
  <r>
    <x v="476"/>
    <x v="1"/>
    <x v="3"/>
    <s v="CLFF_7210$$$2123TAJQ01 Equipment R&amp;D LSS"/>
    <s v="L000006432"/>
    <m/>
    <s v="LFF (MDG-F)"/>
    <s v="2123TAJQ01"/>
    <s v="mapped for 2025 do the same for 2026"/>
    <b v="0"/>
    <x v="2"/>
    <x v="0"/>
    <d v="2026-01-02T00:00:00"/>
    <m/>
    <m/>
    <x v="0"/>
    <n v="0"/>
    <s v="Ruby Grace Garcia"/>
    <m/>
  </r>
  <r>
    <x v="476"/>
    <x v="1"/>
    <x v="5"/>
    <s v="INEXT_001050000481 2123TAJQ01-IO"/>
    <s v="L000006432"/>
    <s v="LFF_7210$$$2123TAJQ01"/>
    <s v="Non-LFF"/>
    <s v=""/>
    <m/>
    <b v="0"/>
    <x v="2"/>
    <x v="0"/>
    <d v="2026-01-02T00:00:00"/>
    <m/>
    <m/>
    <x v="0"/>
    <n v="0"/>
    <s v="Ruby Grace Garcia"/>
    <m/>
  </r>
  <r>
    <x v="476"/>
    <x v="1"/>
    <x v="5"/>
    <s v="CTEMPEU_1000FR60635000 Bio Innovation FR"/>
    <s v="L000011451"/>
    <s v="TEMPEU_1000FR60635000"/>
    <s v="Non-LFF"/>
    <s v=""/>
    <m/>
    <b v="0"/>
    <x v="2"/>
    <x v="0"/>
    <d v="2026-01-02T00:00:00"/>
    <m/>
    <m/>
    <x v="0"/>
    <n v="0"/>
    <s v="Ruby Grace Garcia"/>
    <m/>
  </r>
  <r>
    <x v="476"/>
    <x v="1"/>
    <x v="4"/>
    <s v="ITEMPEU_001500004649 M207"/>
    <s v="L000011451"/>
    <m/>
    <s v="Non-LFF"/>
    <s v=""/>
    <m/>
    <b v="0"/>
    <x v="2"/>
    <x v="0"/>
    <d v="2026-01-02T00:00:00"/>
    <m/>
    <m/>
    <x v="0"/>
    <n v="0"/>
    <s v="Ruby Grace Garcia"/>
    <m/>
  </r>
  <r>
    <x v="476"/>
    <x v="1"/>
    <x v="5"/>
    <s v="ITEMPEU_001500005028 FR60 Interim Project Bio."/>
    <s v="L000011451"/>
    <s v="TEMPEU_1000FR60635000"/>
    <s v="Non-LFF"/>
    <s v=""/>
    <m/>
    <b v="0"/>
    <x v="2"/>
    <x v="0"/>
    <d v="2026-01-02T00:00:00"/>
    <m/>
    <m/>
    <x v="0"/>
    <n v="0"/>
    <s v="Ruby Grace Garcia"/>
    <m/>
  </r>
  <r>
    <x v="476"/>
    <x v="1"/>
    <x v="2"/>
    <s v="CNOW_7210$$$0000020510 SAC R&amp;D Novel Modality"/>
    <s v="L000011451"/>
    <s v="L000011451"/>
    <s v="Non-LFF"/>
    <s v=""/>
    <m/>
    <b v="1"/>
    <x v="2"/>
    <x v="0"/>
    <d v="2026-01-02T00:00:00"/>
    <m/>
    <m/>
    <x v="0"/>
    <n v="0"/>
    <s v="Ruby Grace Garcia"/>
    <m/>
  </r>
  <r>
    <x v="476"/>
    <x v="1"/>
    <x v="5"/>
    <s v="CTEMPEU_1000CH70RD1107 SAC R&amp;D Folates"/>
    <s v="L000006425"/>
    <s v="TEMPEU_1000CH70RD1107"/>
    <s v="Non-LFF"/>
    <s v=""/>
    <m/>
    <b v="0"/>
    <x v="2"/>
    <x v="0"/>
    <d v="2026-01-02T00:00:00"/>
    <m/>
    <m/>
    <x v="0"/>
    <n v="0"/>
    <s v="Ruby Grace Garcia"/>
    <m/>
  </r>
  <r>
    <x v="476"/>
    <x v="1"/>
    <x v="5"/>
    <s v="ITEMPEU_003300000518 P-LNP-ALC-Lipids Chemistries"/>
    <s v="L000006425"/>
    <s v="TEMPEU_1000CH70RD1107"/>
    <s v="Non-LFF"/>
    <s v=""/>
    <m/>
    <b v="0"/>
    <x v="2"/>
    <x v="0"/>
    <d v="2026-01-02T00:00:00"/>
    <m/>
    <m/>
    <x v="0"/>
    <n v="0"/>
    <s v="Ruby Grace Garcia"/>
    <m/>
  </r>
  <r>
    <x v="476"/>
    <x v="1"/>
    <x v="5"/>
    <s v="ITEMPEU_003900000225 CH71  UCB Farchim"/>
    <s v="L000006425"/>
    <s v="TEMPEU_1000CH70RD1107"/>
    <s v="Non-LFF"/>
    <s v=""/>
    <m/>
    <b v="0"/>
    <x v="2"/>
    <x v="0"/>
    <d v="2026-01-02T00:00:00"/>
    <m/>
    <m/>
    <x v="0"/>
    <n v="0"/>
    <s v="Ruby Grace Garcia"/>
    <m/>
  </r>
  <r>
    <x v="476"/>
    <x v="1"/>
    <x v="5"/>
    <s v="CPHOENX_01010000629700 Analytics &amp; Development Support"/>
    <s v="L000006429"/>
    <s v="PHOENX_01010000629700"/>
    <s v="Non-LFF"/>
    <s v=""/>
    <m/>
    <b v="0"/>
    <x v="2"/>
    <x v="0"/>
    <d v="2026-01-02T00:00:00"/>
    <m/>
    <m/>
    <x v="0"/>
    <n v="0"/>
    <s v="Ruby Grace Garcia"/>
    <m/>
  </r>
  <r>
    <x v="476"/>
    <x v="1"/>
    <x v="5"/>
    <s v="IPHOENX_000002428201 T_New Lipids for EFSS"/>
    <s v="L000006429"/>
    <s v="PHOENX_01010000629700"/>
    <s v="Non-LFF"/>
    <s v=""/>
    <m/>
    <b v="0"/>
    <x v="2"/>
    <x v="0"/>
    <d v="2026-01-02T00:00:00"/>
    <m/>
    <m/>
    <x v="0"/>
    <n v="0"/>
    <s v="Ruby Grace Garcia"/>
    <m/>
  </r>
  <r>
    <x v="476"/>
    <x v="1"/>
    <x v="5"/>
    <s v="IPHOENX_000002428801 T-mRNA-Polymers for mRNA Delivery"/>
    <s v="L000006429"/>
    <s v="PHOENX_01010000629700"/>
    <s v="Non-LFF"/>
    <s v=""/>
    <m/>
    <b v="0"/>
    <x v="2"/>
    <x v="0"/>
    <d v="2026-01-02T00:00:00"/>
    <m/>
    <m/>
    <x v="0"/>
    <n v="0"/>
    <s v="Ruby Grace Garcia"/>
    <m/>
  </r>
  <r>
    <x v="476"/>
    <x v="1"/>
    <x v="4"/>
    <s v="IPHOENX_000002429601 SAC Inasolve Price adj IP Transf"/>
    <s v="L000006429"/>
    <m/>
    <s v="Non-LFF"/>
    <s v=""/>
    <m/>
    <b v="0"/>
    <x v="2"/>
    <x v="0"/>
    <d v="2026-01-02T00:00:00"/>
    <m/>
    <m/>
    <x v="0"/>
    <n v="0"/>
    <s v="Ruby Grace Garcia"/>
    <m/>
  </r>
  <r>
    <x v="476"/>
    <x v="1"/>
    <x v="5"/>
    <s v="IPHOENX_000002433601 P-LNP-R&amp;D Grade Lipid Services"/>
    <s v="L000006429"/>
    <s v="PHOENX_01010000629700"/>
    <s v="Non-LFF"/>
    <s v=""/>
    <m/>
    <b v="0"/>
    <x v="2"/>
    <x v="0"/>
    <d v="2026-01-02T00:00:00"/>
    <m/>
    <m/>
    <x v="0"/>
    <n v="0"/>
    <s v="Ruby Grace Garcia"/>
    <m/>
  </r>
  <r>
    <x v="476"/>
    <x v="1"/>
    <x v="2"/>
    <s v="T00047400000 Verrechnung 2428801 LS-CAT-LS"/>
    <s v="L000006429"/>
    <s v="L000006429"/>
    <s v="Non-LFF"/>
    <s v=""/>
    <m/>
    <b v="1"/>
    <x v="2"/>
    <x v="0"/>
    <d v="2026-01-02T00:00:00"/>
    <m/>
    <m/>
    <x v="0"/>
    <n v="0"/>
    <s v="Ruby Grace Garcia"/>
    <m/>
  </r>
  <r>
    <x v="476"/>
    <x v="1"/>
    <x v="5"/>
    <s v="IPHOENX_000002433401 P-mRNA-Design Suite"/>
    <s v="L000013901"/>
    <s v="PHOENX_01010000629700"/>
    <s v="Non-LFF"/>
    <s v=""/>
    <m/>
    <b v="0"/>
    <x v="2"/>
    <x v="0"/>
    <d v="2026-01-02T00:00:00"/>
    <m/>
    <m/>
    <x v="0"/>
    <n v="0"/>
    <s v="Ruby Grace Garcia"/>
    <m/>
  </r>
  <r>
    <x v="477"/>
    <x v="1"/>
    <x v="5"/>
    <s v="CEMERAL_70007001457754 Reg LS Project Eagle"/>
    <s v="L000013905"/>
    <s v="L000011321"/>
    <s v="Non-LFF"/>
    <s v=""/>
    <m/>
    <b v="0"/>
    <x v="2"/>
    <x v="0"/>
    <d v="2026-01-02T00:00:00"/>
    <m/>
    <m/>
    <x v="0"/>
    <n v="0"/>
    <s v="Ruby Grace Garcia"/>
    <m/>
  </r>
  <r>
    <x v="477"/>
    <x v="1"/>
    <x v="3"/>
    <s v="CLFF_7210$$$1756Y11755 LS Project Eagle"/>
    <s v="L000013905"/>
    <m/>
    <s v="LFF (MDG-F)"/>
    <s v="1756Y11755"/>
    <s v="mapped for 2025 do the same for 2026"/>
    <b v="0"/>
    <x v="2"/>
    <x v="0"/>
    <d v="2026-01-02T00:00:00"/>
    <m/>
    <m/>
    <x v="0"/>
    <n v="0"/>
    <s v="Ruby Grace Garcia"/>
    <m/>
  </r>
  <r>
    <x v="477"/>
    <x v="1"/>
    <x v="5"/>
    <s v="CORAERP_MMOR1975.9208 PS - A&amp;F Patent Fees"/>
    <s v="L000013785"/>
    <s v="L000006422"/>
    <s v="Non-LFF"/>
    <s v=""/>
    <m/>
    <b v="0"/>
    <x v="2"/>
    <x v="0"/>
    <d v="2026-01-02T00:00:00"/>
    <m/>
    <m/>
    <x v="0"/>
    <n v="0"/>
    <s v="Ruby Grace Garcia"/>
    <m/>
  </r>
  <r>
    <x v="477"/>
    <x v="1"/>
    <x v="2"/>
    <s v="IPHOENX_000002423601 CTO Super Enzyme program"/>
    <s v="L000006435"/>
    <s v="L000006435"/>
    <s v="Non-LFF"/>
    <s v=""/>
    <m/>
    <b v="1"/>
    <x v="2"/>
    <x v="0"/>
    <d v="2026-01-02T00:00:00"/>
    <m/>
    <m/>
    <x v="0"/>
    <n v="0"/>
    <s v="Ruby Grace Garcia"/>
    <m/>
  </r>
  <r>
    <x v="477"/>
    <x v="1"/>
    <x v="5"/>
    <s v="CORAERP_MMOR1975.6716 GENM - VIRUS &amp; GENE THERAPY BIOP R&amp;D"/>
    <s v="L000007087"/>
    <s v="L000007098"/>
    <s v="Non-LFF"/>
    <s v=""/>
    <m/>
    <b v="0"/>
    <x v="2"/>
    <x v="0"/>
    <d v="2026-01-02T00:00:00"/>
    <m/>
    <m/>
    <x v="0"/>
    <n v="0"/>
    <s v="Ruby Grace Garcia"/>
    <m/>
  </r>
  <r>
    <x v="477"/>
    <x v="1"/>
    <x v="5"/>
    <s v="CNOW_7210$$$0000000311 VGT Bioprocessing 2"/>
    <s v="L000007087"/>
    <s v="L000007099"/>
    <s v="Non-LFF"/>
    <s v=""/>
    <m/>
    <b v="0"/>
    <x v="2"/>
    <x v="0"/>
    <d v="2026-01-02T00:00:00"/>
    <m/>
    <m/>
    <x v="0"/>
    <n v="0"/>
    <s v="Ruby Grace Garcia"/>
    <m/>
  </r>
  <r>
    <x v="477"/>
    <x v="1"/>
    <x v="5"/>
    <s v="CORAERP_MMOR1975.6734 PS - CRAZY HORSE - VIRAL VECTOR MANUFACTURING TEMPLATE R&amp;D"/>
    <s v="L000007087"/>
    <s v="L000012607"/>
    <s v="Non-LFF"/>
    <s v=""/>
    <m/>
    <b v="0"/>
    <x v="2"/>
    <x v="0"/>
    <d v="2026-01-02T00:00:00"/>
    <m/>
    <m/>
    <x v="0"/>
    <n v="0"/>
    <s v="Ruby Grace Garcia"/>
    <m/>
  </r>
  <r>
    <x v="477"/>
    <x v="1"/>
    <x v="5"/>
    <s v="ITEMPEU_001300003829 In silico cQA Risk Assessment"/>
    <s v="L000007087"/>
    <s v="L000013174"/>
    <s v="Non-LFF"/>
    <s v=""/>
    <m/>
    <b v="0"/>
    <x v="2"/>
    <x v="0"/>
    <d v="2026-01-02T00:00:00"/>
    <m/>
    <m/>
    <x v="0"/>
    <n v="0"/>
    <s v="Ruby Grace Garcia"/>
    <m/>
  </r>
  <r>
    <x v="477"/>
    <x v="1"/>
    <x v="5"/>
    <s v="CNOW_7210$$$0000021381 *STL APPLIED MARKET ADMETox R&amp;D"/>
    <s v="L000007087"/>
    <s v="L000007094"/>
    <s v="Non-LFF"/>
    <s v=""/>
    <m/>
    <b v="0"/>
    <x v="2"/>
    <x v="0"/>
    <d v="2026-01-02T00:00:00"/>
    <m/>
    <m/>
    <x v="0"/>
    <n v="0"/>
    <s v="Ruby Grace Garcia"/>
    <m/>
  </r>
  <r>
    <x v="477"/>
    <x v="1"/>
    <x v="5"/>
    <s v="CNOW_7210$$$0000020561 GENM - R&amp;D Management"/>
    <s v="L000007087"/>
    <s v="L000007095"/>
    <s v="Non-LFF"/>
    <s v=""/>
    <m/>
    <b v="0"/>
    <x v="2"/>
    <x v="0"/>
    <d v="2026-01-02T00:00:00"/>
    <m/>
    <m/>
    <x v="0"/>
    <n v="0"/>
    <s v="Ruby Grace Garcia"/>
    <m/>
  </r>
  <r>
    <x v="477"/>
    <x v="1"/>
    <x v="2"/>
    <s v="IPHOENX_000002422701 P-mRNA-Polymers for mRNA Delivery"/>
    <s v="L000006425"/>
    <s v="L000006425"/>
    <s v="Non-LFF"/>
    <s v=""/>
    <m/>
    <b v="1"/>
    <x v="2"/>
    <x v="0"/>
    <d v="2026-01-02T00:00:00"/>
    <m/>
    <m/>
    <x v="0"/>
    <n v="0"/>
    <s v="Ruby Grace Garcia"/>
    <m/>
  </r>
  <r>
    <x v="477"/>
    <x v="1"/>
    <x v="2"/>
    <s v="ITEMPEU_003300000040 CH71 O_P_APA 4-arm PEG-5kDa-ethylamin"/>
    <s v="L000006425"/>
    <s v="L000006425"/>
    <s v="Non-LFF"/>
    <s v=""/>
    <m/>
    <b v="1"/>
    <x v="2"/>
    <x v="0"/>
    <d v="2026-01-02T00:00:00"/>
    <m/>
    <m/>
    <x v="0"/>
    <n v="0"/>
    <s v="Ruby Grace Garcia"/>
    <m/>
  </r>
  <r>
    <x v="477"/>
    <x v="1"/>
    <x v="2"/>
    <s v="ITEMPEU_003300000069 XXXCH71 T_P_CSL MPEG-20kDa-propionaldehy"/>
    <s v="L000006425"/>
    <s v="L000006425"/>
    <s v="Non-LFF"/>
    <s v=""/>
    <m/>
    <b v="1"/>
    <x v="2"/>
    <x v="0"/>
    <d v="2026-01-02T00:00:00"/>
    <m/>
    <m/>
    <x v="0"/>
    <n v="0"/>
    <s v="Ruby Grace Garcia"/>
    <m/>
  </r>
  <r>
    <x v="477"/>
    <x v="1"/>
    <x v="2"/>
    <s v="ITEMPEU_003300000111 P-LNP-Synthetic Cholesterol"/>
    <s v="L000006425"/>
    <s v="L000006425"/>
    <s v="Non-LFF"/>
    <s v=""/>
    <m/>
    <b v="1"/>
    <x v="2"/>
    <x v="0"/>
    <d v="2026-01-02T00:00:00"/>
    <m/>
    <m/>
    <x v="0"/>
    <n v="0"/>
    <s v="Ruby Grace Garcia"/>
    <m/>
  </r>
  <r>
    <x v="477"/>
    <x v="1"/>
    <x v="2"/>
    <s v="ITEMPEU_003300000339 CH71 Sales Marketing Support Passafaro"/>
    <s v="L000006425"/>
    <s v="L000006425"/>
    <s v="Non-LFF"/>
    <s v=""/>
    <m/>
    <b v="1"/>
    <x v="2"/>
    <x v="0"/>
    <d v="2026-01-02T00:00:00"/>
    <m/>
    <m/>
    <x v="0"/>
    <n v="0"/>
    <s v="Ruby Grace Garcia"/>
    <m/>
  </r>
  <r>
    <x v="477"/>
    <x v="1"/>
    <x v="2"/>
    <s v="ITEMPEU_003300000362 T-SM-Monodisperse PEGs (mPEGs)"/>
    <s v="L000006425"/>
    <s v="L000006425"/>
    <s v="Non-LFF"/>
    <s v=""/>
    <m/>
    <b v="1"/>
    <x v="2"/>
    <x v="0"/>
    <d v="2026-01-02T00:00:00"/>
    <m/>
    <m/>
    <x v="0"/>
    <n v="0"/>
    <s v="Ruby Grace Garcia"/>
    <m/>
  </r>
  <r>
    <x v="477"/>
    <x v="1"/>
    <x v="2"/>
    <s v="ITEMPEU_003300000402 XXXXCH71 O_L_Seeding Activities"/>
    <s v="L000006425"/>
    <s v="L000006425"/>
    <s v="Non-LFF"/>
    <s v=""/>
    <m/>
    <b v="1"/>
    <x v="2"/>
    <x v="0"/>
    <d v="2026-01-02T00:00:00"/>
    <m/>
    <m/>
    <x v="0"/>
    <n v="0"/>
    <s v="Ruby Grace Garcia"/>
    <m/>
  </r>
  <r>
    <x v="477"/>
    <x v="1"/>
    <x v="2"/>
    <s v="ITEMPEU_003300000418 CH71 EXP PLGA/PLA"/>
    <s v="L000006425"/>
    <s v="L000006425"/>
    <s v="Non-LFF"/>
    <s v=""/>
    <m/>
    <b v="1"/>
    <x v="2"/>
    <x v="0"/>
    <d v="2026-01-02T00:00:00"/>
    <m/>
    <m/>
    <x v="0"/>
    <n v="0"/>
    <s v="Ruby Grace Garcia"/>
    <m/>
  </r>
  <r>
    <x v="477"/>
    <x v="1"/>
    <x v="2"/>
    <s v="ITEMPEU_003300000464 P-LNP-DMG-DSG-PEG2ka"/>
    <s v="L000006425"/>
    <s v="L000006425"/>
    <s v="Non-LFF"/>
    <s v=""/>
    <m/>
    <b v="1"/>
    <x v="2"/>
    <x v="0"/>
    <d v="2026-01-02T00:00:00"/>
    <m/>
    <m/>
    <x v="0"/>
    <n v="0"/>
    <s v="Ruby Grace Garcia"/>
    <m/>
  </r>
  <r>
    <x v="477"/>
    <x v="1"/>
    <x v="2"/>
    <s v="ITEMPEU_003300000465 CH71 T_New Lipids for RNA Delivery"/>
    <s v="L000006425"/>
    <s v="L000006425"/>
    <s v="Non-LFF"/>
    <s v=""/>
    <m/>
    <b v="1"/>
    <x v="2"/>
    <x v="0"/>
    <d v="2026-01-02T00:00:00"/>
    <m/>
    <m/>
    <x v="0"/>
    <n v="0"/>
    <s v="Ruby Grace Garcia"/>
    <m/>
  </r>
  <r>
    <x v="477"/>
    <x v="1"/>
    <x v="2"/>
    <s v="ITEMPEU_003300000467 CH71 P_DMG-PEG-2000 / DSG-PEG-2000 1.0"/>
    <s v="L000006425"/>
    <s v="L000006425"/>
    <s v="Non-LFF"/>
    <s v=""/>
    <m/>
    <b v="1"/>
    <x v="2"/>
    <x v="0"/>
    <d v="2026-01-02T00:00:00"/>
    <m/>
    <m/>
    <x v="0"/>
    <n v="0"/>
    <s v="Ruby Grace Garcia"/>
    <m/>
  </r>
  <r>
    <x v="477"/>
    <x v="1"/>
    <x v="2"/>
    <s v="ITEMPEU_003300000472 CH71 ACB_ALC-0159"/>
    <s v="L000006425"/>
    <s v="L000006425"/>
    <s v="Non-LFF"/>
    <s v=""/>
    <m/>
    <b v="1"/>
    <x v="2"/>
    <x v="0"/>
    <d v="2026-01-02T00:00:00"/>
    <m/>
    <m/>
    <x v="0"/>
    <n v="0"/>
    <s v="Ruby Grace Garcia"/>
    <m/>
  </r>
  <r>
    <x v="477"/>
    <x v="1"/>
    <x v="2"/>
    <s v="ITEMPEU_003300000473 CH71 ACA_ALC-0315 Invest F"/>
    <s v="L000006425"/>
    <s v="L000006425"/>
    <s v="Non-LFF"/>
    <s v=""/>
    <m/>
    <b v="1"/>
    <x v="2"/>
    <x v="0"/>
    <d v="2026-01-02T00:00:00"/>
    <m/>
    <m/>
    <x v="0"/>
    <n v="0"/>
    <s v="Ruby Grace Garcia"/>
    <m/>
  </r>
  <r>
    <x v="477"/>
    <x v="1"/>
    <x v="2"/>
    <s v="ITEMPEU_003300000474 CH71 MBH DOTMA Invest F"/>
    <s v="L000006425"/>
    <s v="L000006425"/>
    <s v="Non-LFF"/>
    <s v=""/>
    <m/>
    <b v="1"/>
    <x v="2"/>
    <x v="0"/>
    <d v="2026-01-02T00:00:00"/>
    <m/>
    <m/>
    <x v="0"/>
    <n v="0"/>
    <s v="Ruby Grace Garcia"/>
    <m/>
  </r>
  <r>
    <x v="477"/>
    <x v="1"/>
    <x v="2"/>
    <s v="ITEMPEU_003300000475 CH71 MBC DOPE Invest F"/>
    <s v="L000006425"/>
    <s v="L000006425"/>
    <s v="Non-LFF"/>
    <s v=""/>
    <m/>
    <b v="1"/>
    <x v="2"/>
    <x v="0"/>
    <d v="2026-01-02T00:00:00"/>
    <m/>
    <m/>
    <x v="0"/>
    <n v="0"/>
    <s v="Ruby Grace Garcia"/>
    <m/>
  </r>
  <r>
    <x v="477"/>
    <x v="1"/>
    <x v="2"/>
    <s v="ITEMPEU_003300000523 CH71 P_New Lipids for RNA Delivery"/>
    <s v="L000006425"/>
    <s v="L000006425"/>
    <s v="Non-LFF"/>
    <s v=""/>
    <m/>
    <b v="1"/>
    <x v="2"/>
    <x v="0"/>
    <d v="2026-01-02T00:00:00"/>
    <m/>
    <m/>
    <x v="0"/>
    <n v="0"/>
    <s v="Ruby Grace Garcia"/>
    <m/>
  </r>
  <r>
    <x v="477"/>
    <x v="1"/>
    <x v="2"/>
    <s v="IPHOENX_000002348501 XXXT_mRNA AmpTec support"/>
    <s v="L000006429"/>
    <s v="L000006429"/>
    <s v="Non-LFF"/>
    <s v=""/>
    <m/>
    <b v="1"/>
    <x v="2"/>
    <x v="0"/>
    <d v="2026-01-02T00:00:00"/>
    <m/>
    <m/>
    <x v="0"/>
    <n v="0"/>
    <s v="Ruby Grace Garcia"/>
    <m/>
  </r>
  <r>
    <x v="477"/>
    <x v="1"/>
    <x v="2"/>
    <s v="IPHOENX_000002404001 XXXT_Polymers for mRNA delivery"/>
    <s v="L000006429"/>
    <s v="L000006429"/>
    <s v="Non-LFF"/>
    <s v=""/>
    <m/>
    <b v="1"/>
    <x v="2"/>
    <x v="0"/>
    <d v="2026-01-02T00:00:00"/>
    <m/>
    <m/>
    <x v="0"/>
    <n v="0"/>
    <s v="Ruby Grace Garcia"/>
    <m/>
  </r>
  <r>
    <x v="477"/>
    <x v="1"/>
    <x v="2"/>
    <s v="IPHOENX_000002413801 T_mRNA Upscaling"/>
    <s v="L000006429"/>
    <s v="L000006429"/>
    <s v="Non-LFF"/>
    <s v=""/>
    <m/>
    <b v="1"/>
    <x v="2"/>
    <x v="0"/>
    <d v="2026-01-02T00:00:00"/>
    <m/>
    <m/>
    <x v="0"/>
    <n v="0"/>
    <s v="Ruby Grace Garcia"/>
    <m/>
  </r>
  <r>
    <x v="477"/>
    <x v="1"/>
    <x v="2"/>
    <s v="IPHOENX_000002413901 XXXT_Lipids for mRNA delivery"/>
    <s v="L000006429"/>
    <s v="L000006429"/>
    <s v="Non-LFF"/>
    <s v=""/>
    <m/>
    <b v="1"/>
    <x v="2"/>
    <x v="0"/>
    <d v="2026-01-02T00:00:00"/>
    <m/>
    <m/>
    <x v="0"/>
    <n v="0"/>
    <s v="Ruby Grace Garcia"/>
    <m/>
  </r>
  <r>
    <x v="477"/>
    <x v="1"/>
    <x v="2"/>
    <s v="IPHOENX_000002422801 P-LNP-Lipids for mRNA delivery"/>
    <s v="L000006429"/>
    <s v="L000006429"/>
    <s v="Non-LFF"/>
    <s v=""/>
    <m/>
    <b v="1"/>
    <x v="2"/>
    <x v="0"/>
    <d v="2026-01-02T00:00:00"/>
    <m/>
    <m/>
    <x v="0"/>
    <n v="0"/>
    <s v="Ruby Grace Garcia"/>
    <m/>
  </r>
  <r>
    <x v="477"/>
    <x v="1"/>
    <x v="2"/>
    <s v="IPHOENX_000002427301 P-LNP-Lipidomics"/>
    <s v="L000006429"/>
    <s v="L000006429"/>
    <s v="Non-LFF"/>
    <s v=""/>
    <m/>
    <b v="1"/>
    <x v="2"/>
    <x v="0"/>
    <d v="2026-01-02T00:00:00"/>
    <m/>
    <m/>
    <x v="0"/>
    <n v="0"/>
    <s v="Ruby Grace Garcia"/>
    <m/>
  </r>
  <r>
    <x v="477"/>
    <x v="1"/>
    <x v="2"/>
    <s v="IPHOENX_000002427401 P-LNP-DSPC-DOPC-DPPC-buy resell"/>
    <s v="L000006429"/>
    <s v="L000006429"/>
    <s v="Non-LFF"/>
    <s v=""/>
    <m/>
    <b v="1"/>
    <x v="2"/>
    <x v="0"/>
    <d v="2026-01-02T00:00:00"/>
    <m/>
    <m/>
    <x v="0"/>
    <n v="0"/>
    <s v="Ruby Grace Garcia"/>
    <m/>
  </r>
  <r>
    <x v="477"/>
    <x v="1"/>
    <x v="5"/>
    <s v="IPHOENX_000002425301 P-PGM-mRNA Process Development"/>
    <s v="L000013901"/>
    <s v="L000006429"/>
    <s v="Non-LFF"/>
    <s v=""/>
    <m/>
    <b v="0"/>
    <x v="2"/>
    <x v="0"/>
    <d v="2026-01-02T00:00:00"/>
    <m/>
    <m/>
    <x v="0"/>
    <n v="0"/>
    <s v="Ruby Grace Garcia"/>
    <m/>
  </r>
  <r>
    <x v="478"/>
    <x v="1"/>
    <x v="3"/>
    <s v="CLFF_1000$$$DE10537813"/>
    <s v="G000000397"/>
    <m/>
    <s v="LFF (MDG-F)"/>
    <s v="DE10537813"/>
    <s v="mapped for 2025 do the same for 2026"/>
    <b v="0"/>
    <x v="5"/>
    <x v="0"/>
    <d v="2026-01-02T00:00:00"/>
    <m/>
    <m/>
    <x v="0"/>
    <n v="0"/>
    <s v="Analyn Ayson"/>
    <m/>
  </r>
  <r>
    <x v="478"/>
    <x v="1"/>
    <x v="3"/>
    <s v="CLFF_1000$$$DE20537813"/>
    <s v="G000000397"/>
    <m/>
    <s v="LFF (MDG-F)"/>
    <s v="DE20537813"/>
    <s v="mapped for 2025 do the same for 2026"/>
    <b v="0"/>
    <x v="5"/>
    <x v="0"/>
    <d v="2026-01-02T00:00:00"/>
    <m/>
    <m/>
    <x v="0"/>
    <n v="0"/>
    <s v="Analyn Ayson"/>
    <m/>
  </r>
  <r>
    <x v="478"/>
    <x v="1"/>
    <x v="3"/>
    <s v="CLFF_1000$$$DE10538999"/>
    <s v="G000000397"/>
    <m/>
    <s v="LFF (MDG-F)"/>
    <s v="DE10538999"/>
    <s v="mapped for 2025 do the same for 2026"/>
    <b v="0"/>
    <x v="5"/>
    <x v="0"/>
    <d v="2026-01-02T00:00:00"/>
    <m/>
    <m/>
    <x v="0"/>
    <n v="0"/>
    <s v="Analyn Ayson"/>
    <m/>
  </r>
  <r>
    <x v="478"/>
    <x v="1"/>
    <x v="3"/>
    <s v="CLFF_1000$$$DE10538529"/>
    <s v="G000000397"/>
    <m/>
    <s v="LFF (MDG-F)"/>
    <s v="DE10538529"/>
    <s v="mapped for 2025 do the same for 2026"/>
    <b v="0"/>
    <x v="5"/>
    <x v="0"/>
    <d v="2026-01-02T00:00:00"/>
    <m/>
    <m/>
    <x v="0"/>
    <n v="0"/>
    <s v="Analyn Ayson"/>
    <m/>
  </r>
  <r>
    <x v="478"/>
    <x v="1"/>
    <x v="3"/>
    <s v="CLFF_1000$$$DE10538536"/>
    <s v="G000000397"/>
    <m/>
    <s v="LFF (MDG-F)"/>
    <s v="DE10538536"/>
    <s v="mapped for 2025 do the same for 2026"/>
    <b v="0"/>
    <x v="5"/>
    <x v="0"/>
    <d v="2026-01-02T00:00:00"/>
    <m/>
    <m/>
    <x v="0"/>
    <n v="0"/>
    <s v="Analyn Ayson"/>
    <m/>
  </r>
  <r>
    <x v="478"/>
    <x v="1"/>
    <x v="3"/>
    <s v="CLFF_1000$$$DE10538539"/>
    <s v="G000000397"/>
    <m/>
    <s v="LFF (MDG-F)"/>
    <s v="DE10538539"/>
    <s v="mapped for 2025 do the same for 2026"/>
    <b v="0"/>
    <x v="5"/>
    <x v="0"/>
    <d v="2026-01-02T00:00:00"/>
    <m/>
    <m/>
    <x v="0"/>
    <n v="0"/>
    <s v="Analyn Ayson"/>
    <m/>
  </r>
  <r>
    <x v="478"/>
    <x v="1"/>
    <x v="3"/>
    <s v="CLFF_1000$$$DE10538540"/>
    <s v="G000000397"/>
    <m/>
    <s v="LFF (MDG-F)"/>
    <s v="DE10538540"/>
    <s v="mapped for 2025 do the same for 2026"/>
    <b v="0"/>
    <x v="5"/>
    <x v="0"/>
    <d v="2026-01-02T00:00:00"/>
    <m/>
    <m/>
    <x v="0"/>
    <n v="0"/>
    <s v="Analyn Ayson"/>
    <m/>
  </r>
  <r>
    <x v="478"/>
    <x v="1"/>
    <x v="3"/>
    <s v="CLFF_1000$$$DE20538529"/>
    <s v="G000000397"/>
    <m/>
    <s v="LFF (MDG-F)"/>
    <s v="DE20538529"/>
    <s v="mapped for 2025 do the same for 2026"/>
    <b v="0"/>
    <x v="5"/>
    <x v="0"/>
    <d v="2026-01-02T00:00:00"/>
    <m/>
    <m/>
    <x v="0"/>
    <n v="0"/>
    <s v="Analyn Ayson"/>
    <m/>
  </r>
  <r>
    <x v="478"/>
    <x v="1"/>
    <x v="3"/>
    <s v="CLFF_1000$$$DE20538536"/>
    <s v="G000000397"/>
    <m/>
    <s v="LFF (MDG-F)"/>
    <s v="DE20538536"/>
    <s v="mapped for 2025 do the same for 2026"/>
    <b v="0"/>
    <x v="5"/>
    <x v="0"/>
    <d v="2026-01-02T00:00:00"/>
    <m/>
    <m/>
    <x v="0"/>
    <n v="0"/>
    <s v="Analyn Ayson"/>
    <m/>
  </r>
  <r>
    <x v="478"/>
    <x v="1"/>
    <x v="3"/>
    <s v="CLFF_1000$$$DE20538539"/>
    <s v="G000000397"/>
    <m/>
    <s v="LFF (MDG-F)"/>
    <s v="DE20538539"/>
    <s v="mapped for 2025 do the same for 2026"/>
    <b v="0"/>
    <x v="5"/>
    <x v="0"/>
    <d v="2026-01-02T00:00:00"/>
    <m/>
    <m/>
    <x v="0"/>
    <n v="0"/>
    <s v="Analyn Ayson"/>
    <m/>
  </r>
  <r>
    <x v="478"/>
    <x v="1"/>
    <x v="3"/>
    <s v="CLFF_1000$$$DE20538540"/>
    <s v="G000000397"/>
    <m/>
    <s v="LFF (MDG-F)"/>
    <s v="DE20538540"/>
    <s v="mapped for 2025 do the same for 2026"/>
    <b v="0"/>
    <x v="5"/>
    <x v="0"/>
    <d v="2026-01-02T00:00:00"/>
    <m/>
    <m/>
    <x v="0"/>
    <n v="0"/>
    <s v="Analyn Ayson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9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2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8"/>
        <item sd="0" m="1" x="6"/>
        <item sd="0" m="1" x="7"/>
        <item x="0"/>
        <item m="1" x="9"/>
        <item sd="0" m="1" x="10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9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1"/>
    </i>
    <i r="1">
      <x v="3"/>
    </i>
    <i r="1">
      <x v="10"/>
    </i>
    <i>
      <x v="7"/>
    </i>
    <i r="1">
      <x/>
    </i>
    <i r="1">
      <x v="10"/>
    </i>
    <i r="1">
      <x v="13"/>
    </i>
    <i>
      <x v="8"/>
    </i>
    <i r="1">
      <x/>
    </i>
    <i r="1">
      <x v="10"/>
    </i>
    <i r="1">
      <x v="13"/>
    </i>
    <i>
      <x v="9"/>
    </i>
    <i r="1">
      <x/>
    </i>
    <i>
      <x v="10"/>
    </i>
    <i r="1">
      <x/>
    </i>
    <i r="1">
      <x v="1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9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35" firstHeaderRow="1" firstDataRow="1" firstDataCol="1" rowPageCount="1" colPageCount="1"/>
  <pivotFields count="19">
    <pivotField axis="axisRow" showAll="0" sortType="ascending">
      <items count="1661">
        <item m="1" x="1045"/>
        <item x="0"/>
        <item m="1" x="1115"/>
        <item m="1" x="1536"/>
        <item m="1" x="698"/>
        <item m="1" x="1553"/>
        <item m="1" x="1075"/>
        <item m="1" x="1165"/>
        <item m="1" x="1586"/>
        <item m="1" x="1380"/>
        <item m="1" x="1068"/>
        <item m="1" x="1652"/>
        <item m="1" x="1398"/>
        <item m="1" x="1642"/>
        <item m="1" x="1016"/>
        <item m="1" x="917"/>
        <item m="1" x="621"/>
        <item m="1" x="882"/>
        <item m="1" x="1606"/>
        <item m="1" x="674"/>
        <item m="1" x="982"/>
        <item m="1" x="1350"/>
        <item m="1" x="1065"/>
        <item m="1" x="1158"/>
        <item m="1" x="1454"/>
        <item m="1" x="1639"/>
        <item m="1" x="1100"/>
        <item m="1" x="1122"/>
        <item m="1" x="887"/>
        <item m="1" x="1288"/>
        <item m="1" x="1047"/>
        <item m="1" x="1593"/>
        <item m="1" x="1250"/>
        <item m="1" x="683"/>
        <item m="1" x="791"/>
        <item m="1" x="1578"/>
        <item m="1" x="1342"/>
        <item m="1" x="596"/>
        <item m="1" x="1428"/>
        <item m="1" x="1094"/>
        <item m="1" x="1389"/>
        <item m="1" x="975"/>
        <item m="1" x="1327"/>
        <item m="1" x="586"/>
        <item m="1" x="616"/>
        <item m="1" x="1655"/>
        <item m="1" x="1334"/>
        <item m="1" x="1402"/>
        <item m="1" x="1509"/>
        <item m="1" x="1278"/>
        <item m="1" x="1376"/>
        <item m="1" x="1215"/>
        <item m="1" x="670"/>
        <item m="1" x="861"/>
        <item m="1" x="1637"/>
        <item m="1" x="1205"/>
        <item m="1" x="1345"/>
        <item m="1" x="873"/>
        <item m="1" x="834"/>
        <item m="1" x="1126"/>
        <item m="1" x="1018"/>
        <item m="1" x="1051"/>
        <item m="1" x="610"/>
        <item m="1" x="749"/>
        <item m="1" x="1411"/>
        <item m="1" x="1628"/>
        <item m="1" x="814"/>
        <item m="1" x="1219"/>
        <item m="1" x="1229"/>
        <item m="1" x="1406"/>
        <item m="1" x="1516"/>
        <item m="1" x="1394"/>
        <item m="1" x="689"/>
        <item m="1" x="1537"/>
        <item m="1" x="1267"/>
        <item m="1" x="1254"/>
        <item m="1" x="789"/>
        <item m="1" x="1142"/>
        <item m="1" x="1489"/>
        <item m="1" x="607"/>
        <item m="1" x="1186"/>
        <item m="1" x="1539"/>
        <item m="1" x="1377"/>
        <item m="1" x="1112"/>
        <item m="1" x="1154"/>
        <item m="1" x="1035"/>
        <item m="1" x="1270"/>
        <item m="1" x="1082"/>
        <item m="1" x="1314"/>
        <item m="1" x="798"/>
        <item m="1" x="1627"/>
        <item m="1" x="1152"/>
        <item m="1" x="1438"/>
        <item m="1" x="515"/>
        <item m="1" x="1643"/>
        <item m="1" x="1179"/>
        <item m="1" x="1468"/>
        <item m="1" x="1381"/>
        <item m="1" x="1159"/>
        <item m="1" x="669"/>
        <item m="1" x="676"/>
        <item m="1" x="716"/>
        <item m="1" x="898"/>
        <item m="1" x="1322"/>
        <item m="1" x="1083"/>
        <item m="1" x="1199"/>
        <item m="1" x="1262"/>
        <item m="1" x="1409"/>
        <item m="1" x="1492"/>
        <item m="1" x="1054"/>
        <item m="1" x="775"/>
        <item m="1" x="618"/>
        <item m="1" x="761"/>
        <item m="1" x="1636"/>
        <item m="1" x="793"/>
        <item m="1" x="1474"/>
        <item m="1" x="1403"/>
        <item m="1" x="1021"/>
        <item m="1" x="1093"/>
        <item m="1" x="959"/>
        <item m="1" x="1216"/>
        <item m="1" x="1591"/>
        <item m="1" x="767"/>
        <item m="1" x="715"/>
        <item m="1" x="650"/>
        <item m="1" x="1316"/>
        <item m="1" x="1576"/>
        <item m="1" x="1504"/>
        <item m="1" x="1161"/>
        <item m="1" x="685"/>
        <item m="1" x="1410"/>
        <item m="1" x="862"/>
        <item m="1" x="1116"/>
        <item m="1" x="1291"/>
        <item m="1" x="1399"/>
        <item m="1" x="519"/>
        <item m="1" x="1348"/>
        <item m="1" x="1311"/>
        <item m="1" x="752"/>
        <item m="1" x="1200"/>
        <item m="1" x="1088"/>
        <item m="1" x="1041"/>
        <item m="1" x="774"/>
        <item m="1" x="710"/>
        <item m="1" x="950"/>
        <item m="1" x="1137"/>
        <item m="1" x="544"/>
        <item m="1" x="883"/>
        <item m="1" x="742"/>
        <item m="1" x="484"/>
        <item m="1" x="994"/>
        <item m="1" x="1195"/>
        <item m="1" x="1077"/>
        <item m="1" x="1123"/>
        <item m="1" x="1442"/>
        <item m="1" x="1024"/>
        <item m="1" x="1550"/>
        <item m="1" x="1274"/>
        <item m="1" x="1213"/>
        <item m="1" x="727"/>
        <item m="1" x="1360"/>
        <item m="1" x="1638"/>
        <item m="1" x="1326"/>
        <item m="1" x="1310"/>
        <item m="1" x="597"/>
        <item m="1" x="645"/>
        <item m="1" x="1180"/>
        <item m="1" x="686"/>
        <item m="1" x="1623"/>
        <item m="1" x="1289"/>
        <item m="1" x="1214"/>
        <item m="1" x="1166"/>
        <item m="1" x="967"/>
        <item m="1" x="595"/>
        <item m="1" x="695"/>
        <item m="1" x="801"/>
        <item m="1" x="1534"/>
        <item m="1" x="1566"/>
        <item m="1" x="1265"/>
        <item m="1" x="992"/>
        <item m="1" x="1080"/>
        <item m="1" x="590"/>
        <item m="1" x="630"/>
        <item m="1" x="969"/>
        <item m="1" x="1194"/>
        <item m="1" x="1107"/>
        <item m="1" x="765"/>
        <item m="1" x="998"/>
        <item m="1" x="712"/>
        <item m="1" x="907"/>
        <item m="1" x="829"/>
        <item m="1" x="664"/>
        <item m="1" x="800"/>
        <item m="1" x="1170"/>
        <item m="1" x="580"/>
        <item m="1" x="819"/>
        <item m="1" x="611"/>
        <item m="1" x="1304"/>
        <item m="1" x="1493"/>
        <item m="1" x="1103"/>
        <item m="1" x="747"/>
        <item m="1" x="1397"/>
        <item m="1" x="1242"/>
        <item m="1" x="759"/>
        <item m="1" x="760"/>
        <item m="1" x="945"/>
        <item m="1" x="635"/>
        <item m="1" x="824"/>
        <item m="1" x="619"/>
        <item m="1" x="805"/>
        <item m="1" x="1373"/>
        <item m="1" x="884"/>
        <item m="1" x="1251"/>
        <item m="1" x="1301"/>
        <item m="1" x="1435"/>
        <item m="1" x="1439"/>
        <item m="1" x="1156"/>
        <item m="1" x="997"/>
        <item m="1" x="1036"/>
        <item m="1" x="1603"/>
        <item m="1" x="896"/>
        <item m="1" x="708"/>
        <item m="1" x="1086"/>
        <item m="1" x="543"/>
        <item m="1" x="1607"/>
        <item m="1" x="1070"/>
        <item m="1" x="504"/>
        <item m="1" x="1525"/>
        <item m="1" x="1568"/>
        <item m="1" x="1405"/>
        <item m="1" x="782"/>
        <item m="1" x="521"/>
        <item m="1" x="1455"/>
        <item m="1" x="846"/>
        <item m="1" x="482"/>
        <item m="1" x="1626"/>
        <item m="1" x="870"/>
        <item m="1" x="1025"/>
        <item m="1" x="1470"/>
        <item m="1" x="557"/>
        <item m="1" x="1382"/>
        <item m="1" x="1190"/>
        <item m="1" x="1055"/>
        <item m="1" x="925"/>
        <item m="1" x="672"/>
        <item m="1" x="1173"/>
        <item m="1" x="875"/>
        <item m="1" x="1413"/>
        <item m="1" x="735"/>
        <item m="1" x="1483"/>
        <item m="1" x="1490"/>
        <item m="1" x="1174"/>
        <item m="1" x="1364"/>
        <item m="1" x="781"/>
        <item m="1" x="1078"/>
        <item m="1" x="1367"/>
        <item m="1" x="951"/>
        <item m="1" x="1241"/>
        <item m="1" x="880"/>
        <item m="1" x="665"/>
        <item m="1" x="869"/>
        <item m="1" x="1635"/>
        <item m="1" x="1577"/>
        <item m="1" x="722"/>
        <item m="1" x="1523"/>
        <item m="1" x="529"/>
        <item m="1" x="1545"/>
        <item m="1" x="564"/>
        <item m="1" x="866"/>
        <item m="1" x="964"/>
        <item m="1" x="911"/>
        <item m="1" x="1518"/>
        <item m="1" x="1421"/>
        <item m="1" x="662"/>
        <item m="1" x="1232"/>
        <item m="1" x="1440"/>
        <item m="1" x="1574"/>
        <item m="1" x="1481"/>
        <item m="1" x="567"/>
        <item m="1" x="1647"/>
        <item m="1" x="718"/>
        <item m="1" x="999"/>
        <item m="1" x="1443"/>
        <item m="1" x="566"/>
        <item m="1" x="1502"/>
        <item m="1" x="731"/>
        <item m="1" x="1375"/>
        <item m="1" x="1239"/>
        <item m="1" x="1217"/>
        <item m="1" x="796"/>
        <item m="1" x="758"/>
        <item m="1" x="1570"/>
        <item m="1" x="511"/>
        <item m="1" x="693"/>
        <item m="1" x="1352"/>
        <item m="1" x="1463"/>
        <item m="1" x="1390"/>
        <item m="1" x="1594"/>
        <item m="1" x="1098"/>
        <item m="1" x="725"/>
        <item m="1" x="845"/>
        <item m="1" x="1164"/>
        <item m="1" x="906"/>
        <item m="1" x="1234"/>
        <item m="1" x="847"/>
        <item m="1" x="649"/>
        <item m="1" x="1302"/>
        <item m="1" x="704"/>
        <item m="1" x="584"/>
        <item m="1" x="1436"/>
        <item m="1" x="1583"/>
        <item m="1" x="1284"/>
        <item m="1" x="549"/>
        <item m="1" x="1475"/>
        <item m="1" x="1273"/>
        <item m="1" x="1383"/>
        <item m="1" x="1522"/>
        <item m="1" x="750"/>
        <item m="1" x="942"/>
        <item m="1" x="780"/>
        <item m="1" x="1048"/>
        <item m="1" x="972"/>
        <item m="1" x="1002"/>
        <item m="1" x="1538"/>
        <item m="1" x="984"/>
        <item m="1" x="1187"/>
        <item m="1" x="719"/>
        <item m="1" x="918"/>
        <item m="1" x="892"/>
        <item m="1" x="1235"/>
        <item m="1" x="1138"/>
        <item m="1" x="1366"/>
        <item m="1" x="888"/>
        <item m="1" x="1524"/>
        <item m="1" x="726"/>
        <item m="1" x="652"/>
        <item m="1" x="908"/>
        <item m="1" x="1449"/>
        <item m="1" x="559"/>
        <item m="1" x="560"/>
        <item m="1" x="856"/>
        <item m="1" x="1529"/>
        <item m="1" x="923"/>
        <item m="1" x="568"/>
        <item m="1" x="728"/>
        <item m="1" x="970"/>
        <item m="1" x="1281"/>
        <item m="1" x="1253"/>
        <item m="1" x="924"/>
        <item m="1" x="505"/>
        <item m="1" x="643"/>
        <item m="1" x="855"/>
        <item m="1" x="743"/>
        <item m="1" x="500"/>
        <item m="1" x="1453"/>
        <item m="1" x="1582"/>
        <item m="1" x="1052"/>
        <item m="1" x="1482"/>
        <item m="1" x="1542"/>
        <item m="1" x="565"/>
        <item m="1" x="1580"/>
        <item m="1" x="1318"/>
        <item m="1" x="741"/>
        <item m="1" x="927"/>
        <item m="1" x="831"/>
        <item m="1" x="1193"/>
        <item m="1" x="764"/>
        <item m="1" x="980"/>
        <item m="1" x="1275"/>
        <item m="1" x="1400"/>
        <item m="1" x="903"/>
        <item m="1" x="1031"/>
        <item m="1" x="843"/>
        <item m="1" x="769"/>
        <item m="1" x="1280"/>
        <item m="1" x="1395"/>
        <item m="1" x="1557"/>
        <item m="1" x="599"/>
        <item m="1" x="803"/>
        <item m="1" x="1243"/>
        <item m="1" x="644"/>
        <item m="1" x="931"/>
        <item m="1" x="1312"/>
        <item m="1" x="577"/>
        <item m="1" x="787"/>
        <item m="1" x="897"/>
        <item m="1" x="1503"/>
        <item m="1" x="736"/>
        <item m="1" x="1006"/>
        <item m="1" x="1559"/>
        <item m="1" x="687"/>
        <item m="1" x="876"/>
        <item m="1" x="1064"/>
        <item m="1" x="1401"/>
        <item m="1" x="699"/>
        <item m="1" x="955"/>
        <item m="1" x="797"/>
        <item m="1" x="1293"/>
        <item m="1" x="1479"/>
        <item m="1" x="605"/>
        <item m="1" x="825"/>
        <item m="1" x="1561"/>
        <item m="1" x="1526"/>
        <item m="1" x="626"/>
        <item m="1" x="943"/>
        <item m="1" x="1467"/>
        <item m="1" x="1598"/>
        <item m="1" x="1469"/>
        <item m="1" x="1444"/>
        <item m="1" x="575"/>
        <item m="1" x="751"/>
        <item m="1" x="833"/>
        <item m="1" x="822"/>
        <item m="1" x="1049"/>
        <item m="1" x="537"/>
        <item m="1" x="1236"/>
        <item m="1" x="1307"/>
        <item m="1" x="489"/>
        <item m="1" x="1567"/>
        <item m="1" x="1429"/>
        <item m="1" x="1558"/>
        <item m="1" x="1588"/>
        <item m="1" x="1624"/>
        <item m="1" x="1562"/>
        <item m="1" x="926"/>
        <item m="1" x="1286"/>
        <item m="1" x="893"/>
        <item m="1" x="1299"/>
        <item m="1" x="1264"/>
        <item m="1" x="702"/>
        <item m="1" x="740"/>
        <item m="1" x="878"/>
        <item m="1" x="1343"/>
        <item m="1" x="863"/>
        <item m="1" x="609"/>
        <item m="1" x="1608"/>
        <item m="1" x="1358"/>
        <item m="1" x="1191"/>
        <item m="1" x="1223"/>
        <item m="1" x="1272"/>
        <item m="1" x="697"/>
        <item m="1" x="1039"/>
        <item m="1" x="1384"/>
        <item m="1" x="535"/>
        <item m="1" x="778"/>
        <item m="1" x="678"/>
        <item m="1" x="675"/>
        <item m="1" x="679"/>
        <item m="1" x="480"/>
        <item m="1" x="701"/>
        <item m="1" x="1498"/>
        <item m="1" x="502"/>
        <item m="1" x="1148"/>
        <item m="1" x="1585"/>
        <item m="1" x="1396"/>
        <item m="1" x="656"/>
        <item m="1" x="1656"/>
        <item m="1" x="585"/>
        <item m="1" x="952"/>
        <item m="1" x="1175"/>
        <item m="1" x="631"/>
        <item m="1" x="1084"/>
        <item m="1" x="1244"/>
        <item m="1" x="1512"/>
        <item m="1" x="1414"/>
        <item m="1" x="493"/>
        <item m="1" x="1176"/>
        <item m="1" x="576"/>
        <item m="1" x="812"/>
        <item m="1" x="784"/>
        <item m="1" x="546"/>
        <item m="1" x="1139"/>
        <item m="1" x="1146"/>
        <item m="1" x="1246"/>
        <item m="1" x="995"/>
        <item m="1" x="1495"/>
        <item m="1" x="904"/>
        <item m="1" x="1614"/>
        <item m="1" x="1249"/>
        <item m="1" x="1140"/>
        <item m="1" x="804"/>
        <item m="1" x="1212"/>
        <item m="1" x="1510"/>
        <item m="1" x="1575"/>
        <item m="1" x="1554"/>
        <item m="1" x="1484"/>
        <item m="1" x="1233"/>
        <item m="1" x="1346"/>
        <item m="1" x="859"/>
        <item m="1" x="1308"/>
        <item m="1" x="1133"/>
        <item m="1" x="1092"/>
        <item m="1" x="1090"/>
        <item m="1" x="1091"/>
        <item m="1" x="788"/>
        <item m="1" x="832"/>
        <item m="1" x="1445"/>
        <item m="1" x="1010"/>
        <item m="1" x="852"/>
        <item m="1" x="894"/>
        <item m="1" x="940"/>
        <item m="1" x="1192"/>
        <item m="1" x="1530"/>
        <item m="1" x="1619"/>
        <item m="1" x="737"/>
        <item m="1" x="688"/>
        <item m="1" x="525"/>
        <item m="1" x="547"/>
        <item m="1" x="844"/>
        <item m="1" x="632"/>
        <item m="1" x="960"/>
        <item m="1" x="1496"/>
        <item m="1" x="837"/>
        <item m="1" x="629"/>
        <item m="1" x="1388"/>
        <item m="1" x="506"/>
        <item m="1" x="1514"/>
        <item m="1" x="1589"/>
        <item m="1" x="1653"/>
        <item m="1" x="1528"/>
        <item m="1" x="771"/>
        <item m="1" x="548"/>
        <item m="1" x="1012"/>
        <item m="1" x="1096"/>
        <item m="1" x="1292"/>
        <item m="1" x="1260"/>
        <item m="1" x="1296"/>
        <item m="1" x="1073"/>
        <item m="1" x="1111"/>
        <item m="1" x="1552"/>
        <item m="1" x="1315"/>
        <item m="1" x="1285"/>
        <item m="1" x="1224"/>
        <item m="1" x="1297"/>
        <item m="1" x="498"/>
        <item m="1" x="503"/>
        <item m="1" x="1106"/>
        <item m="1" x="1491"/>
        <item m="1" x="1061"/>
        <item m="1" x="1631"/>
        <item m="1" x="1030"/>
        <item m="1" x="1206"/>
        <item m="1" x="1277"/>
        <item m="1" x="891"/>
        <item m="1" x="723"/>
        <item m="1" x="1099"/>
        <item m="1" x="785"/>
        <item m="1" x="1640"/>
        <item m="1" x="1555"/>
        <item m="1" x="1368"/>
        <item m="1" x="625"/>
        <item m="1" x="552"/>
        <item m="1" x="1125"/>
        <item m="1" x="1369"/>
        <item m="1" x="1658"/>
        <item m="1" x="1004"/>
        <item m="1" x="1605"/>
        <item m="1" x="539"/>
        <item m="1" x="653"/>
        <item m="1" x="965"/>
        <item m="1" x="1056"/>
        <item m="1" x="1485"/>
        <item m="1" x="809"/>
        <item m="1" x="1488"/>
        <item m="1" x="905"/>
        <item m="1" x="1477"/>
        <item m="1" x="1641"/>
        <item m="1" x="569"/>
        <item m="1" x="1625"/>
        <item m="1" x="516"/>
        <item m="1" x="1378"/>
        <item m="1" x="996"/>
        <item m="1" x="827"/>
        <item m="1" x="790"/>
        <item m="1" x="934"/>
        <item m="1" x="533"/>
        <item m="1" x="1618"/>
        <item m="1" x="617"/>
        <item m="1" x="638"/>
        <item m="1" x="1511"/>
        <item m="1" x="1590"/>
        <item m="1" x="1104"/>
        <item m="1" x="1245"/>
        <item m="1" x="946"/>
        <item m="1" x="1059"/>
        <item m="1" x="1208"/>
        <item m="1" x="1325"/>
        <item m="1" x="912"/>
        <item m="1" x="1188"/>
        <item m="1" x="1007"/>
        <item m="1" x="1644"/>
        <item m="1" x="497"/>
        <item m="1" x="936"/>
        <item m="1" x="877"/>
        <item m="1" x="838"/>
        <item m="1" x="1632"/>
        <item m="1" x="1450"/>
        <item m="1" x="1581"/>
        <item m="1" x="594"/>
        <item m="1" x="1592"/>
        <item m="1" x="1579"/>
        <item m="1" x="1456"/>
        <item m="1" x="691"/>
        <item m="1" x="1060"/>
        <item m="1" x="1153"/>
        <item m="1" x="899"/>
        <item m="1" x="1497"/>
        <item m="1" x="1283"/>
        <item m="1" x="1303"/>
        <item m="1" x="1197"/>
        <item m="1" x="540"/>
        <item m="1" x="1370"/>
        <item m="1" x="1532"/>
        <item m="1" x="937"/>
        <item m="1" x="1651"/>
        <item m="1" x="1145"/>
        <item m="1" x="732"/>
        <item m="1" x="865"/>
        <item m="1" x="901"/>
        <item m="1" x="1560"/>
        <item m="1" x="1544"/>
        <item m="1" x="604"/>
        <item m="1" x="606"/>
        <item m="1" x="520"/>
        <item m="1" x="1480"/>
        <item m="1" x="522"/>
        <item m="1" x="939"/>
        <item m="1" x="839"/>
        <item m="1" x="1295"/>
        <item m="1" x="1238"/>
        <item m="1" x="1587"/>
        <item m="1" x="1519"/>
        <item m="1" x="1011"/>
        <item m="1" x="1225"/>
        <item m="1" x="1460"/>
        <item m="1" x="573"/>
        <item m="1" x="1005"/>
        <item m="1" x="935"/>
        <item m="1" x="1629"/>
        <item m="1" x="1596"/>
        <item m="1" x="1027"/>
        <item m="1" x="633"/>
        <item m="1" x="928"/>
        <item m="1" x="1101"/>
        <item m="1" x="555"/>
        <item m="1" x="1391"/>
        <item m="1" x="985"/>
        <item m="1" x="795"/>
        <item m="1" x="889"/>
        <item m="1" x="1335"/>
        <item m="1" x="1634"/>
        <item m="1" x="713"/>
        <item m="1" x="1486"/>
        <item m="1" x="707"/>
        <item m="1" x="1271"/>
        <item m="1" x="1043"/>
        <item m="1" x="974"/>
        <item m="1" x="696"/>
        <item m="1" x="763"/>
        <item m="1" x="551"/>
        <item m="1" x="1351"/>
        <item m="1" x="864"/>
        <item m="1" x="588"/>
        <item m="1" x="1202"/>
        <item m="1" x="1517"/>
        <item m="1" x="1057"/>
        <item m="1" x="1015"/>
        <item m="1" x="486"/>
        <item m="1" x="1622"/>
        <item m="1" x="872"/>
        <item m="1" x="932"/>
        <item m="1" x="1339"/>
        <item m="1" x="1616"/>
        <item m="1" x="1541"/>
        <item m="1" x="1392"/>
        <item m="1" x="1507"/>
        <item m="1" x="668"/>
        <item m="1" x="867"/>
        <item m="1" x="700"/>
        <item m="1" x="492"/>
        <item m="1" x="1105"/>
        <item m="1" x="554"/>
        <item m="1" x="776"/>
        <item m="1" x="720"/>
        <item m="1" x="666"/>
        <item m="1" x="1621"/>
        <item m="1" x="717"/>
        <item m="1" x="1319"/>
        <item m="1" x="1531"/>
        <item m="1" x="657"/>
        <item m="1" x="561"/>
        <item m="1" x="1354"/>
        <item m="1" x="1330"/>
        <item m="1" x="1371"/>
        <item m="1" x="1290"/>
        <item m="1" x="634"/>
        <item m="1" x="990"/>
        <item m="1" x="1258"/>
        <item m="1" x="1508"/>
        <item m="1" x="1102"/>
        <item m="1" x="1220"/>
        <item m="1" x="1564"/>
        <item m="1" x="976"/>
        <item m="1" x="820"/>
        <item m="1" x="1053"/>
        <item m="1" x="1000"/>
        <item m="1" x="930"/>
        <item m="1" x="1447"/>
        <item m="1" x="1134"/>
        <item m="1" x="1230"/>
        <item m="1" x="481"/>
        <item m="1" x="1026"/>
        <item m="1" x="628"/>
        <item m="1" x="895"/>
        <item m="1" x="1033"/>
        <item m="1" x="563"/>
        <item m="1" x="680"/>
        <item m="1" x="1135"/>
        <item m="1" x="1332"/>
        <item m="1" x="1602"/>
        <item m="1" x="1645"/>
        <item m="1" x="1255"/>
        <item m="1" x="603"/>
        <item m="1" x="531"/>
        <item m="1" x="1117"/>
        <item m="1" x="739"/>
        <item m="1" x="1013"/>
        <item m="1" x="641"/>
        <item m="1" x="744"/>
        <item m="1" x="1171"/>
        <item m="1" x="1527"/>
        <item m="1" x="1458"/>
        <item m="1" x="874"/>
        <item m="1" x="909"/>
        <item m="1" x="1185"/>
        <item m="1" x="1615"/>
        <item m="1" x="1341"/>
        <item m="1" x="507"/>
        <item m="1" x="1569"/>
        <item m="1" x="615"/>
        <item m="1" x="1261"/>
        <item m="1" x="1306"/>
        <item m="1" x="1309"/>
        <item m="1" x="1649"/>
        <item m="1" x="542"/>
        <item m="1" x="1320"/>
        <item m="1" x="1417"/>
        <item m="1" x="1189"/>
        <item m="1" x="1359"/>
        <item m="1" x="601"/>
        <item m="1" x="993"/>
        <item m="1" x="840"/>
        <item m="1" x="1452"/>
        <item m="1" x="1547"/>
        <item m="1" x="1076"/>
        <item m="1" x="1515"/>
        <item m="1" x="1563"/>
        <item m="1" x="916"/>
        <item m="1" x="1419"/>
        <item m="1" x="1282"/>
        <item m="1" x="1565"/>
        <item m="1" x="1609"/>
        <item m="1" x="1347"/>
        <item m="1" x="957"/>
        <item m="1" x="762"/>
        <item m="1" x="1597"/>
        <item m="1" x="1144"/>
        <item m="1" x="1118"/>
        <item m="1" x="1127"/>
        <item m="1" x="1648"/>
        <item m="1" x="1372"/>
        <item m="1" x="1067"/>
        <item m="1" x="1336"/>
        <item m="1" x="1313"/>
        <item m="1" x="929"/>
        <item m="1" x="830"/>
        <item m="1" x="1329"/>
        <item m="1" x="724"/>
        <item m="1" x="681"/>
        <item m="1" x="623"/>
        <item m="1" x="1610"/>
        <item m="1" x="1226"/>
        <item m="1" x="961"/>
        <item m="1" x="1042"/>
        <item m="1" x="523"/>
        <item m="1" x="1599"/>
        <item m="1" x="1150"/>
        <item m="1" x="1298"/>
        <item m="1" x="746"/>
        <item m="1" x="1430"/>
        <item m="1" x="933"/>
        <item m="1" x="826"/>
        <item m="1" x="1654"/>
        <item m="1" x="956"/>
        <item m="1" x="1595"/>
        <item m="1" x="1181"/>
        <item m="1" x="857"/>
        <item m="1" x="648"/>
        <item m="1" x="591"/>
        <item m="1" x="885"/>
        <item m="1" x="582"/>
        <item m="1" x="553"/>
        <item m="1" x="570"/>
        <item m="1" x="849"/>
        <item m="1" x="694"/>
        <item m="1" x="1001"/>
        <item m="1" x="1058"/>
        <item m="1" x="1157"/>
        <item m="1" x="1028"/>
        <item m="1" x="1361"/>
        <item m="1" x="1425"/>
        <item m="1" x="637"/>
        <item m="1" x="647"/>
        <item m="1" x="836"/>
        <item m="1" x="978"/>
        <item m="1" x="768"/>
        <item m="1" x="1321"/>
        <item m="1" x="1071"/>
        <item m="1" x="988"/>
        <item m="1" x="1121"/>
        <item m="1" x="1427"/>
        <item m="1" x="1365"/>
        <item m="1" x="1451"/>
        <item m="1" x="1207"/>
        <item m="1" x="627"/>
        <item m="1" x="1633"/>
        <item m="1" x="1046"/>
        <item m="1" x="661"/>
        <item m="1" x="485"/>
        <item m="1" x="1630"/>
        <item m="1" x="1114"/>
        <item m="1" x="1081"/>
        <item m="1" x="853"/>
        <item m="1" x="733"/>
        <item m="1" x="817"/>
        <item m="1" x="971"/>
        <item m="1" x="1546"/>
        <item m="1" x="1465"/>
        <item m="1" x="841"/>
        <item m="1" x="914"/>
        <item m="1" x="921"/>
        <item m="1" x="1459"/>
        <item m="1" x="1062"/>
        <item m="1" x="534"/>
        <item m="1" x="1095"/>
        <item m="1" x="1374"/>
        <item m="1" x="1500"/>
        <item m="1" x="1393"/>
        <item m="1" x="1201"/>
        <item m="1" x="1499"/>
        <item m="1" x="513"/>
        <item m="1" x="1416"/>
        <item m="1" x="495"/>
        <item m="1" x="835"/>
        <item m="1" x="499"/>
        <item m="1" x="658"/>
        <item m="1" x="748"/>
        <item m="1" x="754"/>
        <item m="1" x="1172"/>
        <item m="1" x="1426"/>
        <item m="1" x="953"/>
        <item m="1" x="524"/>
        <item m="1" x="730"/>
        <item m="1" x="518"/>
        <item m="1" x="1513"/>
        <item m="1" x="738"/>
        <item m="1" x="1074"/>
        <item m="1" x="1533"/>
        <item m="1" x="860"/>
        <item m="1" x="802"/>
        <item m="1" x="1198"/>
        <item m="1" x="755"/>
        <item m="1" x="1063"/>
        <item m="1" x="1357"/>
        <item m="1" x="496"/>
        <item m="1" x="1009"/>
        <item m="1" x="1128"/>
        <item m="1" x="620"/>
        <item m="1" x="962"/>
        <item m="1" x="1097"/>
        <item m="1" x="848"/>
        <item m="1" x="886"/>
        <item m="1" x="613"/>
        <item m="1" x="1019"/>
        <item m="1" x="483"/>
        <item m="1" x="1155"/>
        <item m="1" x="1548"/>
        <item m="1" x="1269"/>
        <item m="1" x="1263"/>
        <item m="1" x="1162"/>
        <item m="1" x="488"/>
        <item m="1" x="1294"/>
        <item m="1" x="1337"/>
        <item m="1" x="1143"/>
        <item m="1" x="487"/>
        <item m="1" x="1494"/>
        <item m="1" x="1461"/>
        <item m="1" x="491"/>
        <item m="1" x="770"/>
        <item m="1" x="1160"/>
        <item m="1" x="1415"/>
        <item m="1" x="612"/>
        <item m="1" x="508"/>
        <item m="1" x="667"/>
        <item m="1" x="558"/>
        <item m="1" x="966"/>
        <item m="1" x="779"/>
        <item m="1" x="777"/>
        <item m="1" x="948"/>
        <item m="1" x="1050"/>
        <item m="1" x="954"/>
        <item m="1" x="1151"/>
        <item m="1" x="1003"/>
        <item m="1" x="868"/>
        <item m="1" x="983"/>
        <item m="1" x="1476"/>
        <item m="1" x="1571"/>
        <item m="1" x="828"/>
        <item m="1" x="1551"/>
        <item m="1" x="593"/>
        <item m="1" x="1540"/>
        <item m="1" x="1237"/>
        <item m="1" x="1408"/>
        <item m="1" x="1487"/>
        <item m="1" x="1167"/>
        <item m="1" x="1379"/>
        <item m="1" x="671"/>
        <item m="1" x="654"/>
        <item m="1" x="1276"/>
        <item m="1" x="1248"/>
        <item m="1" x="810"/>
        <item m="1" x="1646"/>
        <item m="1" x="1218"/>
        <item m="1" x="958"/>
        <item m="1" x="1032"/>
        <item m="1" x="991"/>
        <item m="1" x="1501"/>
        <item m="1" x="1505"/>
        <item m="1" x="501"/>
        <item m="1" x="1385"/>
        <item m="1" x="1431"/>
        <item m="1" x="550"/>
        <item m="1" x="922"/>
        <item m="1" x="913"/>
        <item m="1" x="1420"/>
        <item m="1" x="1119"/>
        <item m="1" x="1323"/>
        <item m="1" x="989"/>
        <item m="1" x="1340"/>
        <item m="1" x="528"/>
        <item m="1" x="651"/>
        <item m="1" x="1620"/>
        <item m="1" x="1240"/>
        <item m="1" x="1612"/>
        <item m="1" x="532"/>
        <item m="1" x="792"/>
        <item m="1" x="608"/>
        <item m="1" x="541"/>
        <item m="1" x="556"/>
        <item m="1" x="1108"/>
        <item m="1" x="1141"/>
        <item m="1" x="813"/>
        <item m="1" x="1231"/>
        <item m="1" x="1549"/>
        <item m="1" x="900"/>
        <item m="1" x="979"/>
        <item m="1" x="1129"/>
        <item m="1" x="1617"/>
        <item m="1" x="794"/>
        <item m="1" x="806"/>
        <item m="1" x="816"/>
        <item m="1" x="1437"/>
        <item m="1" x="1573"/>
        <item m="1" x="490"/>
        <item m="1" x="1317"/>
        <item m="1" x="1613"/>
        <item m="1" x="714"/>
        <item m="1" x="1029"/>
        <item m="1" x="1650"/>
        <item m="1" x="1556"/>
        <item m="1" x="703"/>
        <item m="1" x="815"/>
        <item m="1" x="902"/>
        <item m="1" x="1227"/>
        <item m="1" x="1424"/>
        <item m="1" x="659"/>
        <item m="1" x="1130"/>
        <item m="1" x="655"/>
        <item m="1" x="624"/>
        <item m="1" x="572"/>
        <item m="1" x="1543"/>
        <item m="1" x="1136"/>
        <item m="1" x="1584"/>
        <item m="1" x="977"/>
        <item m="1" x="1601"/>
        <item m="1" x="1353"/>
        <item m="1" x="642"/>
        <item m="1" x="1457"/>
        <item m="1" x="1471"/>
        <item m="1" x="1131"/>
        <item m="1" x="1506"/>
        <item m="1" x="1344"/>
        <item m="1" x="1209"/>
        <item m="1" x="526"/>
        <item m="1" x="1355"/>
        <item m="1" x="1087"/>
        <item m="1" x="1020"/>
        <item m="1" x="1363"/>
        <item m="1" x="947"/>
        <item m="1" x="581"/>
        <item m="1" x="753"/>
        <item m="1" x="530"/>
        <item m="1" x="879"/>
        <item m="1" x="1257"/>
        <item m="1" x="842"/>
        <item m="1" x="705"/>
        <item m="1" x="920"/>
        <item m="1" x="598"/>
        <item m="1" x="850"/>
        <item m="1" x="721"/>
        <item m="1" x="1072"/>
        <item m="1" x="1659"/>
        <item m="1" x="1113"/>
        <item m="1" x="709"/>
        <item m="1" x="986"/>
        <item m="1" x="692"/>
        <item m="1" x="745"/>
        <item m="1" x="1037"/>
        <item m="1" x="1305"/>
        <item m="1" x="1022"/>
        <item m="1" x="1472"/>
        <item m="1" x="1034"/>
        <item m="1" x="1268"/>
        <item m="1" x="583"/>
        <item m="1" x="1066"/>
        <item m="1" x="706"/>
        <item m="1" x="636"/>
        <item m="1" x="1362"/>
        <item m="1" x="677"/>
        <item m="1" x="1386"/>
        <item m="1" x="578"/>
        <item m="1" x="1203"/>
        <item m="1" x="1210"/>
        <item m="1" x="614"/>
        <item m="1" x="1132"/>
        <item m="1" x="510"/>
        <item m="1" x="1333"/>
        <item m="1" x="1038"/>
        <item m="1" x="1259"/>
        <item m="1" x="1228"/>
        <item m="1" x="1448"/>
        <item m="1" x="1221"/>
        <item m="1" x="799"/>
        <item m="1" x="1300"/>
        <item m="1" x="1434"/>
        <item m="1" x="1124"/>
        <item m="1" x="1256"/>
        <item m="1" x="589"/>
        <item m="1" x="1422"/>
        <item m="1" x="1079"/>
        <item m="1" x="944"/>
        <item m="1" x="1328"/>
        <item m="1" x="854"/>
        <item m="1" x="1177"/>
        <item m="1" x="711"/>
        <item m="1" x="807"/>
        <item m="1" x="1204"/>
        <item m="1" x="973"/>
        <item m="1" x="517"/>
        <item m="1" x="851"/>
        <item m="1" x="1331"/>
        <item m="1" x="1433"/>
        <item m="1" x="536"/>
        <item m="1" x="821"/>
        <item m="1" x="756"/>
        <item m="1" x="1089"/>
        <item m="1" x="1182"/>
        <item m="1" x="622"/>
        <item m="1" x="1604"/>
        <item m="1" x="587"/>
        <item m="1" x="660"/>
        <item m="1" x="1441"/>
        <item m="1" x="949"/>
        <item m="1" x="963"/>
        <item m="1" x="1017"/>
        <item m="1" x="592"/>
        <item m="1" x="871"/>
        <item m="1" x="1266"/>
        <item m="1" x="1178"/>
        <item m="1" x="968"/>
        <item m="1" x="915"/>
        <item m="1" x="545"/>
        <item m="1" x="783"/>
        <item m="1" x="1247"/>
        <item m="1" x="881"/>
        <item m="1" x="1044"/>
        <item m="1" x="981"/>
        <item m="1" x="1163"/>
        <item m="1" x="527"/>
        <item m="1" x="1008"/>
        <item m="1" x="682"/>
        <item m="1" x="1085"/>
        <item m="1" x="1211"/>
        <item m="1" x="1287"/>
        <item m="1" x="1222"/>
        <item m="1" x="1183"/>
        <item m="1" x="1109"/>
        <item m="1" x="1520"/>
        <item m="1" x="1412"/>
        <item m="1" x="663"/>
        <item m="1" x="1404"/>
        <item m="1" x="858"/>
        <item m="1" x="1168"/>
        <item m="1" x="574"/>
        <item m="1" x="1147"/>
        <item m="1" x="1014"/>
        <item m="1" x="1446"/>
        <item m="1" x="600"/>
        <item m="1" x="1657"/>
        <item m="1" x="639"/>
        <item m="1" x="579"/>
        <item m="1" x="1149"/>
        <item m="1" x="1349"/>
        <item m="1" x="1252"/>
        <item m="1" x="538"/>
        <item m="1" x="690"/>
        <item m="1" x="1478"/>
        <item m="1" x="1418"/>
        <item m="1" x="673"/>
        <item m="1" x="646"/>
        <item m="1" x="941"/>
        <item m="1" x="562"/>
        <item m="1" x="1169"/>
        <item m="1" x="602"/>
        <item m="1" x="772"/>
        <item m="1" x="1069"/>
        <item m="1" x="1600"/>
        <item m="1" x="640"/>
        <item m="1" x="910"/>
        <item m="1" x="757"/>
        <item m="1" x="919"/>
        <item m="1" x="1473"/>
        <item m="1" x="1356"/>
        <item m="1" x="818"/>
        <item m="1" x="571"/>
        <item m="1" x="1521"/>
        <item m="1" x="684"/>
        <item m="1" x="1466"/>
        <item m="1" x="1023"/>
        <item m="1" x="1407"/>
        <item m="1" x="766"/>
        <item m="1" x="938"/>
        <item m="1" x="1423"/>
        <item m="1" x="1611"/>
        <item m="1" x="1387"/>
        <item m="1" x="786"/>
        <item m="1" x="729"/>
        <item m="1" x="1432"/>
        <item m="1" x="1196"/>
        <item m="1" x="1040"/>
        <item m="1" x="1464"/>
        <item m="1" x="512"/>
        <item m="1" x="509"/>
        <item m="1" x="1184"/>
        <item m="1" x="1324"/>
        <item m="1" x="1279"/>
        <item m="1" x="1462"/>
        <item m="1" x="987"/>
        <item m="1" x="734"/>
        <item m="1" x="808"/>
        <item m="1" x="1338"/>
        <item m="1" x="890"/>
        <item m="1" x="1120"/>
        <item m="1" x="1535"/>
        <item m="1" x="773"/>
        <item m="1" x="1110"/>
        <item m="1" x="494"/>
        <item m="1" x="823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m="1" x="811"/>
        <item m="1" x="1572"/>
        <item m="1" x="514"/>
        <item m="1" x="479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31">
    <i>
      <x/>
    </i>
    <i r="1">
      <x v="1650"/>
    </i>
    <i r="2">
      <x v="3"/>
    </i>
    <i r="1">
      <x v="1651"/>
    </i>
    <i r="2">
      <x v="4"/>
    </i>
    <i r="1">
      <x v="1652"/>
    </i>
    <i r="2">
      <x v="3"/>
    </i>
    <i r="2">
      <x v="4"/>
    </i>
    <i r="2">
      <x v="8"/>
    </i>
    <i r="1">
      <x v="1653"/>
    </i>
    <i r="2">
      <x v="3"/>
    </i>
    <i r="2">
      <x v="4"/>
    </i>
    <i r="2">
      <x v="8"/>
    </i>
    <i r="2">
      <x v="10"/>
    </i>
    <i r="1">
      <x v="1654"/>
    </i>
    <i r="2">
      <x v="8"/>
    </i>
    <i r="1">
      <x v="1655"/>
    </i>
    <i r="2">
      <x v="8"/>
    </i>
    <i>
      <x v="1"/>
    </i>
    <i r="1">
      <x v="1580"/>
    </i>
    <i r="2">
      <x v="13"/>
    </i>
    <i r="1">
      <x v="1631"/>
    </i>
    <i r="2">
      <x v="13"/>
    </i>
    <i r="1">
      <x v="1643"/>
    </i>
    <i r="2">
      <x v="3"/>
    </i>
    <i r="2">
      <x v="13"/>
    </i>
    <i r="1">
      <x v="1644"/>
    </i>
    <i r="2">
      <x v="12"/>
    </i>
    <i r="1">
      <x v="1649"/>
    </i>
    <i r="2">
      <x v="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4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3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2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1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94" totalsRowShown="0" totalsRowDxfId="27">
  <autoFilter ref="A1:C1394" xr:uid="{43456A03-EFD4-416A-B021-C441A7C21E4E}"/>
  <tableColumns count="3">
    <tableColumn id="1" xr3:uid="{96F9219D-1D74-4611-A7AA-8AB4E044352A}" name="Ticket" totalsRowDxfId="26"/>
    <tableColumn id="2" xr3:uid="{D6F02EDE-42BA-4EF9-A278-EA070340E315}" name="Number" totalsRowDxfId="25"/>
    <tableColumn id="3" xr3:uid="{F6A90E5F-0E5C-41D7-A40C-1CC9A86DC194}" name="Status" totalsRowDxfId="2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235" totalsRowShown="0">
  <autoFilter ref="A1:S5235" xr:uid="{678037D6-A574-4B81-B392-ED766472D9FE}">
    <filterColumn colId="1">
      <filters>
        <filter val="open"/>
      </filters>
    </filterColumn>
    <filterColumn colId="2">
      <filters>
        <filter val="New"/>
      </filters>
    </filterColumn>
    <filterColumn colId="9">
      <filters>
        <filter val="FALSE"/>
      </filters>
    </filterColumn>
  </autoFilter>
  <tableColumns count="19">
    <tableColumn id="1" xr3:uid="{5BF112CC-BAD1-48FD-B930-E0EF8CA67570}" name="App"/>
    <tableColumn id="2" xr3:uid="{F44F7455-95E4-448C-84F7-0BD5E8515FF2}" name="Filter" dataDxfId="21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0"/>
    <tableColumn id="7" xr3:uid="{D69C8A00-2CB4-4F31-920A-C1D332375D40}" name="type"/>
    <tableColumn id="9" xr3:uid="{3D246B09-CC89-411A-9E7E-B79496797F29}" name="LFF_ID" dataDxfId="19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8">
      <calculatedColumnFormula>Proc[[#This Row],[Requested]]=Proc[[#This Row],[CurrentParent]]</calculatedColumnFormula>
    </tableColumn>
    <tableColumn id="24" xr3:uid="{9DAA192A-7AAB-4460-A9EA-787D5AF7E069}" name="Sector" dataDxfId="17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6"/>
    <tableColumn id="15" xr3:uid="{F0BFEDC5-AB85-4752-8DBE-1E2D2A86C38C}" name="DateOpened" dataDxfId="15"/>
    <tableColumn id="17" xr3:uid="{78B7D816-31FE-4F8F-8018-91CE8D5DE9A2}" name="DateMapped" dataDxfId="14"/>
    <tableColumn id="16" xr3:uid="{37F76675-DAA7-497A-B0C3-D5ADC87396FC}" name="DateClosed" dataDxfId="13"/>
    <tableColumn id="23" xr3:uid="{77371810-6F86-4EEF-85D0-5FCFC20B88DC}" name="Delayed?" dataDxfId="12">
      <calculatedColumnFormula>IF(Proc[[#This Row],[DaysAgeing]]&gt;5,"yep","on track")</calculatedColumnFormula>
    </tableColumn>
    <tableColumn id="18" xr3:uid="{6AC4A96E-CE6C-49CA-A4F1-794160BB5940}" name="DaysAgeing" dataDxfId="11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0"/>
    <tableColumn id="22" xr3:uid="{87389AE1-9ECE-4C7F-80F9-48A35BE78A62}" name="Prognosis" dataDxfId="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6" totalsRowShown="0">
  <autoFilter ref="A1:B146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8"/>
    <tableColumn id="6" xr3:uid="{73647D57-303F-4AF5-983C-1CCB32EBD08D}" name="Forecast Period" dataDxfId="7"/>
    <tableColumn id="4" xr3:uid="{FA11B267-B5E3-452C-A4E3-1668B4A12A28}" name="Number of Tickets Raised" dataDxfId="6"/>
    <tableColumn id="1" xr3:uid="{441BC59C-A1EA-4CA8-B944-D602CD57D89D}" name="Delayed Tickets"/>
    <tableColumn id="5" xr3:uid="{29680677-3B0F-4EC4-81FF-46A6FDD4C5F7}" name="Number of Total Objects" dataDxfId="5"/>
    <tableColumn id="2" xr3:uid="{3D96D299-AEA2-4D9C-9BE6-F98ADF0CDB84}" name="Commentary for delayed tickets" dataDxf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32"/>
  <sheetViews>
    <sheetView workbookViewId="0">
      <selection activeCell="A16" sqref="A16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278</v>
      </c>
    </row>
    <row r="5" spans="1:2">
      <c r="A5" s="111" t="s">
        <v>369</v>
      </c>
      <c r="B5" s="150">
        <v>275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>
        <v>1</v>
      </c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305</v>
      </c>
    </row>
    <row r="15" spans="1:2">
      <c r="A15" s="111" t="s">
        <v>369</v>
      </c>
      <c r="B15" s="150">
        <v>256</v>
      </c>
    </row>
    <row r="16" spans="1:2">
      <c r="A16" s="111" t="s">
        <v>404</v>
      </c>
      <c r="B16" s="150">
        <v>2</v>
      </c>
    </row>
    <row r="17" spans="1:2">
      <c r="A17" s="111" t="s">
        <v>370</v>
      </c>
      <c r="B17" s="150">
        <v>45</v>
      </c>
    </row>
    <row r="18" spans="1:2">
      <c r="A18" s="111" t="s">
        <v>377</v>
      </c>
      <c r="B18" s="150">
        <v>2</v>
      </c>
    </row>
    <row r="19" spans="1:2">
      <c r="A19" s="17" t="s">
        <v>569</v>
      </c>
      <c r="B19" s="150">
        <v>221</v>
      </c>
    </row>
    <row r="20" spans="1:2">
      <c r="A20" s="111" t="s">
        <v>369</v>
      </c>
      <c r="B20" s="150">
        <v>216</v>
      </c>
    </row>
    <row r="21" spans="1:2">
      <c r="A21" s="111" t="s">
        <v>377</v>
      </c>
      <c r="B21" s="150">
        <v>2</v>
      </c>
    </row>
    <row r="22" spans="1:2">
      <c r="A22" s="111" t="s">
        <v>692</v>
      </c>
      <c r="B22" s="150">
        <v>3</v>
      </c>
    </row>
    <row r="23" spans="1:2">
      <c r="A23" s="17" t="s">
        <v>570</v>
      </c>
      <c r="B23" s="150">
        <v>307</v>
      </c>
    </row>
    <row r="24" spans="1:2">
      <c r="A24" s="111" t="s">
        <v>369</v>
      </c>
      <c r="B24" s="150">
        <v>297</v>
      </c>
    </row>
    <row r="25" spans="1:2">
      <c r="A25" s="111" t="s">
        <v>377</v>
      </c>
      <c r="B25" s="150">
        <v>9</v>
      </c>
    </row>
    <row r="26" spans="1:2">
      <c r="A26" s="111" t="s">
        <v>692</v>
      </c>
      <c r="B26" s="150">
        <v>1</v>
      </c>
    </row>
    <row r="27" spans="1:2">
      <c r="A27" s="17" t="s">
        <v>6998</v>
      </c>
      <c r="B27" s="150">
        <v>4</v>
      </c>
    </row>
    <row r="28" spans="1:2">
      <c r="A28" s="111" t="s">
        <v>369</v>
      </c>
      <c r="B28" s="150">
        <v>4</v>
      </c>
    </row>
    <row r="29" spans="1:2">
      <c r="A29" s="17" t="s">
        <v>7194</v>
      </c>
      <c r="B29" s="150">
        <v>16</v>
      </c>
    </row>
    <row r="30" spans="1:2">
      <c r="A30" s="111" t="s">
        <v>369</v>
      </c>
      <c r="B30" s="150">
        <v>5</v>
      </c>
    </row>
    <row r="31" spans="1:2">
      <c r="A31" s="111" t="s">
        <v>404</v>
      </c>
      <c r="B31" s="150">
        <v>11</v>
      </c>
    </row>
    <row r="32" spans="1:2">
      <c r="A32" s="17" t="s">
        <v>381</v>
      </c>
      <c r="B32" s="150">
        <v>1131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tabSelected="1" zoomScale="115" zoomScaleNormal="115" workbookViewId="0">
      <selection activeCell="D29" sqref="D29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89</v>
      </c>
      <c r="C5"/>
      <c r="D5"/>
      <c r="E5"/>
    </row>
    <row r="6" spans="1:6">
      <c r="A6" s="111" t="s">
        <v>7433</v>
      </c>
      <c r="B6" s="150">
        <v>3</v>
      </c>
      <c r="C6" s="126"/>
      <c r="D6" s="124"/>
      <c r="E6" s="124"/>
    </row>
    <row r="7" spans="1:6">
      <c r="A7" s="112" t="s">
        <v>369</v>
      </c>
      <c r="B7" s="150">
        <v>3</v>
      </c>
      <c r="C7"/>
      <c r="D7"/>
      <c r="E7"/>
    </row>
    <row r="8" spans="1:6">
      <c r="A8" s="111" t="s">
        <v>7553</v>
      </c>
      <c r="B8" s="150">
        <v>11</v>
      </c>
      <c r="C8" s="56"/>
      <c r="D8" s="124"/>
      <c r="E8" s="124"/>
    </row>
    <row r="9" spans="1:6">
      <c r="A9" s="112" t="s">
        <v>404</v>
      </c>
      <c r="B9" s="150">
        <v>11</v>
      </c>
      <c r="C9"/>
      <c r="D9"/>
    </row>
    <row r="10" spans="1:6">
      <c r="A10" s="111" t="s">
        <v>7485</v>
      </c>
      <c r="B10" s="150">
        <v>34</v>
      </c>
      <c r="C10" s="53"/>
      <c r="D10" s="124"/>
      <c r="E10" s="124"/>
    </row>
    <row r="11" spans="1:6">
      <c r="A11" s="112" t="s">
        <v>369</v>
      </c>
      <c r="B11" s="150">
        <v>24</v>
      </c>
      <c r="C11"/>
      <c r="D11"/>
    </row>
    <row r="12" spans="1:6">
      <c r="A12" s="112" t="s">
        <v>404</v>
      </c>
      <c r="B12" s="150">
        <v>1</v>
      </c>
      <c r="C12" s="126"/>
      <c r="D12"/>
    </row>
    <row r="13" spans="1:6">
      <c r="A13" s="112" t="s">
        <v>370</v>
      </c>
      <c r="B13" s="150">
        <v>9</v>
      </c>
      <c r="C13"/>
      <c r="D13"/>
    </row>
    <row r="14" spans="1:6">
      <c r="A14" s="111" t="s">
        <v>7467</v>
      </c>
      <c r="B14" s="150">
        <v>16</v>
      </c>
      <c r="C14" s="126"/>
      <c r="D14"/>
    </row>
    <row r="15" spans="1:6">
      <c r="A15" s="112" t="s">
        <v>369</v>
      </c>
      <c r="B15" s="150">
        <v>2</v>
      </c>
      <c r="C15"/>
      <c r="D15" s="124"/>
      <c r="E15" s="124"/>
    </row>
    <row r="16" spans="1:6">
      <c r="A16" s="112" t="s">
        <v>404</v>
      </c>
      <c r="B16" s="150">
        <v>1</v>
      </c>
      <c r="C16"/>
      <c r="D16"/>
    </row>
    <row r="17" spans="1:5">
      <c r="A17" s="112" t="s">
        <v>370</v>
      </c>
      <c r="B17" s="150">
        <v>11</v>
      </c>
      <c r="C17"/>
      <c r="D17" s="124"/>
      <c r="E17" s="124"/>
    </row>
    <row r="18" spans="1:5">
      <c r="A18" s="112" t="s">
        <v>377</v>
      </c>
      <c r="B18" s="150">
        <v>2</v>
      </c>
      <c r="C18" s="126"/>
      <c r="D18"/>
    </row>
    <row r="19" spans="1:5">
      <c r="A19" s="111" t="s">
        <v>7464</v>
      </c>
      <c r="B19" s="150">
        <v>1</v>
      </c>
      <c r="C19" s="47"/>
      <c r="D19"/>
    </row>
    <row r="20" spans="1:5">
      <c r="A20" s="112" t="s">
        <v>370</v>
      </c>
      <c r="B20" s="150">
        <v>1</v>
      </c>
      <c r="C20" s="126"/>
    </row>
    <row r="21" spans="1:5" ht="17.25" customHeight="1">
      <c r="A21" s="111" t="s">
        <v>7434</v>
      </c>
      <c r="B21" s="150">
        <v>24</v>
      </c>
    </row>
    <row r="22" spans="1:5">
      <c r="A22" s="112" t="s">
        <v>370</v>
      </c>
      <c r="B22" s="150">
        <v>24</v>
      </c>
    </row>
    <row r="23" spans="1:5">
      <c r="A23" s="17" t="s">
        <v>4326</v>
      </c>
      <c r="B23" s="150">
        <v>25</v>
      </c>
    </row>
    <row r="24" spans="1:5">
      <c r="A24" s="111" t="s">
        <v>6639</v>
      </c>
      <c r="B24" s="150">
        <v>2</v>
      </c>
    </row>
    <row r="25" spans="1:5">
      <c r="A25" s="112" t="s">
        <v>692</v>
      </c>
      <c r="B25" s="150">
        <v>2</v>
      </c>
      <c r="D25" s="124"/>
      <c r="E25" s="124"/>
    </row>
    <row r="26" spans="1:5">
      <c r="A26" s="111" t="s">
        <v>7343</v>
      </c>
      <c r="B26" s="150">
        <v>1</v>
      </c>
      <c r="C26" s="126"/>
    </row>
    <row r="27" spans="1:5">
      <c r="A27" s="112" t="s">
        <v>692</v>
      </c>
      <c r="B27" s="150">
        <v>1</v>
      </c>
    </row>
    <row r="28" spans="1:5">
      <c r="A28" s="111" t="s">
        <v>7364</v>
      </c>
      <c r="B28" s="150">
        <v>5</v>
      </c>
    </row>
    <row r="29" spans="1:5">
      <c r="A29" s="112" t="s">
        <v>369</v>
      </c>
      <c r="B29" s="150">
        <v>4</v>
      </c>
    </row>
    <row r="30" spans="1:5">
      <c r="A30" s="112" t="s">
        <v>692</v>
      </c>
      <c r="B30" s="150">
        <v>1</v>
      </c>
    </row>
    <row r="31" spans="1:5">
      <c r="A31" s="111" t="s">
        <v>7376</v>
      </c>
      <c r="B31" s="150">
        <v>1</v>
      </c>
      <c r="C31" s="30"/>
    </row>
    <row r="32" spans="1:5">
      <c r="A32" s="112" t="s">
        <v>405</v>
      </c>
      <c r="B32" s="150">
        <v>1</v>
      </c>
      <c r="C32" s="30"/>
    </row>
    <row r="33" spans="1:3">
      <c r="A33" s="111" t="s">
        <v>7410</v>
      </c>
      <c r="B33" s="150">
        <v>16</v>
      </c>
      <c r="C33" s="30"/>
    </row>
    <row r="34" spans="1:3">
      <c r="A34" s="112" t="s">
        <v>369</v>
      </c>
      <c r="B34" s="150">
        <v>16</v>
      </c>
      <c r="C34" s="30"/>
    </row>
    <row r="35" spans="1:3">
      <c r="A35" s="17" t="s">
        <v>381</v>
      </c>
      <c r="B35" s="150">
        <v>114</v>
      </c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94"/>
  <sheetViews>
    <sheetView topLeftCell="A1344" workbookViewId="0">
      <selection activeCell="C1394" sqref="C1390:C1394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  <row r="1376" spans="1:3">
      <c r="A1376" t="s">
        <v>7247</v>
      </c>
      <c r="B1376">
        <v>3</v>
      </c>
      <c r="C1376" s="149" t="s">
        <v>4</v>
      </c>
    </row>
    <row r="1377" spans="1:3">
      <c r="A1377" t="s">
        <v>7279</v>
      </c>
      <c r="B1377">
        <v>1</v>
      </c>
      <c r="C1377" s="149" t="s">
        <v>4</v>
      </c>
    </row>
    <row r="1378" spans="1:3">
      <c r="A1378" t="s">
        <v>7301</v>
      </c>
      <c r="B1378">
        <v>10</v>
      </c>
      <c r="C1378" s="149" t="s">
        <v>4</v>
      </c>
    </row>
    <row r="1379" spans="1:3">
      <c r="A1379" t="s">
        <v>7285</v>
      </c>
      <c r="B1379">
        <v>10</v>
      </c>
      <c r="C1379" s="149" t="s">
        <v>4</v>
      </c>
    </row>
    <row r="1380" spans="1:3">
      <c r="A1380" t="s">
        <v>7001</v>
      </c>
      <c r="B1380">
        <v>34</v>
      </c>
      <c r="C1380" s="149" t="s">
        <v>4</v>
      </c>
    </row>
    <row r="1381" spans="1:3">
      <c r="A1381" t="s">
        <v>7039</v>
      </c>
      <c r="B1381">
        <v>145</v>
      </c>
      <c r="C1381" s="149" t="s">
        <v>4</v>
      </c>
    </row>
    <row r="1382" spans="1:3">
      <c r="A1382" t="s">
        <v>7221</v>
      </c>
      <c r="B1382">
        <v>11</v>
      </c>
      <c r="C1382" s="149" t="s">
        <v>4</v>
      </c>
    </row>
    <row r="1383" spans="1:3">
      <c r="A1383" t="s">
        <v>7258</v>
      </c>
      <c r="B1383">
        <v>12</v>
      </c>
      <c r="C1383" s="149" t="s">
        <v>4</v>
      </c>
    </row>
    <row r="1384" spans="1:3">
      <c r="A1384" t="s">
        <v>7252</v>
      </c>
      <c r="B1384">
        <v>6</v>
      </c>
      <c r="C1384" s="149" t="s">
        <v>4</v>
      </c>
    </row>
    <row r="1385" spans="1:3">
      <c r="A1385" t="s">
        <v>7273</v>
      </c>
      <c r="B1385">
        <v>5</v>
      </c>
      <c r="C1385" s="149" t="s">
        <v>4</v>
      </c>
    </row>
    <row r="1386" spans="1:3">
      <c r="A1386" t="s">
        <v>7303</v>
      </c>
      <c r="B1386">
        <v>2</v>
      </c>
      <c r="C1386" s="149" t="s">
        <v>4</v>
      </c>
    </row>
    <row r="1387" spans="1:3">
      <c r="A1387" t="s">
        <v>7304</v>
      </c>
      <c r="B1387">
        <v>26</v>
      </c>
      <c r="C1387" s="149" t="s">
        <v>4</v>
      </c>
    </row>
    <row r="1388" spans="1:3">
      <c r="A1388" t="s">
        <v>7283</v>
      </c>
      <c r="B1388">
        <v>1</v>
      </c>
      <c r="C1388" s="149" t="s">
        <v>4</v>
      </c>
    </row>
    <row r="1389" spans="1:3">
      <c r="A1389" t="s">
        <v>7352</v>
      </c>
      <c r="B1389">
        <v>5</v>
      </c>
      <c r="C1389" s="149" t="s">
        <v>4</v>
      </c>
    </row>
    <row r="1390" spans="1:3">
      <c r="A1390" t="s">
        <v>7353</v>
      </c>
      <c r="B1390">
        <v>8</v>
      </c>
      <c r="C1390" s="149" t="s">
        <v>4</v>
      </c>
    </row>
    <row r="1391" spans="1:3">
      <c r="A1391" t="s">
        <v>7399</v>
      </c>
      <c r="B1391">
        <v>4</v>
      </c>
      <c r="C1391" s="149" t="s">
        <v>4</v>
      </c>
    </row>
    <row r="1392" spans="1:3">
      <c r="A1392" t="s">
        <v>7384</v>
      </c>
      <c r="B1392">
        <v>7</v>
      </c>
      <c r="C1392" s="149" t="s">
        <v>4</v>
      </c>
    </row>
    <row r="1393" spans="1:3">
      <c r="A1393" t="s">
        <v>7381</v>
      </c>
      <c r="B1393">
        <v>4</v>
      </c>
      <c r="C1393" s="149" t="s">
        <v>4</v>
      </c>
    </row>
    <row r="1394" spans="1:3">
      <c r="A1394" t="s">
        <v>7371</v>
      </c>
      <c r="B1394">
        <v>6</v>
      </c>
      <c r="C1394" s="149" t="s">
        <v>4</v>
      </c>
    </row>
  </sheetData>
  <conditionalFormatting sqref="A2:A545 A548:A568 A570:A1036 A1038:A1232 A1238:A1272 A1274:A1283 A1286:A1291 A1293:A1048576">
    <cfRule type="duplicateValues" dxfId="30" priority="4"/>
  </conditionalFormatting>
  <conditionalFormatting sqref="A1284">
    <cfRule type="duplicateValues" dxfId="29" priority="2"/>
  </conditionalFormatting>
  <conditionalFormatting sqref="A1292">
    <cfRule type="duplicateValues" dxfId="2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235"/>
  <sheetViews>
    <sheetView zoomScale="105" zoomScaleNormal="105" workbookViewId="0">
      <selection activeCell="I5192" sqref="I5192:I5235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59.28515625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270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245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245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245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245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245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245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245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245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245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245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245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241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238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238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238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238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238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238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238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238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238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238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238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238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238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238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238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238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238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238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238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238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238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238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238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238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238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238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238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238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238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238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238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238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238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238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238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238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238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238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238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238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238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237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237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237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237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237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237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237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237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237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237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237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237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237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237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237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237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237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237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237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237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237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237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237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237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237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237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237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237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237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237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237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237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237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237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237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237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237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237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237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237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237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237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237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237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237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237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237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237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237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237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237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237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237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237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237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237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237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237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237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236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236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236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236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236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235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235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233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233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232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229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229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229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229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229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229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229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229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229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229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229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229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229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229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229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229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229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229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229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229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229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228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228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228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228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228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223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223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223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218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218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218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218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218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218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218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218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218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218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218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218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218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218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218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218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218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218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214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214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214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209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208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208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208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208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208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208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208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208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208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208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208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208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194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194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193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193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193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183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168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168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168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168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168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168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168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168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168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168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168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168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168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168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168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168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168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168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168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168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165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165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165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165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164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164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164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164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164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164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164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164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164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164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164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164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164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164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164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164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164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164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164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164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164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164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164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164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164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164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164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164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164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164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163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163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163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163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163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163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163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163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163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163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163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163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163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163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163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163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163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163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159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159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159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159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159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159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159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159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159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159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159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159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159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159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159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159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159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159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159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159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159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159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159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159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159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159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159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159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159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159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159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159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159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159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159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159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159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159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159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159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159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159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159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159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159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159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159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159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159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159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159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159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159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159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159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159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159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159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159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159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159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159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159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159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159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159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159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159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159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159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159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159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159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159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159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159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159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159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159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159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159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159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159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159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159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159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159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159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159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159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159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159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153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153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148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148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143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143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143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143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143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143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143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143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143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143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143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143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143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143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143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143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143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143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143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143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143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143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143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143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143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143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143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143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143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143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143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143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143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143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143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143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143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143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143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143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143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143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143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143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143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143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143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143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143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143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143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143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143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143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143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143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143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143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143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143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143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143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143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143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143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143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143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143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143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143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143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143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143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143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143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143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143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143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143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143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143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143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143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143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143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143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143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143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143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143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143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143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143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143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143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143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143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143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143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143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143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143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143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143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143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140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140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140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140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141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138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138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133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133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133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133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133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133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133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133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133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133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133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131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131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131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131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131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131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131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131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131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131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131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131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131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131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131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131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131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131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131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131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131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131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131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131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131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131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131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131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131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131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131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131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131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131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131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131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131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131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131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131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131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131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131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131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131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131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131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131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131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131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131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131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131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131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131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131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131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131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131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131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131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131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131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131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131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131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131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131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131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131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131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131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131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131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131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131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131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131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131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131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131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131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131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131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131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131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131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131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131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131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131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131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131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131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131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131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131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131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131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131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131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131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131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131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131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131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131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131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131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131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131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131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131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131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131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131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131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131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131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131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131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131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131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131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131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131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131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131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131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131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131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131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131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131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131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131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131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131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131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131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131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131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131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131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131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131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131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131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131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131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131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131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131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131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131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131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131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131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131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131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131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131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131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131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131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131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131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131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131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131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131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131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131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131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131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131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131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131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131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131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131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131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131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131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131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131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131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131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131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131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131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131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131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131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131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131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131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131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131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131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131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131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131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131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131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131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131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131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131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131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131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131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131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131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131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131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131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131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131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131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131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131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131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131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131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131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131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131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131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131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131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131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131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131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131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131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131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131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131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131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131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131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131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131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131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131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131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131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131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131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131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131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131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131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131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131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131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131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131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131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131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131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131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131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131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131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131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131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131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131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131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131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131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131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131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131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131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131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131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131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131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131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131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131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131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131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131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131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131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131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131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131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131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131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131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131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131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131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131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131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131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131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131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131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131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131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131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131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131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131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131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131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131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131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131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131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131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131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131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131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131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131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131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131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131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131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131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131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131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131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131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131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131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131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131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129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129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129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129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129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129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129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129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129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129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128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128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128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127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127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127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127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127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127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126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126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124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123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123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123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122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122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122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120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120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120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120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120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120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120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117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117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117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117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117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117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117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117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117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117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117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117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117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117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117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117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117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117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117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117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117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117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117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117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117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117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117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117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117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116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116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114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114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114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114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114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114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114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114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114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114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112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112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112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112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112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112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112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112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111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111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111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111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111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111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111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111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111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111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111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111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111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111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111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111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111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109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109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109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109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109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109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109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109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109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109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109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109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109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109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109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109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109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109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109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109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109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109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109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109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109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109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109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109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109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109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109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109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109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109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109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109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109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109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109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109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109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109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109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109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109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109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109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109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109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109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109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109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109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109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109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109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109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109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109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109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109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109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109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109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109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109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109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109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109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109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109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109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109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109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109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109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109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109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109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109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109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109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109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109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109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109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109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109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109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109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109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109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109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109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109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109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109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109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109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109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109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109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109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109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109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109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109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109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109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109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109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109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109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109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109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109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109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109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109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109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109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109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109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109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109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109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109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109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109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109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109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109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109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109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109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109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109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109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109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109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109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109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109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109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109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109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109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109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109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109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109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109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109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109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109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109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109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109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109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109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109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109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109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109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109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109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109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109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109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109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109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109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109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109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109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109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109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109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109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109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109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109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109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109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109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109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109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109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109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109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109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109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109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109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109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109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109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109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109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109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109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109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109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109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109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109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109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109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109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109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109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109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109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109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109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109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109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109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109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109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109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109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109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109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109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109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109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109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109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109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109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109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109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109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109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109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109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109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109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109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109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109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109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109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109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109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109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109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109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109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109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109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109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109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109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109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109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109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109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109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109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109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109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109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109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109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109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109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109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109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109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109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109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109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109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109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109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109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109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109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109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109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109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109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109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109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109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109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109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109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109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109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109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109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109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108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108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108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108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108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108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108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108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108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108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108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108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108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108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108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108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108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108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108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108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108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108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108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108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108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108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108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108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108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108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108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108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108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108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108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108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108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108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108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108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108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108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108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108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108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108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108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108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108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108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108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108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108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108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108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108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108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108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108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108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108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108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108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108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108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108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108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108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108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108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108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108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108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108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108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108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108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108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108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108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108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108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108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108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108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108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108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108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108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108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108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108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108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108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108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108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108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108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108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108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108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108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108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108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108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108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108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108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108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108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108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108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108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108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108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108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108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108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108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108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108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108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108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108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108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108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108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108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108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108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108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108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108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108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108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108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108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108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108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108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108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108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108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108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108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108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108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108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108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108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108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108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108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108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108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108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108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108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108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108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108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108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108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108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108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108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108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108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108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108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108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108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108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108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108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108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108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108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108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108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108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108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108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108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108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108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108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108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108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108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108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108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108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108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108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108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108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108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108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108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108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108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105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105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105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105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105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105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105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105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105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105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105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105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105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105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105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105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105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105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105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105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105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105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105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105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105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105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105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105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105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105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105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105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105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105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105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105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105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105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105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105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105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105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105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104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104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103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103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103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103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103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103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103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102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102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102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101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101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101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101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101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101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101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101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101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101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101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101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101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101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101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101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101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101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101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101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101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101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101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101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101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101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101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101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101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101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101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101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101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101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101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101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101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101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101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101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101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101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101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101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101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101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101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101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101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101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101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101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101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101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101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101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101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101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101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101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101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101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101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101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101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101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101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101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101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101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101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101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101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101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101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101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101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101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101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101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101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101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101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101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101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101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101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101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101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101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101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101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101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101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100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100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100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100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100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100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100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100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100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100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100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100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100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100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100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100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100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100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100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99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99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99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99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99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99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99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99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99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99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99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99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99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99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99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99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99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99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98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98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98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98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98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98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98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98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98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98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98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98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95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95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95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95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95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95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95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95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95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95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95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95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95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95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95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95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95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95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95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95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95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95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95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95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95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95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95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95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95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94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94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94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94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94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94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94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94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94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94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94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94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94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94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94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94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94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94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94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94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94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94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94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94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94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94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94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94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94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94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94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94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94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94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94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93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93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93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93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93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93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93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93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93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93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93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93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93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93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93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93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93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93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93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93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93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93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93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93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93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93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93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93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93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93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93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93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93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93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93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93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93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93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93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93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93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93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93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93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93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93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93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93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93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93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93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93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93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93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93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93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93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93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93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93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93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93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93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93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93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93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93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93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93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93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93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93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93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93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93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93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93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93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93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93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93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93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93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93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93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93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93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93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93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93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93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93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93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93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93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93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93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93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93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93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93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93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93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93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93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93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93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93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93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93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93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93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93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93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93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93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93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93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93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93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93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93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93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93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93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93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93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93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93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93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93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93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93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93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93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93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93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93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93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93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93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93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93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93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93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93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93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93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93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93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93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93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93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93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93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93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93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93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93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93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93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93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93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93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93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93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93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93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93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93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93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93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93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93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93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93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93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93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93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93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93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93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93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93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93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93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93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93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93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93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93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93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93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93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93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93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93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93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93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93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93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93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93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93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93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93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93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93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93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93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93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93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93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93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93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93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93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93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93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93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93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93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93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93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93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93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93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93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93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93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93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93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93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93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93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93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91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91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91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91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91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91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91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91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91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91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91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91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91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91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91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91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90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90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90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90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90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90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90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90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90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90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90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90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90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90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90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90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90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90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90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90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90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90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90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90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90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90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90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90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90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90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90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90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90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90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90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90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90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90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90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89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89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89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89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89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89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89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89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89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89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89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89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89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89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89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89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89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89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88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88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88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88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88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88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88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88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88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88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88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88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88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88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88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88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88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88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88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88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88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88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88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88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88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88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88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88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88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88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88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88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88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88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88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88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88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88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88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88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88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88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88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88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88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88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88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88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88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88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88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88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88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88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88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88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88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88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88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88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88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88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88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88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88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88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88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88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88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88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88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88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88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88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88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88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88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88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88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88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88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88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88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88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88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88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88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88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88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88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88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88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88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88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88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88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88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88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88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88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88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88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88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88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88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88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88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88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88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88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88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88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88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88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88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84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84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84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84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84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84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84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84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84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84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84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84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83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83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83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83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83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83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83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83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83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83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83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83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83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83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83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83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83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83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83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83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83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83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83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83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83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83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83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83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83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83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83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80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80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80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80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80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80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80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80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80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79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78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78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78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78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78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78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77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77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77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77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77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77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77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77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77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77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77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77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77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77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77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77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77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77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77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77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76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76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76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76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76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76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76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76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76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76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76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76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75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75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75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75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75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75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75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75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75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75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75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75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72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72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72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72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72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72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72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72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72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72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72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72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72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72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72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72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72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72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72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72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72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72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72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72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72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72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72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72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72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72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72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72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72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72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72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72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72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72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72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72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72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72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72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72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72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72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72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72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72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72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71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71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71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71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71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71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71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71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71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71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71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71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71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71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71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71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68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67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67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67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67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67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67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65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65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65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65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65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65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65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65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65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65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65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65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65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65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65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65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65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65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65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65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65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65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65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65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65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65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65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65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65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65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65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65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65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65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65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65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65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65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65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65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65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65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65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65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65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65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65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63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63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63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63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63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63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63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63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63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63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63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63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63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63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63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63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63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63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63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63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63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63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63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63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63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63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63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63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61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61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61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61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56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56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56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56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56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55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55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55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55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55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55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55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55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55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55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55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55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52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52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52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52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52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52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52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52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52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52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52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52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52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52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52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52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52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52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52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52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52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52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52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52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52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52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52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52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52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51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50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49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49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49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49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49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49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49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49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49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49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49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49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49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49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49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49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49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49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49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49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49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49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49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49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49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49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49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48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48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48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48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48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48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48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48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48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48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48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48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48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48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48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48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48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48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48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48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48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48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48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48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48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48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48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48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48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48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48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48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48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48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48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48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48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48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48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47</v>
      </c>
      <c r="R4489" s="163" t="s">
        <v>489</v>
      </c>
      <c r="S4489" s="150"/>
    </row>
    <row r="4490" spans="1:19" hidden="1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>
        <v>0</v>
      </c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50</v>
      </c>
      <c r="R4490" s="165" t="s">
        <v>498</v>
      </c>
      <c r="S4490" s="150"/>
    </row>
    <row r="4491" spans="1:19" hidden="1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>
        <v>0</v>
      </c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50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45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45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45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45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45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45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45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45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45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45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45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45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45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45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45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45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45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45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45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45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45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45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45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45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45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45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45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45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45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45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45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45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45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45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45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45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45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45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45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45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45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45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45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45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45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45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45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45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45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45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45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45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45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45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45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45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45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45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45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45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45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45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45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45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45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45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45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45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45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45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45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45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45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45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45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45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45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45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45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45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45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45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45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45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45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45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45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45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45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45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45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45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45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43</v>
      </c>
      <c r="R4585" s="165" t="s">
        <v>1459</v>
      </c>
      <c r="S4585" s="150"/>
    </row>
    <row r="4586" spans="1:19" hidden="1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43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43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43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43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43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43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43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43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43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43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43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43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43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43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43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43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43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43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43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43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43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43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43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43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43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43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43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43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42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40</v>
      </c>
      <c r="R4615" s="168" t="s">
        <v>515</v>
      </c>
      <c r="S4615" s="150"/>
    </row>
    <row r="4616" spans="1:19" hidden="1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40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40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37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37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37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37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37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37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37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37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37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37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37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37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37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37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37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37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37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37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37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37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37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37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37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37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37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37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37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37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37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37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37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37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37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37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37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37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37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37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37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37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37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37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37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37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37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37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37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37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37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37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37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37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37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37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37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37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37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37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37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34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34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34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34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34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34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34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34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34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34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34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34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34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34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34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34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34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34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34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34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34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34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34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34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33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33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33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33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33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33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33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33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33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33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33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33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33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33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31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31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31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31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31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31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31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29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29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29</v>
      </c>
      <c r="R4724" s="170" t="s">
        <v>489</v>
      </c>
      <c r="S4724" s="150"/>
    </row>
    <row r="4725" spans="1:19" hidden="1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29</v>
      </c>
      <c r="R4725" s="170" t="s">
        <v>489</v>
      </c>
      <c r="S4725" s="150"/>
    </row>
    <row r="4726" spans="1:19" hidden="1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29</v>
      </c>
      <c r="R4726" s="170" t="s">
        <v>489</v>
      </c>
      <c r="S4726" s="150"/>
    </row>
    <row r="4727" spans="1:19" hidden="1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29</v>
      </c>
      <c r="R4727" s="170" t="s">
        <v>489</v>
      </c>
      <c r="S4727" s="150"/>
    </row>
    <row r="4728" spans="1:19" hidden="1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29</v>
      </c>
      <c r="R4728" s="170" t="s">
        <v>489</v>
      </c>
      <c r="S4728" s="150"/>
    </row>
    <row r="4729" spans="1:19" hidden="1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29</v>
      </c>
      <c r="R4729" s="170" t="s">
        <v>489</v>
      </c>
      <c r="S4729" s="150"/>
    </row>
    <row r="4730" spans="1:19" hidden="1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29</v>
      </c>
      <c r="R4730" s="170" t="s">
        <v>489</v>
      </c>
      <c r="S4730" s="150"/>
    </row>
    <row r="4731" spans="1:19" hidden="1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29</v>
      </c>
      <c r="R4731" s="170" t="s">
        <v>489</v>
      </c>
      <c r="S4731" s="150"/>
    </row>
    <row r="4732" spans="1:19" hidden="1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29</v>
      </c>
      <c r="R4732" s="170" t="s">
        <v>489</v>
      </c>
      <c r="S4732" s="150"/>
    </row>
    <row r="4733" spans="1:19" hidden="1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29</v>
      </c>
      <c r="R4733" s="170" t="s">
        <v>489</v>
      </c>
      <c r="S4733" s="150"/>
    </row>
    <row r="4734" spans="1:19" hidden="1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29</v>
      </c>
      <c r="R4734" s="170" t="s">
        <v>489</v>
      </c>
      <c r="S4734" s="150"/>
    </row>
    <row r="4735" spans="1:19" hidden="1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29</v>
      </c>
      <c r="R4735" s="170" t="s">
        <v>489</v>
      </c>
      <c r="S4735" s="150"/>
    </row>
    <row r="4736" spans="1:19" hidden="1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29</v>
      </c>
      <c r="R4736" s="170" t="s">
        <v>489</v>
      </c>
      <c r="S4736" s="150"/>
    </row>
    <row r="4737" spans="1:19" hidden="1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29</v>
      </c>
      <c r="R4737" s="170" t="s">
        <v>489</v>
      </c>
      <c r="S4737" s="150"/>
    </row>
    <row r="4738" spans="1:19" hidden="1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29</v>
      </c>
      <c r="R4738" s="170" t="s">
        <v>489</v>
      </c>
      <c r="S4738" s="150"/>
    </row>
    <row r="4739" spans="1:19" hidden="1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29</v>
      </c>
      <c r="R4739" s="170" t="s">
        <v>489</v>
      </c>
      <c r="S4739" s="150"/>
    </row>
    <row r="4740" spans="1:19" hidden="1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29</v>
      </c>
      <c r="R4740" s="170" t="s">
        <v>489</v>
      </c>
      <c r="S4740" s="150"/>
    </row>
    <row r="4741" spans="1:19" hidden="1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29</v>
      </c>
      <c r="R4741" s="170" t="s">
        <v>489</v>
      </c>
      <c r="S4741" s="150"/>
    </row>
    <row r="4742" spans="1:19" hidden="1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29</v>
      </c>
      <c r="R4742" s="170" t="s">
        <v>489</v>
      </c>
      <c r="S4742" s="150"/>
    </row>
    <row r="4743" spans="1:19" hidden="1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29</v>
      </c>
      <c r="R4743" s="170" t="s">
        <v>489</v>
      </c>
      <c r="S4743" s="150"/>
    </row>
    <row r="4744" spans="1:19" hidden="1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29</v>
      </c>
      <c r="R4744" s="170" t="s">
        <v>489</v>
      </c>
      <c r="S4744" s="150"/>
    </row>
    <row r="4745" spans="1:19" hidden="1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29</v>
      </c>
      <c r="R4745" s="170" t="s">
        <v>489</v>
      </c>
      <c r="S4745" s="150"/>
    </row>
    <row r="4746" spans="1:19" hidden="1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29</v>
      </c>
      <c r="R4746" s="170" t="s">
        <v>489</v>
      </c>
      <c r="S4746" s="150"/>
    </row>
    <row r="4747" spans="1:19" hidden="1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29</v>
      </c>
      <c r="R4747" s="170" t="s">
        <v>489</v>
      </c>
      <c r="S4747" s="150"/>
    </row>
    <row r="4748" spans="1:19" hidden="1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29</v>
      </c>
      <c r="R4748" s="170" t="s">
        <v>489</v>
      </c>
      <c r="S4748" s="150"/>
    </row>
    <row r="4749" spans="1:19" hidden="1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29</v>
      </c>
      <c r="R4749" s="170" t="s">
        <v>489</v>
      </c>
      <c r="S4749" s="150"/>
    </row>
    <row r="4750" spans="1:19" hidden="1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29</v>
      </c>
      <c r="R4750" s="170" t="s">
        <v>489</v>
      </c>
      <c r="S4750" s="150"/>
    </row>
    <row r="4751" spans="1:19" hidden="1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29</v>
      </c>
      <c r="R4751" s="170" t="s">
        <v>489</v>
      </c>
      <c r="S4751" s="150"/>
    </row>
    <row r="4752" spans="1:19" hidden="1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29</v>
      </c>
      <c r="R4752" s="172" t="s">
        <v>515</v>
      </c>
      <c r="S4752" s="150"/>
    </row>
    <row r="4753" spans="1:19" hidden="1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29</v>
      </c>
      <c r="R4753" s="172" t="s">
        <v>515</v>
      </c>
      <c r="S4753" s="150"/>
    </row>
    <row r="4754" spans="1:19" hidden="1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29</v>
      </c>
      <c r="R4754" s="172" t="s">
        <v>515</v>
      </c>
      <c r="S4754" s="150"/>
    </row>
    <row r="4755" spans="1:19" hidden="1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29</v>
      </c>
      <c r="R4755" s="172" t="s">
        <v>5709</v>
      </c>
      <c r="S4755" s="150"/>
    </row>
    <row r="4756" spans="1:19" hidden="1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29</v>
      </c>
      <c r="R4756" s="172" t="s">
        <v>5709</v>
      </c>
      <c r="S4756" s="150"/>
    </row>
    <row r="4757" spans="1:19" hidden="1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29</v>
      </c>
      <c r="R4757" s="172" t="s">
        <v>5709</v>
      </c>
      <c r="S4757" s="150"/>
    </row>
    <row r="4758" spans="1:19" hidden="1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29</v>
      </c>
      <c r="R4758" s="172" t="s">
        <v>5709</v>
      </c>
      <c r="S4758" s="150"/>
    </row>
    <row r="4759" spans="1:19" hidden="1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29</v>
      </c>
      <c r="R4759" s="172" t="s">
        <v>5709</v>
      </c>
      <c r="S4759" s="150"/>
    </row>
    <row r="4760" spans="1:19" hidden="1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29</v>
      </c>
      <c r="R4760" s="172" t="s">
        <v>5709</v>
      </c>
      <c r="S4760" s="150"/>
    </row>
    <row r="4761" spans="1:19" hidden="1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29</v>
      </c>
      <c r="R4761" s="172" t="s">
        <v>5709</v>
      </c>
      <c r="S4761" s="150"/>
    </row>
    <row r="4762" spans="1:19" hidden="1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29</v>
      </c>
      <c r="R4762" s="172" t="s">
        <v>5709</v>
      </c>
      <c r="S4762" s="150"/>
    </row>
    <row r="4763" spans="1:19" hidden="1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29</v>
      </c>
      <c r="R4763" s="172" t="s">
        <v>5709</v>
      </c>
      <c r="S4763" s="150"/>
    </row>
    <row r="4764" spans="1:19" hidden="1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29</v>
      </c>
      <c r="R4764" s="172" t="s">
        <v>5709</v>
      </c>
      <c r="S4764" s="150"/>
    </row>
    <row r="4765" spans="1:19" hidden="1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29</v>
      </c>
      <c r="R4765" s="172" t="s">
        <v>5709</v>
      </c>
      <c r="S4765" s="150"/>
    </row>
    <row r="4766" spans="1:19" hidden="1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29</v>
      </c>
      <c r="R4766" s="172" t="s">
        <v>5709</v>
      </c>
      <c r="S4766" s="150"/>
    </row>
    <row r="4767" spans="1:19" hidden="1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29</v>
      </c>
      <c r="R4767" s="172" t="s">
        <v>5709</v>
      </c>
      <c r="S4767" s="150"/>
    </row>
    <row r="4768" spans="1:19" hidden="1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29</v>
      </c>
      <c r="R4768" s="172" t="s">
        <v>5709</v>
      </c>
      <c r="S4768" s="150"/>
    </row>
    <row r="4769" spans="1:19" hidden="1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29</v>
      </c>
      <c r="R4769" s="172" t="s">
        <v>5709</v>
      </c>
      <c r="S4769" s="150"/>
    </row>
    <row r="4770" spans="1:19" hidden="1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29</v>
      </c>
      <c r="R4770" s="172" t="s">
        <v>5709</v>
      </c>
      <c r="S4770" s="150"/>
    </row>
    <row r="4771" spans="1:19" hidden="1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29</v>
      </c>
      <c r="R4771" s="172" t="s">
        <v>5709</v>
      </c>
      <c r="S4771" s="150"/>
    </row>
    <row r="4772" spans="1:19" hidden="1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29</v>
      </c>
      <c r="R4772" s="172" t="s">
        <v>5709</v>
      </c>
      <c r="S4772" s="150"/>
    </row>
    <row r="4773" spans="1:19" hidden="1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29</v>
      </c>
      <c r="R4773" s="172" t="s">
        <v>5709</v>
      </c>
      <c r="S4773" s="150"/>
    </row>
    <row r="4774" spans="1:19" hidden="1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29</v>
      </c>
      <c r="R4774" s="172" t="s">
        <v>5709</v>
      </c>
      <c r="S4774" s="150"/>
    </row>
    <row r="4775" spans="1:19" hidden="1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29</v>
      </c>
      <c r="R4775" s="172" t="s">
        <v>5709</v>
      </c>
      <c r="S4775" s="150"/>
    </row>
    <row r="4776" spans="1:19" hidden="1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29</v>
      </c>
      <c r="R4776" s="172" t="s">
        <v>5709</v>
      </c>
      <c r="S4776" s="150"/>
    </row>
    <row r="4777" spans="1:19" hidden="1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29</v>
      </c>
      <c r="R4777" s="172" t="s">
        <v>5709</v>
      </c>
      <c r="S4777" s="150"/>
    </row>
    <row r="4778" spans="1:19" hidden="1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29</v>
      </c>
      <c r="R4778" s="172" t="s">
        <v>5709</v>
      </c>
      <c r="S4778" s="150"/>
    </row>
    <row r="4779" spans="1:19" hidden="1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29</v>
      </c>
      <c r="R4779" s="172" t="s">
        <v>5709</v>
      </c>
      <c r="S4779" s="150"/>
    </row>
    <row r="4780" spans="1:19" hidden="1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29</v>
      </c>
      <c r="R4780" s="172" t="s">
        <v>6982</v>
      </c>
      <c r="S4780" s="150"/>
    </row>
    <row r="4781" spans="1:19" hidden="1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29</v>
      </c>
      <c r="R4781" s="172" t="s">
        <v>6982</v>
      </c>
      <c r="S4781" s="150"/>
    </row>
    <row r="4782" spans="1:19" hidden="1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29</v>
      </c>
      <c r="R4782" s="172" t="s">
        <v>6982</v>
      </c>
      <c r="S4782" s="150"/>
    </row>
    <row r="4783" spans="1:19" hidden="1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29</v>
      </c>
      <c r="R4783" s="172" t="s">
        <v>6982</v>
      </c>
      <c r="S4783" s="150"/>
    </row>
    <row r="4784" spans="1:19" hidden="1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29</v>
      </c>
      <c r="R4784" s="172" t="s">
        <v>6982</v>
      </c>
      <c r="S4784" s="150"/>
    </row>
    <row r="4785" spans="1:19" hidden="1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29</v>
      </c>
      <c r="R4785" s="172" t="s">
        <v>6982</v>
      </c>
      <c r="S4785" s="150"/>
    </row>
    <row r="4786" spans="1:19" hidden="1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28</v>
      </c>
      <c r="R4786" s="173" t="s">
        <v>6990</v>
      </c>
      <c r="S4786" s="150"/>
    </row>
    <row r="4787" spans="1:19" hidden="1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28</v>
      </c>
      <c r="R4787" s="173" t="s">
        <v>6990</v>
      </c>
      <c r="S4787" s="150"/>
    </row>
    <row r="4788" spans="1:19" hidden="1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28</v>
      </c>
      <c r="R4788" s="173" t="s">
        <v>6990</v>
      </c>
      <c r="S4788" s="150"/>
    </row>
    <row r="4789" spans="1:19" hidden="1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28</v>
      </c>
      <c r="R4789" s="173" t="s">
        <v>6990</v>
      </c>
      <c r="S4789" s="150"/>
    </row>
    <row r="4790" spans="1:19" hidden="1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28</v>
      </c>
      <c r="R4790" s="172" t="s">
        <v>515</v>
      </c>
      <c r="S4790" s="150"/>
    </row>
    <row r="4791" spans="1:19" hidden="1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28</v>
      </c>
      <c r="R4791" s="172" t="s">
        <v>515</v>
      </c>
      <c r="S4791" s="150"/>
    </row>
    <row r="4792" spans="1:19" hidden="1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28</v>
      </c>
      <c r="R4792" s="172" t="s">
        <v>515</v>
      </c>
      <c r="S4792" s="150"/>
    </row>
    <row r="4793" spans="1:19" hidden="1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28</v>
      </c>
      <c r="R4793" s="172" t="s">
        <v>515</v>
      </c>
      <c r="S4793" s="150"/>
    </row>
    <row r="4794" spans="1:19" hidden="1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28</v>
      </c>
      <c r="R4794" s="172" t="s">
        <v>515</v>
      </c>
      <c r="S4794" s="150"/>
    </row>
    <row r="4795" spans="1:19" hidden="1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28</v>
      </c>
      <c r="R4795" s="173" t="s">
        <v>489</v>
      </c>
      <c r="S4795" s="150"/>
    </row>
    <row r="4796" spans="1:19" hidden="1">
      <c r="A4796" t="s">
        <v>7001</v>
      </c>
      <c r="B4796" s="150" t="str">
        <f>IFERROR(VLOOKUP(Proc[[#This Row],[App]],Table2[],3,0),"open")</f>
        <v>ok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26</v>
      </c>
      <c r="R4796" s="174" t="s">
        <v>485</v>
      </c>
      <c r="S4796" s="150"/>
    </row>
    <row r="4797" spans="1:19" hidden="1">
      <c r="A4797" t="s">
        <v>7001</v>
      </c>
      <c r="B4797" s="150" t="str">
        <f>IFERROR(VLOOKUP(Proc[[#This Row],[App]],Table2[],3,0),"open")</f>
        <v>ok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26</v>
      </c>
      <c r="R4797" s="174" t="s">
        <v>485</v>
      </c>
      <c r="S4797" s="150"/>
    </row>
    <row r="4798" spans="1:19" hidden="1">
      <c r="A4798" s="149" t="s">
        <v>7001</v>
      </c>
      <c r="B4798" s="150" t="str">
        <f>IFERROR(VLOOKUP(Proc[[#This Row],[App]],Table2[],3,0),"open")</f>
        <v>ok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26</v>
      </c>
      <c r="R4798" s="174" t="s">
        <v>485</v>
      </c>
      <c r="S4798" s="150"/>
    </row>
    <row r="4799" spans="1:19" hidden="1">
      <c r="A4799" s="149" t="s">
        <v>7001</v>
      </c>
      <c r="B4799" s="150" t="str">
        <f>IFERROR(VLOOKUP(Proc[[#This Row],[App]],Table2[],3,0),"open")</f>
        <v>ok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26</v>
      </c>
      <c r="R4799" s="174" t="s">
        <v>485</v>
      </c>
      <c r="S4799" s="150"/>
    </row>
    <row r="4800" spans="1:19" hidden="1">
      <c r="A4800" s="149" t="s">
        <v>7001</v>
      </c>
      <c r="B4800" s="150" t="str">
        <f>IFERROR(VLOOKUP(Proc[[#This Row],[App]],Table2[],3,0),"open")</f>
        <v>ok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26</v>
      </c>
      <c r="R4800" s="174" t="s">
        <v>485</v>
      </c>
      <c r="S4800" s="150"/>
    </row>
    <row r="4801" spans="1:19" hidden="1">
      <c r="A4801" s="149" t="s">
        <v>7001</v>
      </c>
      <c r="B4801" s="150" t="str">
        <f>IFERROR(VLOOKUP(Proc[[#This Row],[App]],Table2[],3,0),"open")</f>
        <v>ok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26</v>
      </c>
      <c r="R4801" s="174" t="s">
        <v>485</v>
      </c>
      <c r="S4801" s="150"/>
    </row>
    <row r="4802" spans="1:19" hidden="1">
      <c r="A4802" s="149" t="s">
        <v>7001</v>
      </c>
      <c r="B4802" s="150" t="str">
        <f>IFERROR(VLOOKUP(Proc[[#This Row],[App]],Table2[],3,0),"open")</f>
        <v>ok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26</v>
      </c>
      <c r="R4802" s="174" t="s">
        <v>485</v>
      </c>
      <c r="S4802" s="150"/>
    </row>
    <row r="4803" spans="1:19" hidden="1">
      <c r="A4803" s="149" t="s">
        <v>7001</v>
      </c>
      <c r="B4803" s="150" t="str">
        <f>IFERROR(VLOOKUP(Proc[[#This Row],[App]],Table2[],3,0),"open")</f>
        <v>ok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26</v>
      </c>
      <c r="R4803" s="174" t="s">
        <v>485</v>
      </c>
      <c r="S4803" s="150"/>
    </row>
    <row r="4804" spans="1:19" hidden="1">
      <c r="A4804" s="149" t="s">
        <v>7001</v>
      </c>
      <c r="B4804" s="150" t="str">
        <f>IFERROR(VLOOKUP(Proc[[#This Row],[App]],Table2[],3,0),"open")</f>
        <v>ok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26</v>
      </c>
      <c r="R4804" s="174" t="s">
        <v>485</v>
      </c>
      <c r="S4804" s="150"/>
    </row>
    <row r="4805" spans="1:19" hidden="1">
      <c r="A4805" s="149" t="s">
        <v>7001</v>
      </c>
      <c r="B4805" s="150" t="str">
        <f>IFERROR(VLOOKUP(Proc[[#This Row],[App]],Table2[],3,0),"open")</f>
        <v>ok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26</v>
      </c>
      <c r="R4805" s="174" t="s">
        <v>485</v>
      </c>
      <c r="S4805" s="150"/>
    </row>
    <row r="4806" spans="1:19" hidden="1">
      <c r="A4806" s="149" t="s">
        <v>7001</v>
      </c>
      <c r="B4806" s="150" t="str">
        <f>IFERROR(VLOOKUP(Proc[[#This Row],[App]],Table2[],3,0),"open")</f>
        <v>ok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26</v>
      </c>
      <c r="R4806" s="174" t="s">
        <v>485</v>
      </c>
      <c r="S4806" s="150"/>
    </row>
    <row r="4807" spans="1:19" hidden="1">
      <c r="A4807" s="149" t="s">
        <v>7001</v>
      </c>
      <c r="B4807" s="150" t="str">
        <f>IFERROR(VLOOKUP(Proc[[#This Row],[App]],Table2[],3,0),"open")</f>
        <v>ok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26</v>
      </c>
      <c r="R4807" s="174" t="s">
        <v>485</v>
      </c>
      <c r="S4807" s="150"/>
    </row>
    <row r="4808" spans="1:19" hidden="1">
      <c r="A4808" s="149" t="s">
        <v>7001</v>
      </c>
      <c r="B4808" s="150" t="str">
        <f>IFERROR(VLOOKUP(Proc[[#This Row],[App]],Table2[],3,0),"open")</f>
        <v>ok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26</v>
      </c>
      <c r="R4808" s="174" t="s">
        <v>485</v>
      </c>
      <c r="S4808" s="150"/>
    </row>
    <row r="4809" spans="1:19" hidden="1">
      <c r="A4809" s="149" t="s">
        <v>7001</v>
      </c>
      <c r="B4809" s="150" t="str">
        <f>IFERROR(VLOOKUP(Proc[[#This Row],[App]],Table2[],3,0),"open")</f>
        <v>ok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26</v>
      </c>
      <c r="R4809" s="174" t="s">
        <v>485</v>
      </c>
      <c r="S4809" s="150"/>
    </row>
    <row r="4810" spans="1:19" hidden="1">
      <c r="A4810" s="149" t="s">
        <v>7001</v>
      </c>
      <c r="B4810" s="150" t="str">
        <f>IFERROR(VLOOKUP(Proc[[#This Row],[App]],Table2[],3,0),"open")</f>
        <v>ok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26</v>
      </c>
      <c r="R4810" s="174" t="s">
        <v>485</v>
      </c>
      <c r="S4810" s="150"/>
    </row>
    <row r="4811" spans="1:19" hidden="1">
      <c r="A4811" s="149" t="s">
        <v>7001</v>
      </c>
      <c r="B4811" s="150" t="str">
        <f>IFERROR(VLOOKUP(Proc[[#This Row],[App]],Table2[],3,0),"open")</f>
        <v>ok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26</v>
      </c>
      <c r="R4811" s="174" t="s">
        <v>485</v>
      </c>
      <c r="S4811" s="150"/>
    </row>
    <row r="4812" spans="1:19" hidden="1">
      <c r="A4812" s="149" t="s">
        <v>7001</v>
      </c>
      <c r="B4812" s="150" t="str">
        <f>IFERROR(VLOOKUP(Proc[[#This Row],[App]],Table2[],3,0),"open")</f>
        <v>ok</v>
      </c>
      <c r="C4812" s="149" t="s">
        <v>369</v>
      </c>
      <c r="D4812" t="s">
        <v>7021</v>
      </c>
      <c r="E4812" t="s">
        <v>7002</v>
      </c>
      <c r="F4812" s="150" t="s">
        <v>7002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26</v>
      </c>
      <c r="R4812" s="174" t="s">
        <v>485</v>
      </c>
      <c r="S4812" s="150"/>
    </row>
    <row r="4813" spans="1:19" hidden="1">
      <c r="A4813" s="149" t="s">
        <v>7001</v>
      </c>
      <c r="B4813" s="150" t="str">
        <f>IFERROR(VLOOKUP(Proc[[#This Row],[App]],Table2[],3,0),"open")</f>
        <v>ok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26</v>
      </c>
      <c r="R4813" s="174" t="s">
        <v>485</v>
      </c>
      <c r="S4813" s="150"/>
    </row>
    <row r="4814" spans="1:19" hidden="1">
      <c r="A4814" s="149" t="s">
        <v>7001</v>
      </c>
      <c r="B4814" s="150" t="str">
        <f>IFERROR(VLOOKUP(Proc[[#This Row],[App]],Table2[],3,0),"open")</f>
        <v>ok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26</v>
      </c>
      <c r="R4814" s="174" t="s">
        <v>485</v>
      </c>
      <c r="S4814" s="150"/>
    </row>
    <row r="4815" spans="1:19" hidden="1">
      <c r="A4815" s="149" t="s">
        <v>7001</v>
      </c>
      <c r="B4815" s="150" t="str">
        <f>IFERROR(VLOOKUP(Proc[[#This Row],[App]],Table2[],3,0),"open")</f>
        <v>ok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26</v>
      </c>
      <c r="R4815" s="174" t="s">
        <v>485</v>
      </c>
      <c r="S4815" s="150"/>
    </row>
    <row r="4816" spans="1:19" hidden="1">
      <c r="A4816" s="149" t="s">
        <v>7001</v>
      </c>
      <c r="B4816" s="150" t="str">
        <f>IFERROR(VLOOKUP(Proc[[#This Row],[App]],Table2[],3,0),"open")</f>
        <v>ok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26</v>
      </c>
      <c r="R4816" s="174" t="s">
        <v>485</v>
      </c>
      <c r="S4816" s="150"/>
    </row>
    <row r="4817" spans="1:19" hidden="1">
      <c r="A4817" s="149" t="s">
        <v>7001</v>
      </c>
      <c r="B4817" s="150" t="str">
        <f>IFERROR(VLOOKUP(Proc[[#This Row],[App]],Table2[],3,0),"open")</f>
        <v>ok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26</v>
      </c>
      <c r="R4817" s="174" t="s">
        <v>485</v>
      </c>
      <c r="S4817" s="150"/>
    </row>
    <row r="4818" spans="1:19" hidden="1">
      <c r="A4818" s="149" t="s">
        <v>7001</v>
      </c>
      <c r="B4818" s="150" t="str">
        <f>IFERROR(VLOOKUP(Proc[[#This Row],[App]],Table2[],3,0),"open")</f>
        <v>ok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26</v>
      </c>
      <c r="R4818" s="174" t="s">
        <v>485</v>
      </c>
      <c r="S4818" s="150"/>
    </row>
    <row r="4819" spans="1:19" hidden="1">
      <c r="A4819" s="149" t="s">
        <v>7001</v>
      </c>
      <c r="B4819" s="150" t="str">
        <f>IFERROR(VLOOKUP(Proc[[#This Row],[App]],Table2[],3,0),"open")</f>
        <v>ok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26</v>
      </c>
      <c r="R4819" s="174" t="s">
        <v>485</v>
      </c>
      <c r="S4819" s="150"/>
    </row>
    <row r="4820" spans="1:19" hidden="1">
      <c r="A4820" s="149" t="s">
        <v>7001</v>
      </c>
      <c r="B4820" s="150" t="str">
        <f>IFERROR(VLOOKUP(Proc[[#This Row],[App]],Table2[],3,0),"open")</f>
        <v>ok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26</v>
      </c>
      <c r="R4820" s="174" t="s">
        <v>485</v>
      </c>
      <c r="S4820" s="150"/>
    </row>
    <row r="4821" spans="1:19" hidden="1">
      <c r="A4821" s="149" t="s">
        <v>7001</v>
      </c>
      <c r="B4821" s="150" t="str">
        <f>IFERROR(VLOOKUP(Proc[[#This Row],[App]],Table2[],3,0),"open")</f>
        <v>ok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26</v>
      </c>
      <c r="R4821" s="174" t="s">
        <v>485</v>
      </c>
      <c r="S4821" s="150"/>
    </row>
    <row r="4822" spans="1:19" hidden="1">
      <c r="A4822" s="149" t="s">
        <v>7001</v>
      </c>
      <c r="B4822" s="150" t="str">
        <f>IFERROR(VLOOKUP(Proc[[#This Row],[App]],Table2[],3,0),"open")</f>
        <v>ok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26</v>
      </c>
      <c r="R4822" s="174" t="s">
        <v>485</v>
      </c>
      <c r="S4822" s="150"/>
    </row>
    <row r="4823" spans="1:19" hidden="1">
      <c r="A4823" s="149" t="s">
        <v>7001</v>
      </c>
      <c r="B4823" s="150" t="str">
        <f>IFERROR(VLOOKUP(Proc[[#This Row],[App]],Table2[],3,0),"open")</f>
        <v>ok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26</v>
      </c>
      <c r="R4823" s="174" t="s">
        <v>485</v>
      </c>
      <c r="S4823" s="150"/>
    </row>
    <row r="4824" spans="1:19" hidden="1">
      <c r="A4824" s="149" t="s">
        <v>7001</v>
      </c>
      <c r="B4824" s="150" t="str">
        <f>IFERROR(VLOOKUP(Proc[[#This Row],[App]],Table2[],3,0),"open")</f>
        <v>ok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26</v>
      </c>
      <c r="R4824" s="174" t="s">
        <v>485</v>
      </c>
      <c r="S4824" s="150"/>
    </row>
    <row r="4825" spans="1:19" hidden="1">
      <c r="A4825" s="149" t="s">
        <v>7001</v>
      </c>
      <c r="B4825" s="150" t="str">
        <f>IFERROR(VLOOKUP(Proc[[#This Row],[App]],Table2[],3,0),"open")</f>
        <v>ok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26</v>
      </c>
      <c r="R4825" s="174" t="s">
        <v>485</v>
      </c>
      <c r="S4825" s="150"/>
    </row>
    <row r="4826" spans="1:19" hidden="1">
      <c r="A4826" s="149" t="s">
        <v>7001</v>
      </c>
      <c r="B4826" s="150" t="str">
        <f>IFERROR(VLOOKUP(Proc[[#This Row],[App]],Table2[],3,0),"open")</f>
        <v>ok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26</v>
      </c>
      <c r="R4826" s="174" t="s">
        <v>485</v>
      </c>
      <c r="S4826" s="150"/>
    </row>
    <row r="4827" spans="1:19" hidden="1">
      <c r="A4827" s="149" t="s">
        <v>7001</v>
      </c>
      <c r="B4827" s="150" t="str">
        <f>IFERROR(VLOOKUP(Proc[[#This Row],[App]],Table2[],3,0),"open")</f>
        <v>ok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26</v>
      </c>
      <c r="R4827" s="174" t="s">
        <v>485</v>
      </c>
      <c r="S4827" s="150"/>
    </row>
    <row r="4828" spans="1:19" hidden="1">
      <c r="A4828" s="149" t="s">
        <v>7001</v>
      </c>
      <c r="B4828" s="150" t="str">
        <f>IFERROR(VLOOKUP(Proc[[#This Row],[App]],Table2[],3,0),"open")</f>
        <v>ok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26</v>
      </c>
      <c r="R4828" s="174" t="s">
        <v>485</v>
      </c>
      <c r="S4828" s="150"/>
    </row>
    <row r="4829" spans="1:19" hidden="1">
      <c r="A4829" s="149" t="s">
        <v>7001</v>
      </c>
      <c r="B4829" s="150" t="str">
        <f>IFERROR(VLOOKUP(Proc[[#This Row],[App]],Table2[],3,0),"open")</f>
        <v>ok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26</v>
      </c>
      <c r="R4829" s="174" t="s">
        <v>485</v>
      </c>
      <c r="S4829" s="150"/>
    </row>
    <row r="4830" spans="1:19" hidden="1">
      <c r="A4830" t="s">
        <v>7039</v>
      </c>
      <c r="B4830" s="150" t="str">
        <f>IFERROR(VLOOKUP(Proc[[#This Row],[App]],Table2[],3,0),"open")</f>
        <v>ok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25</v>
      </c>
      <c r="R4830" s="174" t="s">
        <v>5709</v>
      </c>
      <c r="S4830" s="150"/>
    </row>
    <row r="4831" spans="1:19" hidden="1">
      <c r="A4831" t="s">
        <v>7039</v>
      </c>
      <c r="B4831" s="150" t="str">
        <f>IFERROR(VLOOKUP(Proc[[#This Row],[App]],Table2[],3,0),"open")</f>
        <v>ok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25</v>
      </c>
      <c r="R4831" s="174" t="s">
        <v>5709</v>
      </c>
      <c r="S4831" s="150"/>
    </row>
    <row r="4832" spans="1:19" hidden="1">
      <c r="A4832" s="149" t="s">
        <v>7039</v>
      </c>
      <c r="B4832" s="150" t="str">
        <f>IFERROR(VLOOKUP(Proc[[#This Row],[App]],Table2[],3,0),"open")</f>
        <v>ok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25</v>
      </c>
      <c r="R4832" s="174" t="s">
        <v>5709</v>
      </c>
      <c r="S4832" s="150"/>
    </row>
    <row r="4833" spans="1:19" hidden="1">
      <c r="A4833" s="149" t="s">
        <v>7039</v>
      </c>
      <c r="B4833" s="150" t="str">
        <f>IFERROR(VLOOKUP(Proc[[#This Row],[App]],Table2[],3,0),"open")</f>
        <v>ok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25</v>
      </c>
      <c r="R4833" s="174" t="s">
        <v>5709</v>
      </c>
      <c r="S4833" s="150"/>
    </row>
    <row r="4834" spans="1:19" hidden="1">
      <c r="A4834" s="149" t="s">
        <v>7039</v>
      </c>
      <c r="B4834" s="150" t="str">
        <f>IFERROR(VLOOKUP(Proc[[#This Row],[App]],Table2[],3,0),"open")</f>
        <v>ok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25</v>
      </c>
      <c r="R4834" s="174" t="s">
        <v>5709</v>
      </c>
      <c r="S4834" s="150"/>
    </row>
    <row r="4835" spans="1:19" hidden="1">
      <c r="A4835" s="149" t="s">
        <v>7039</v>
      </c>
      <c r="B4835" s="150" t="str">
        <f>IFERROR(VLOOKUP(Proc[[#This Row],[App]],Table2[],3,0),"open")</f>
        <v>ok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25</v>
      </c>
      <c r="R4835" s="174" t="s">
        <v>5709</v>
      </c>
      <c r="S4835" s="150"/>
    </row>
    <row r="4836" spans="1:19" hidden="1">
      <c r="A4836" s="149" t="s">
        <v>7039</v>
      </c>
      <c r="B4836" s="150" t="str">
        <f>IFERROR(VLOOKUP(Proc[[#This Row],[App]],Table2[],3,0),"open")</f>
        <v>ok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25</v>
      </c>
      <c r="R4836" s="174" t="s">
        <v>5709</v>
      </c>
      <c r="S4836" s="150"/>
    </row>
    <row r="4837" spans="1:19" hidden="1">
      <c r="A4837" s="149" t="s">
        <v>7039</v>
      </c>
      <c r="B4837" s="150" t="str">
        <f>IFERROR(VLOOKUP(Proc[[#This Row],[App]],Table2[],3,0),"open")</f>
        <v>ok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25</v>
      </c>
      <c r="R4837" s="174" t="s">
        <v>5709</v>
      </c>
      <c r="S4837" s="150"/>
    </row>
    <row r="4838" spans="1:19" hidden="1">
      <c r="A4838" s="149" t="s">
        <v>7039</v>
      </c>
      <c r="B4838" s="150" t="str">
        <f>IFERROR(VLOOKUP(Proc[[#This Row],[App]],Table2[],3,0),"open")</f>
        <v>ok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25</v>
      </c>
      <c r="R4838" s="174" t="s">
        <v>5709</v>
      </c>
      <c r="S4838" s="150"/>
    </row>
    <row r="4839" spans="1:19" hidden="1">
      <c r="A4839" s="149" t="s">
        <v>7039</v>
      </c>
      <c r="B4839" s="150" t="str">
        <f>IFERROR(VLOOKUP(Proc[[#This Row],[App]],Table2[],3,0),"open")</f>
        <v>ok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25</v>
      </c>
      <c r="R4839" s="174" t="s">
        <v>5709</v>
      </c>
      <c r="S4839" s="150"/>
    </row>
    <row r="4840" spans="1:19" hidden="1">
      <c r="A4840" s="149" t="s">
        <v>7039</v>
      </c>
      <c r="B4840" s="150" t="str">
        <f>IFERROR(VLOOKUP(Proc[[#This Row],[App]],Table2[],3,0),"open")</f>
        <v>ok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25</v>
      </c>
      <c r="R4840" s="174" t="s">
        <v>5709</v>
      </c>
      <c r="S4840" s="150"/>
    </row>
    <row r="4841" spans="1:19" hidden="1">
      <c r="A4841" s="149" t="s">
        <v>7039</v>
      </c>
      <c r="B4841" s="150" t="str">
        <f>IFERROR(VLOOKUP(Proc[[#This Row],[App]],Table2[],3,0),"open")</f>
        <v>ok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25</v>
      </c>
      <c r="R4841" s="174" t="s">
        <v>5709</v>
      </c>
      <c r="S4841" s="150"/>
    </row>
    <row r="4842" spans="1:19" hidden="1">
      <c r="A4842" s="149" t="s">
        <v>7039</v>
      </c>
      <c r="B4842" s="150" t="str">
        <f>IFERROR(VLOOKUP(Proc[[#This Row],[App]],Table2[],3,0),"open")</f>
        <v>ok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25</v>
      </c>
      <c r="R4842" s="174" t="s">
        <v>5709</v>
      </c>
      <c r="S4842" s="150"/>
    </row>
    <row r="4843" spans="1:19" hidden="1">
      <c r="A4843" s="149" t="s">
        <v>7039</v>
      </c>
      <c r="B4843" s="150" t="str">
        <f>IFERROR(VLOOKUP(Proc[[#This Row],[App]],Table2[],3,0),"open")</f>
        <v>ok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25</v>
      </c>
      <c r="R4843" s="174" t="s">
        <v>5709</v>
      </c>
      <c r="S4843" s="150"/>
    </row>
    <row r="4844" spans="1:19" hidden="1">
      <c r="A4844" s="149" t="s">
        <v>7039</v>
      </c>
      <c r="B4844" s="150" t="str">
        <f>IFERROR(VLOOKUP(Proc[[#This Row],[App]],Table2[],3,0),"open")</f>
        <v>ok</v>
      </c>
      <c r="C4844" s="149" t="s">
        <v>369</v>
      </c>
      <c r="D4844" t="s">
        <v>7246</v>
      </c>
      <c r="E4844" s="149" t="s">
        <v>7229</v>
      </c>
      <c r="F4844" s="150" t="s">
        <v>7229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25</v>
      </c>
      <c r="R4844" s="174" t="s">
        <v>5709</v>
      </c>
      <c r="S4844" s="150"/>
    </row>
    <row r="4845" spans="1:19" hidden="1">
      <c r="A4845" s="149" t="s">
        <v>7039</v>
      </c>
      <c r="B4845" s="150" t="str">
        <f>IFERROR(VLOOKUP(Proc[[#This Row],[App]],Table2[],3,0),"open")</f>
        <v>ok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25</v>
      </c>
      <c r="R4845" s="174" t="s">
        <v>5709</v>
      </c>
      <c r="S4845" s="150"/>
    </row>
    <row r="4846" spans="1:19" hidden="1">
      <c r="A4846" s="149" t="s">
        <v>7039</v>
      </c>
      <c r="B4846" s="150" t="str">
        <f>IFERROR(VLOOKUP(Proc[[#This Row],[App]],Table2[],3,0),"open")</f>
        <v>ok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25</v>
      </c>
      <c r="R4846" s="174" t="s">
        <v>5709</v>
      </c>
      <c r="S4846" s="150"/>
    </row>
    <row r="4847" spans="1:19" hidden="1">
      <c r="A4847" s="149" t="s">
        <v>7039</v>
      </c>
      <c r="B4847" s="150" t="str">
        <f>IFERROR(VLOOKUP(Proc[[#This Row],[App]],Table2[],3,0),"open")</f>
        <v>ok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25</v>
      </c>
      <c r="R4847" s="174" t="s">
        <v>5709</v>
      </c>
      <c r="S4847" s="150"/>
    </row>
    <row r="4848" spans="1:19" hidden="1">
      <c r="A4848" s="149" t="s">
        <v>7039</v>
      </c>
      <c r="B4848" s="150" t="str">
        <f>IFERROR(VLOOKUP(Proc[[#This Row],[App]],Table2[],3,0),"open")</f>
        <v>ok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25</v>
      </c>
      <c r="R4848" s="174" t="s">
        <v>5709</v>
      </c>
      <c r="S4848" s="150"/>
    </row>
    <row r="4849" spans="1:19" hidden="1">
      <c r="A4849" s="149" t="s">
        <v>7039</v>
      </c>
      <c r="B4849" s="150" t="str">
        <f>IFERROR(VLOOKUP(Proc[[#This Row],[App]],Table2[],3,0),"open")</f>
        <v>ok</v>
      </c>
      <c r="C4849" s="149" t="s">
        <v>377</v>
      </c>
      <c r="D4849" t="s">
        <v>7058</v>
      </c>
      <c r="E4849" s="149" t="s">
        <v>7229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25</v>
      </c>
      <c r="R4849" s="174" t="s">
        <v>5709</v>
      </c>
      <c r="S4849" s="150"/>
    </row>
    <row r="4850" spans="1:19" hidden="1">
      <c r="A4850" s="149" t="s">
        <v>7039</v>
      </c>
      <c r="B4850" s="150" t="str">
        <f>IFERROR(VLOOKUP(Proc[[#This Row],[App]],Table2[],3,0),"open")</f>
        <v>ok</v>
      </c>
      <c r="C4850" s="149" t="s">
        <v>377</v>
      </c>
      <c r="D4850" t="s">
        <v>7059</v>
      </c>
      <c r="E4850" s="149" t="s">
        <v>7229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25</v>
      </c>
      <c r="R4850" s="174" t="s">
        <v>5709</v>
      </c>
      <c r="S4850" s="150"/>
    </row>
    <row r="4851" spans="1:19" hidden="1">
      <c r="A4851" s="149" t="s">
        <v>7039</v>
      </c>
      <c r="B4851" s="150" t="str">
        <f>IFERROR(VLOOKUP(Proc[[#This Row],[App]],Table2[],3,0),"open")</f>
        <v>ok</v>
      </c>
      <c r="C4851" s="149" t="s">
        <v>377</v>
      </c>
      <c r="D4851" t="s">
        <v>7060</v>
      </c>
      <c r="E4851" s="149" t="s">
        <v>7229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25</v>
      </c>
      <c r="R4851" s="174" t="s">
        <v>5709</v>
      </c>
      <c r="S4851" s="150"/>
    </row>
    <row r="4852" spans="1:19" hidden="1">
      <c r="A4852" s="149" t="s">
        <v>7039</v>
      </c>
      <c r="B4852" s="150" t="str">
        <f>IFERROR(VLOOKUP(Proc[[#This Row],[App]],Table2[],3,0),"open")</f>
        <v>ok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25</v>
      </c>
      <c r="R4852" s="174" t="s">
        <v>5709</v>
      </c>
      <c r="S4852" s="150"/>
    </row>
    <row r="4853" spans="1:19" hidden="1">
      <c r="A4853" s="149" t="s">
        <v>7039</v>
      </c>
      <c r="B4853" s="150" t="str">
        <f>IFERROR(VLOOKUP(Proc[[#This Row],[App]],Table2[],3,0),"open")</f>
        <v>ok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25</v>
      </c>
      <c r="R4853" s="174" t="s">
        <v>5709</v>
      </c>
      <c r="S4853" s="150"/>
    </row>
    <row r="4854" spans="1:19" hidden="1">
      <c r="A4854" s="149" t="s">
        <v>7039</v>
      </c>
      <c r="B4854" s="150" t="str">
        <f>IFERROR(VLOOKUP(Proc[[#This Row],[App]],Table2[],3,0),"open")</f>
        <v>ok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25</v>
      </c>
      <c r="R4854" s="174" t="s">
        <v>5709</v>
      </c>
      <c r="S4854" s="150"/>
    </row>
    <row r="4855" spans="1:19" hidden="1">
      <c r="A4855" s="149" t="s">
        <v>7039</v>
      </c>
      <c r="B4855" s="150" t="str">
        <f>IFERROR(VLOOKUP(Proc[[#This Row],[App]],Table2[],3,0),"open")</f>
        <v>ok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25</v>
      </c>
      <c r="R4855" s="174" t="s">
        <v>5709</v>
      </c>
      <c r="S4855" s="150"/>
    </row>
    <row r="4856" spans="1:19" hidden="1">
      <c r="A4856" s="149" t="s">
        <v>7039</v>
      </c>
      <c r="B4856" s="150" t="str">
        <f>IFERROR(VLOOKUP(Proc[[#This Row],[App]],Table2[],3,0),"open")</f>
        <v>ok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25</v>
      </c>
      <c r="R4856" s="174" t="s">
        <v>5709</v>
      </c>
      <c r="S4856" s="150"/>
    </row>
    <row r="4857" spans="1:19" hidden="1">
      <c r="A4857" s="149" t="s">
        <v>7039</v>
      </c>
      <c r="B4857" s="150" t="str">
        <f>IFERROR(VLOOKUP(Proc[[#This Row],[App]],Table2[],3,0),"open")</f>
        <v>ok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25</v>
      </c>
      <c r="R4857" s="174" t="s">
        <v>5709</v>
      </c>
      <c r="S4857" s="150"/>
    </row>
    <row r="4858" spans="1:19" hidden="1">
      <c r="A4858" s="149" t="s">
        <v>7039</v>
      </c>
      <c r="B4858" s="150" t="str">
        <f>IFERROR(VLOOKUP(Proc[[#This Row],[App]],Table2[],3,0),"open")</f>
        <v>ok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25</v>
      </c>
      <c r="R4858" s="174" t="s">
        <v>5709</v>
      </c>
      <c r="S4858" s="150"/>
    </row>
    <row r="4859" spans="1:19" hidden="1">
      <c r="A4859" s="149" t="s">
        <v>7039</v>
      </c>
      <c r="B4859" s="150" t="str">
        <f>IFERROR(VLOOKUP(Proc[[#This Row],[App]],Table2[],3,0),"open")</f>
        <v>ok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25</v>
      </c>
      <c r="R4859" s="174" t="s">
        <v>5709</v>
      </c>
      <c r="S4859" s="150"/>
    </row>
    <row r="4860" spans="1:19" hidden="1">
      <c r="A4860" s="149" t="s">
        <v>7039</v>
      </c>
      <c r="B4860" s="150" t="str">
        <f>IFERROR(VLOOKUP(Proc[[#This Row],[App]],Table2[],3,0),"open")</f>
        <v>ok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25</v>
      </c>
      <c r="R4860" s="174" t="s">
        <v>5709</v>
      </c>
      <c r="S4860" s="150"/>
    </row>
    <row r="4861" spans="1:19" hidden="1">
      <c r="A4861" s="149" t="s">
        <v>7039</v>
      </c>
      <c r="B4861" s="150" t="str">
        <f>IFERROR(VLOOKUP(Proc[[#This Row],[App]],Table2[],3,0),"open")</f>
        <v>ok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25</v>
      </c>
      <c r="R4861" s="174" t="s">
        <v>5709</v>
      </c>
      <c r="S4861" s="150"/>
    </row>
    <row r="4862" spans="1:19" hidden="1">
      <c r="A4862" s="149" t="s">
        <v>7039</v>
      </c>
      <c r="B4862" s="150" t="str">
        <f>IFERROR(VLOOKUP(Proc[[#This Row],[App]],Table2[],3,0),"open")</f>
        <v>ok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25</v>
      </c>
      <c r="R4862" s="174" t="s">
        <v>5709</v>
      </c>
      <c r="S4862" s="150"/>
    </row>
    <row r="4863" spans="1:19" hidden="1">
      <c r="A4863" s="149" t="s">
        <v>7039</v>
      </c>
      <c r="B4863" s="150" t="str">
        <f>IFERROR(VLOOKUP(Proc[[#This Row],[App]],Table2[],3,0),"open")</f>
        <v>ok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25</v>
      </c>
      <c r="R4863" s="174" t="s">
        <v>5709</v>
      </c>
      <c r="S4863" s="150"/>
    </row>
    <row r="4864" spans="1:19" hidden="1">
      <c r="A4864" s="149" t="s">
        <v>7039</v>
      </c>
      <c r="B4864" s="150" t="str">
        <f>IFERROR(VLOOKUP(Proc[[#This Row],[App]],Table2[],3,0),"open")</f>
        <v>ok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25</v>
      </c>
      <c r="R4864" s="174" t="s">
        <v>5709</v>
      </c>
      <c r="S4864" s="150"/>
    </row>
    <row r="4865" spans="1:19" hidden="1">
      <c r="A4865" s="149" t="s">
        <v>7039</v>
      </c>
      <c r="B4865" s="150" t="str">
        <f>IFERROR(VLOOKUP(Proc[[#This Row],[App]],Table2[],3,0),"open")</f>
        <v>ok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25</v>
      </c>
      <c r="R4865" s="174" t="s">
        <v>5709</v>
      </c>
      <c r="S4865" s="150"/>
    </row>
    <row r="4866" spans="1:19" hidden="1">
      <c r="A4866" s="149" t="s">
        <v>7039</v>
      </c>
      <c r="B4866" s="150" t="str">
        <f>IFERROR(VLOOKUP(Proc[[#This Row],[App]],Table2[],3,0),"open")</f>
        <v>ok</v>
      </c>
      <c r="C4866" s="149" t="s">
        <v>369</v>
      </c>
      <c r="D4866" t="s">
        <v>7075</v>
      </c>
      <c r="E4866" s="149" t="s">
        <v>7231</v>
      </c>
      <c r="F4866" s="150" t="s">
        <v>7231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25</v>
      </c>
      <c r="R4866" s="174" t="s">
        <v>5709</v>
      </c>
      <c r="S4866" s="150"/>
    </row>
    <row r="4867" spans="1:19" hidden="1">
      <c r="A4867" s="149" t="s">
        <v>7039</v>
      </c>
      <c r="B4867" s="150" t="str">
        <f>IFERROR(VLOOKUP(Proc[[#This Row],[App]],Table2[],3,0),"open")</f>
        <v>ok</v>
      </c>
      <c r="C4867" s="149" t="s">
        <v>369</v>
      </c>
      <c r="D4867" t="s">
        <v>7076</v>
      </c>
      <c r="E4867" s="149" t="s">
        <v>7231</v>
      </c>
      <c r="F4867" s="150" t="s">
        <v>7231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25</v>
      </c>
      <c r="R4867" s="174" t="s">
        <v>5709</v>
      </c>
      <c r="S4867" s="150"/>
    </row>
    <row r="4868" spans="1:19" hidden="1">
      <c r="A4868" s="149" t="s">
        <v>7039</v>
      </c>
      <c r="B4868" s="150" t="str">
        <f>IFERROR(VLOOKUP(Proc[[#This Row],[App]],Table2[],3,0),"open")</f>
        <v>ok</v>
      </c>
      <c r="C4868" s="149" t="s">
        <v>369</v>
      </c>
      <c r="D4868" t="s">
        <v>7077</v>
      </c>
      <c r="E4868" s="149" t="s">
        <v>7231</v>
      </c>
      <c r="F4868" s="150" t="s">
        <v>7231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25</v>
      </c>
      <c r="R4868" s="174" t="s">
        <v>5709</v>
      </c>
      <c r="S4868" s="150"/>
    </row>
    <row r="4869" spans="1:19" hidden="1">
      <c r="A4869" s="149" t="s">
        <v>7039</v>
      </c>
      <c r="B4869" s="150" t="str">
        <f>IFERROR(VLOOKUP(Proc[[#This Row],[App]],Table2[],3,0),"open")</f>
        <v>ok</v>
      </c>
      <c r="C4869" s="149" t="s">
        <v>369</v>
      </c>
      <c r="D4869" t="s">
        <v>7078</v>
      </c>
      <c r="E4869" s="149" t="s">
        <v>7232</v>
      </c>
      <c r="F4869" s="150" t="s">
        <v>7232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25</v>
      </c>
      <c r="R4869" s="174" t="s">
        <v>5709</v>
      </c>
      <c r="S4869" s="150"/>
    </row>
    <row r="4870" spans="1:19" hidden="1">
      <c r="A4870" s="149" t="s">
        <v>7039</v>
      </c>
      <c r="B4870" s="150" t="str">
        <f>IFERROR(VLOOKUP(Proc[[#This Row],[App]],Table2[],3,0),"open")</f>
        <v>ok</v>
      </c>
      <c r="C4870" s="149" t="s">
        <v>369</v>
      </c>
      <c r="D4870" t="s">
        <v>7079</v>
      </c>
      <c r="E4870" s="149" t="s">
        <v>7232</v>
      </c>
      <c r="F4870" s="150" t="s">
        <v>7232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25</v>
      </c>
      <c r="R4870" s="174" t="s">
        <v>5709</v>
      </c>
      <c r="S4870" s="150"/>
    </row>
    <row r="4871" spans="1:19" hidden="1">
      <c r="A4871" s="149" t="s">
        <v>7039</v>
      </c>
      <c r="B4871" s="150" t="str">
        <f>IFERROR(VLOOKUP(Proc[[#This Row],[App]],Table2[],3,0),"open")</f>
        <v>ok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25</v>
      </c>
      <c r="R4871" s="174" t="s">
        <v>5709</v>
      </c>
      <c r="S4871" s="150"/>
    </row>
    <row r="4872" spans="1:19" hidden="1">
      <c r="A4872" s="149" t="s">
        <v>7039</v>
      </c>
      <c r="B4872" s="150" t="str">
        <f>IFERROR(VLOOKUP(Proc[[#This Row],[App]],Table2[],3,0),"open")</f>
        <v>ok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25</v>
      </c>
      <c r="R4872" s="174" t="s">
        <v>5709</v>
      </c>
      <c r="S4872" s="150"/>
    </row>
    <row r="4873" spans="1:19" hidden="1">
      <c r="A4873" s="149" t="s">
        <v>7039</v>
      </c>
      <c r="B4873" s="150" t="str">
        <f>IFERROR(VLOOKUP(Proc[[#This Row],[App]],Table2[],3,0),"open")</f>
        <v>ok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25</v>
      </c>
      <c r="R4873" s="174" t="s">
        <v>5709</v>
      </c>
      <c r="S4873" s="150"/>
    </row>
    <row r="4874" spans="1:19" hidden="1">
      <c r="A4874" s="149" t="s">
        <v>7039</v>
      </c>
      <c r="B4874" s="150" t="str">
        <f>IFERROR(VLOOKUP(Proc[[#This Row],[App]],Table2[],3,0),"open")</f>
        <v>ok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25</v>
      </c>
      <c r="R4874" s="174" t="s">
        <v>5709</v>
      </c>
      <c r="S4874" s="150"/>
    </row>
    <row r="4875" spans="1:19" hidden="1">
      <c r="A4875" s="149" t="s">
        <v>7039</v>
      </c>
      <c r="B4875" s="150" t="str">
        <f>IFERROR(VLOOKUP(Proc[[#This Row],[App]],Table2[],3,0),"open")</f>
        <v>ok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25</v>
      </c>
      <c r="R4875" s="174" t="s">
        <v>5709</v>
      </c>
      <c r="S4875" s="150"/>
    </row>
    <row r="4876" spans="1:19" hidden="1">
      <c r="A4876" s="149" t="s">
        <v>7039</v>
      </c>
      <c r="B4876" s="150" t="str">
        <f>IFERROR(VLOOKUP(Proc[[#This Row],[App]],Table2[],3,0),"open")</f>
        <v>ok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25</v>
      </c>
      <c r="R4876" s="174" t="s">
        <v>5709</v>
      </c>
      <c r="S4876" s="150"/>
    </row>
    <row r="4877" spans="1:19" hidden="1">
      <c r="A4877" s="149" t="s">
        <v>7039</v>
      </c>
      <c r="B4877" s="150" t="str">
        <f>IFERROR(VLOOKUP(Proc[[#This Row],[App]],Table2[],3,0),"open")</f>
        <v>ok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25</v>
      </c>
      <c r="R4877" s="174" t="s">
        <v>5709</v>
      </c>
      <c r="S4877" s="150"/>
    </row>
    <row r="4878" spans="1:19" hidden="1">
      <c r="A4878" s="149" t="s">
        <v>7039</v>
      </c>
      <c r="B4878" s="150" t="str">
        <f>IFERROR(VLOOKUP(Proc[[#This Row],[App]],Table2[],3,0),"open")</f>
        <v>ok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25</v>
      </c>
      <c r="R4878" s="174" t="s">
        <v>5709</v>
      </c>
      <c r="S4878" s="150"/>
    </row>
    <row r="4879" spans="1:19" hidden="1">
      <c r="A4879" s="149" t="s">
        <v>7039</v>
      </c>
      <c r="B4879" s="150" t="str">
        <f>IFERROR(VLOOKUP(Proc[[#This Row],[App]],Table2[],3,0),"open")</f>
        <v>ok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25</v>
      </c>
      <c r="R4879" s="174" t="s">
        <v>5709</v>
      </c>
      <c r="S4879" s="150"/>
    </row>
    <row r="4880" spans="1:19" hidden="1">
      <c r="A4880" s="149" t="s">
        <v>7039</v>
      </c>
      <c r="B4880" s="150" t="str">
        <f>IFERROR(VLOOKUP(Proc[[#This Row],[App]],Table2[],3,0),"open")</f>
        <v>ok</v>
      </c>
      <c r="C4880" s="149" t="s">
        <v>369</v>
      </c>
      <c r="D4880" t="s">
        <v>7089</v>
      </c>
      <c r="E4880" s="149" t="s">
        <v>7233</v>
      </c>
      <c r="F4880" s="150" t="s">
        <v>7233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25</v>
      </c>
      <c r="R4880" s="174" t="s">
        <v>5709</v>
      </c>
      <c r="S4880" s="150"/>
    </row>
    <row r="4881" spans="1:19" hidden="1">
      <c r="A4881" s="149" t="s">
        <v>7039</v>
      </c>
      <c r="B4881" s="150" t="str">
        <f>IFERROR(VLOOKUP(Proc[[#This Row],[App]],Table2[],3,0),"open")</f>
        <v>ok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25</v>
      </c>
      <c r="R4881" s="174" t="s">
        <v>5709</v>
      </c>
      <c r="S4881" s="150"/>
    </row>
    <row r="4882" spans="1:19" hidden="1">
      <c r="A4882" s="149" t="s">
        <v>7039</v>
      </c>
      <c r="B4882" s="150" t="str">
        <f>IFERROR(VLOOKUP(Proc[[#This Row],[App]],Table2[],3,0),"open")</f>
        <v>ok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25</v>
      </c>
      <c r="R4882" s="174" t="s">
        <v>5709</v>
      </c>
      <c r="S4882" s="150"/>
    </row>
    <row r="4883" spans="1:19" hidden="1">
      <c r="A4883" s="149" t="s">
        <v>7039</v>
      </c>
      <c r="B4883" s="150" t="str">
        <f>IFERROR(VLOOKUP(Proc[[#This Row],[App]],Table2[],3,0),"open")</f>
        <v>ok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25</v>
      </c>
      <c r="R4883" s="174" t="s">
        <v>5709</v>
      </c>
      <c r="S4883" s="150"/>
    </row>
    <row r="4884" spans="1:19" hidden="1">
      <c r="A4884" s="149" t="s">
        <v>7039</v>
      </c>
      <c r="B4884" s="150" t="str">
        <f>IFERROR(VLOOKUP(Proc[[#This Row],[App]],Table2[],3,0),"open")</f>
        <v>ok</v>
      </c>
      <c r="C4884" s="149" t="s">
        <v>369</v>
      </c>
      <c r="D4884" t="s">
        <v>7093</v>
      </c>
      <c r="E4884" s="149" t="s">
        <v>7234</v>
      </c>
      <c r="F4884" s="150" t="s">
        <v>7234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25</v>
      </c>
      <c r="R4884" s="174" t="s">
        <v>5709</v>
      </c>
      <c r="S4884" s="150"/>
    </row>
    <row r="4885" spans="1:19" hidden="1">
      <c r="A4885" s="149" t="s">
        <v>7039</v>
      </c>
      <c r="B4885" s="150" t="str">
        <f>IFERROR(VLOOKUP(Proc[[#This Row],[App]],Table2[],3,0),"open")</f>
        <v>ok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25</v>
      </c>
      <c r="R4885" s="174" t="s">
        <v>5709</v>
      </c>
      <c r="S4885" s="150"/>
    </row>
    <row r="4886" spans="1:19" hidden="1">
      <c r="A4886" s="149" t="s">
        <v>7039</v>
      </c>
      <c r="B4886" s="150" t="str">
        <f>IFERROR(VLOOKUP(Proc[[#This Row],[App]],Table2[],3,0),"open")</f>
        <v>ok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25</v>
      </c>
      <c r="R4886" s="174" t="s">
        <v>5709</v>
      </c>
      <c r="S4886" s="150"/>
    </row>
    <row r="4887" spans="1:19" hidden="1">
      <c r="A4887" s="149" t="s">
        <v>7039</v>
      </c>
      <c r="B4887" s="150" t="str">
        <f>IFERROR(VLOOKUP(Proc[[#This Row],[App]],Table2[],3,0),"open")</f>
        <v>ok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25</v>
      </c>
      <c r="R4887" s="174" t="s">
        <v>5709</v>
      </c>
      <c r="S4887" s="150"/>
    </row>
    <row r="4888" spans="1:19" hidden="1">
      <c r="A4888" s="149" t="s">
        <v>7039</v>
      </c>
      <c r="B4888" s="150" t="str">
        <f>IFERROR(VLOOKUP(Proc[[#This Row],[App]],Table2[],3,0),"open")</f>
        <v>ok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25</v>
      </c>
      <c r="R4888" s="174" t="s">
        <v>5709</v>
      </c>
      <c r="S4888" s="150"/>
    </row>
    <row r="4889" spans="1:19" hidden="1">
      <c r="A4889" s="149" t="s">
        <v>7039</v>
      </c>
      <c r="B4889" s="150" t="str">
        <f>IFERROR(VLOOKUP(Proc[[#This Row],[App]],Table2[],3,0),"open")</f>
        <v>ok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25</v>
      </c>
      <c r="R4889" s="174" t="s">
        <v>5709</v>
      </c>
      <c r="S4889" s="150"/>
    </row>
    <row r="4890" spans="1:19" hidden="1">
      <c r="A4890" s="149" t="s">
        <v>7039</v>
      </c>
      <c r="B4890" s="150" t="str">
        <f>IFERROR(VLOOKUP(Proc[[#This Row],[App]],Table2[],3,0),"open")</f>
        <v>ok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25</v>
      </c>
      <c r="R4890" s="174" t="s">
        <v>5709</v>
      </c>
      <c r="S4890" s="150"/>
    </row>
    <row r="4891" spans="1:19" hidden="1">
      <c r="A4891" s="149" t="s">
        <v>7039</v>
      </c>
      <c r="B4891" s="150" t="str">
        <f>IFERROR(VLOOKUP(Proc[[#This Row],[App]],Table2[],3,0),"open")</f>
        <v>ok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25</v>
      </c>
      <c r="R4891" s="174" t="s">
        <v>5709</v>
      </c>
      <c r="S4891" s="150"/>
    </row>
    <row r="4892" spans="1:19" hidden="1">
      <c r="A4892" s="149" t="s">
        <v>7039</v>
      </c>
      <c r="B4892" s="150" t="str">
        <f>IFERROR(VLOOKUP(Proc[[#This Row],[App]],Table2[],3,0),"open")</f>
        <v>ok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25</v>
      </c>
      <c r="R4892" s="174" t="s">
        <v>5709</v>
      </c>
      <c r="S4892" s="150"/>
    </row>
    <row r="4893" spans="1:19" hidden="1">
      <c r="A4893" s="149" t="s">
        <v>7039</v>
      </c>
      <c r="B4893" s="150" t="str">
        <f>IFERROR(VLOOKUP(Proc[[#This Row],[App]],Table2[],3,0),"open")</f>
        <v>ok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25</v>
      </c>
      <c r="R4893" s="174" t="s">
        <v>5709</v>
      </c>
      <c r="S4893" s="150"/>
    </row>
    <row r="4894" spans="1:19" hidden="1">
      <c r="A4894" s="149" t="s">
        <v>7039</v>
      </c>
      <c r="B4894" s="150" t="str">
        <f>IFERROR(VLOOKUP(Proc[[#This Row],[App]],Table2[],3,0),"open")</f>
        <v>ok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25</v>
      </c>
      <c r="R4894" s="174" t="s">
        <v>5709</v>
      </c>
      <c r="S4894" s="150"/>
    </row>
    <row r="4895" spans="1:19" hidden="1">
      <c r="A4895" s="149" t="s">
        <v>7039</v>
      </c>
      <c r="B4895" s="150" t="str">
        <f>IFERROR(VLOOKUP(Proc[[#This Row],[App]],Table2[],3,0),"open")</f>
        <v>ok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25</v>
      </c>
      <c r="R4895" s="174" t="s">
        <v>5709</v>
      </c>
      <c r="S4895" s="150"/>
    </row>
    <row r="4896" spans="1:19" hidden="1">
      <c r="A4896" s="149" t="s">
        <v>7039</v>
      </c>
      <c r="B4896" s="150" t="str">
        <f>IFERROR(VLOOKUP(Proc[[#This Row],[App]],Table2[],3,0),"open")</f>
        <v>ok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25</v>
      </c>
      <c r="R4896" s="174" t="s">
        <v>5709</v>
      </c>
      <c r="S4896" s="150"/>
    </row>
    <row r="4897" spans="1:19" hidden="1">
      <c r="A4897" s="149" t="s">
        <v>7039</v>
      </c>
      <c r="B4897" s="150" t="str">
        <f>IFERROR(VLOOKUP(Proc[[#This Row],[App]],Table2[],3,0),"open")</f>
        <v>ok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25</v>
      </c>
      <c r="R4897" s="174" t="s">
        <v>5709</v>
      </c>
      <c r="S4897" s="150"/>
    </row>
    <row r="4898" spans="1:19" hidden="1">
      <c r="A4898" s="149" t="s">
        <v>7039</v>
      </c>
      <c r="B4898" s="150" t="str">
        <f>IFERROR(VLOOKUP(Proc[[#This Row],[App]],Table2[],3,0),"open")</f>
        <v>ok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25</v>
      </c>
      <c r="R4898" s="174" t="s">
        <v>5709</v>
      </c>
      <c r="S4898" s="150"/>
    </row>
    <row r="4899" spans="1:19" hidden="1">
      <c r="A4899" s="149" t="s">
        <v>7039</v>
      </c>
      <c r="B4899" s="150" t="str">
        <f>IFERROR(VLOOKUP(Proc[[#This Row],[App]],Table2[],3,0),"open")</f>
        <v>ok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25</v>
      </c>
      <c r="R4899" s="174" t="s">
        <v>5709</v>
      </c>
      <c r="S4899" s="150"/>
    </row>
    <row r="4900" spans="1:19" hidden="1">
      <c r="A4900" s="149" t="s">
        <v>7039</v>
      </c>
      <c r="B4900" s="150" t="str">
        <f>IFERROR(VLOOKUP(Proc[[#This Row],[App]],Table2[],3,0),"open")</f>
        <v>ok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25</v>
      </c>
      <c r="R4900" s="174" t="s">
        <v>5709</v>
      </c>
      <c r="S4900" s="150"/>
    </row>
    <row r="4901" spans="1:19" hidden="1">
      <c r="A4901" s="149" t="s">
        <v>7039</v>
      </c>
      <c r="B4901" s="150" t="str">
        <f>IFERROR(VLOOKUP(Proc[[#This Row],[App]],Table2[],3,0),"open")</f>
        <v>ok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25</v>
      </c>
      <c r="R4901" s="174" t="s">
        <v>5709</v>
      </c>
      <c r="S4901" s="150"/>
    </row>
    <row r="4902" spans="1:19" hidden="1">
      <c r="A4902" s="149" t="s">
        <v>7039</v>
      </c>
      <c r="B4902" s="150" t="str">
        <f>IFERROR(VLOOKUP(Proc[[#This Row],[App]],Table2[],3,0),"open")</f>
        <v>ok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25</v>
      </c>
      <c r="R4902" s="174" t="s">
        <v>5709</v>
      </c>
      <c r="S4902" s="150"/>
    </row>
    <row r="4903" spans="1:19" hidden="1">
      <c r="A4903" s="149" t="s">
        <v>7039</v>
      </c>
      <c r="B4903" s="150" t="str">
        <f>IFERROR(VLOOKUP(Proc[[#This Row],[App]],Table2[],3,0),"open")</f>
        <v>ok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25</v>
      </c>
      <c r="R4903" s="174" t="s">
        <v>5709</v>
      </c>
      <c r="S4903" s="150"/>
    </row>
    <row r="4904" spans="1:19" hidden="1">
      <c r="A4904" s="149" t="s">
        <v>7039</v>
      </c>
      <c r="B4904" s="150" t="str">
        <f>IFERROR(VLOOKUP(Proc[[#This Row],[App]],Table2[],3,0),"open")</f>
        <v>ok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25</v>
      </c>
      <c r="R4904" s="174" t="s">
        <v>5709</v>
      </c>
      <c r="S4904" s="150"/>
    </row>
    <row r="4905" spans="1:19" hidden="1">
      <c r="A4905" s="149" t="s">
        <v>7039</v>
      </c>
      <c r="B4905" s="150" t="str">
        <f>IFERROR(VLOOKUP(Proc[[#This Row],[App]],Table2[],3,0),"open")</f>
        <v>ok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25</v>
      </c>
      <c r="R4905" s="174" t="s">
        <v>5709</v>
      </c>
      <c r="S4905" s="150"/>
    </row>
    <row r="4906" spans="1:19" hidden="1">
      <c r="A4906" s="149" t="s">
        <v>7039</v>
      </c>
      <c r="B4906" s="150" t="str">
        <f>IFERROR(VLOOKUP(Proc[[#This Row],[App]],Table2[],3,0),"open")</f>
        <v>ok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25</v>
      </c>
      <c r="R4906" s="174" t="s">
        <v>5709</v>
      </c>
      <c r="S4906" s="150"/>
    </row>
    <row r="4907" spans="1:19" hidden="1">
      <c r="A4907" s="149" t="s">
        <v>7039</v>
      </c>
      <c r="B4907" s="150" t="str">
        <f>IFERROR(VLOOKUP(Proc[[#This Row],[App]],Table2[],3,0),"open")</f>
        <v>ok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25</v>
      </c>
      <c r="R4907" s="174" t="s">
        <v>5709</v>
      </c>
      <c r="S4907" s="150"/>
    </row>
    <row r="4908" spans="1:19" hidden="1">
      <c r="A4908" s="149" t="s">
        <v>7039</v>
      </c>
      <c r="B4908" s="150" t="str">
        <f>IFERROR(VLOOKUP(Proc[[#This Row],[App]],Table2[],3,0),"open")</f>
        <v>ok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25</v>
      </c>
      <c r="R4908" s="174" t="s">
        <v>5709</v>
      </c>
      <c r="S4908" s="150"/>
    </row>
    <row r="4909" spans="1:19" hidden="1">
      <c r="A4909" s="149" t="s">
        <v>7039</v>
      </c>
      <c r="B4909" s="150" t="str">
        <f>IFERROR(VLOOKUP(Proc[[#This Row],[App]],Table2[],3,0),"open")</f>
        <v>ok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25</v>
      </c>
      <c r="R4909" s="174" t="s">
        <v>5709</v>
      </c>
      <c r="S4909" s="150"/>
    </row>
    <row r="4910" spans="1:19" hidden="1">
      <c r="A4910" s="149" t="s">
        <v>7039</v>
      </c>
      <c r="B4910" s="150" t="str">
        <f>IFERROR(VLOOKUP(Proc[[#This Row],[App]],Table2[],3,0),"open")</f>
        <v>ok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25</v>
      </c>
      <c r="R4910" s="174" t="s">
        <v>5709</v>
      </c>
      <c r="S4910" s="150"/>
    </row>
    <row r="4911" spans="1:19" hidden="1">
      <c r="A4911" s="149" t="s">
        <v>7039</v>
      </c>
      <c r="B4911" s="150" t="str">
        <f>IFERROR(VLOOKUP(Proc[[#This Row],[App]],Table2[],3,0),"open")</f>
        <v>ok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25</v>
      </c>
      <c r="R4911" s="174" t="s">
        <v>5709</v>
      </c>
      <c r="S4911" s="150"/>
    </row>
    <row r="4912" spans="1:19" hidden="1">
      <c r="A4912" s="149" t="s">
        <v>7039</v>
      </c>
      <c r="B4912" s="150" t="str">
        <f>IFERROR(VLOOKUP(Proc[[#This Row],[App]],Table2[],3,0),"open")</f>
        <v>ok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25</v>
      </c>
      <c r="R4912" s="174" t="s">
        <v>5709</v>
      </c>
      <c r="S4912" s="150"/>
    </row>
    <row r="4913" spans="1:19" hidden="1">
      <c r="A4913" s="149" t="s">
        <v>7039</v>
      </c>
      <c r="B4913" s="150" t="str">
        <f>IFERROR(VLOOKUP(Proc[[#This Row],[App]],Table2[],3,0),"open")</f>
        <v>ok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25</v>
      </c>
      <c r="R4913" s="174" t="s">
        <v>5709</v>
      </c>
      <c r="S4913" s="150"/>
    </row>
    <row r="4914" spans="1:19" hidden="1">
      <c r="A4914" s="149" t="s">
        <v>7039</v>
      </c>
      <c r="B4914" s="150" t="str">
        <f>IFERROR(VLOOKUP(Proc[[#This Row],[App]],Table2[],3,0),"open")</f>
        <v>ok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25</v>
      </c>
      <c r="R4914" s="174" t="s">
        <v>5709</v>
      </c>
      <c r="S4914" s="150"/>
    </row>
    <row r="4915" spans="1:19" hidden="1">
      <c r="A4915" s="149" t="s">
        <v>7039</v>
      </c>
      <c r="B4915" s="150" t="str">
        <f>IFERROR(VLOOKUP(Proc[[#This Row],[App]],Table2[],3,0),"open")</f>
        <v>ok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25</v>
      </c>
      <c r="R4915" s="174" t="s">
        <v>5709</v>
      </c>
      <c r="S4915" s="150"/>
    </row>
    <row r="4916" spans="1:19" hidden="1">
      <c r="A4916" s="149" t="s">
        <v>7039</v>
      </c>
      <c r="B4916" s="150" t="str">
        <f>IFERROR(VLOOKUP(Proc[[#This Row],[App]],Table2[],3,0),"open")</f>
        <v>ok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25</v>
      </c>
      <c r="R4916" s="174" t="s">
        <v>5709</v>
      </c>
      <c r="S4916" s="150"/>
    </row>
    <row r="4917" spans="1:19" hidden="1">
      <c r="A4917" s="149" t="s">
        <v>7039</v>
      </c>
      <c r="B4917" s="150" t="str">
        <f>IFERROR(VLOOKUP(Proc[[#This Row],[App]],Table2[],3,0),"open")</f>
        <v>ok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25</v>
      </c>
      <c r="R4917" s="174" t="s">
        <v>5709</v>
      </c>
      <c r="S4917" s="150"/>
    </row>
    <row r="4918" spans="1:19" hidden="1">
      <c r="A4918" s="149" t="s">
        <v>7039</v>
      </c>
      <c r="B4918" s="150" t="str">
        <f>IFERROR(VLOOKUP(Proc[[#This Row],[App]],Table2[],3,0),"open")</f>
        <v>ok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25</v>
      </c>
      <c r="R4918" s="174" t="s">
        <v>5709</v>
      </c>
      <c r="S4918" s="150"/>
    </row>
    <row r="4919" spans="1:19" hidden="1">
      <c r="A4919" s="149" t="s">
        <v>7039</v>
      </c>
      <c r="B4919" s="150" t="str">
        <f>IFERROR(VLOOKUP(Proc[[#This Row],[App]],Table2[],3,0),"open")</f>
        <v>ok</v>
      </c>
      <c r="C4919" s="149" t="s">
        <v>369</v>
      </c>
      <c r="D4919" t="s">
        <v>7128</v>
      </c>
      <c r="E4919" s="149" t="s">
        <v>7235</v>
      </c>
      <c r="F4919" s="150" t="s">
        <v>7235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25</v>
      </c>
      <c r="R4919" s="174" t="s">
        <v>5709</v>
      </c>
      <c r="S4919" s="150"/>
    </row>
    <row r="4920" spans="1:19" hidden="1">
      <c r="A4920" s="149" t="s">
        <v>7039</v>
      </c>
      <c r="B4920" s="150" t="str">
        <f>IFERROR(VLOOKUP(Proc[[#This Row],[App]],Table2[],3,0),"open")</f>
        <v>ok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25</v>
      </c>
      <c r="R4920" s="174" t="s">
        <v>5709</v>
      </c>
      <c r="S4920" s="150"/>
    </row>
    <row r="4921" spans="1:19" hidden="1">
      <c r="A4921" s="149" t="s">
        <v>7039</v>
      </c>
      <c r="B4921" s="150" t="str">
        <f>IFERROR(VLOOKUP(Proc[[#This Row],[App]],Table2[],3,0),"open")</f>
        <v>ok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25</v>
      </c>
      <c r="R4921" s="174" t="s">
        <v>5709</v>
      </c>
      <c r="S4921" s="150"/>
    </row>
    <row r="4922" spans="1:19" hidden="1">
      <c r="A4922" s="149" t="s">
        <v>7039</v>
      </c>
      <c r="B4922" s="150" t="str">
        <f>IFERROR(VLOOKUP(Proc[[#This Row],[App]],Table2[],3,0),"open")</f>
        <v>ok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25</v>
      </c>
      <c r="R4922" s="174" t="s">
        <v>5709</v>
      </c>
      <c r="S4922" s="150"/>
    </row>
    <row r="4923" spans="1:19" hidden="1">
      <c r="A4923" s="149" t="s">
        <v>7039</v>
      </c>
      <c r="B4923" s="150" t="str">
        <f>IFERROR(VLOOKUP(Proc[[#This Row],[App]],Table2[],3,0),"open")</f>
        <v>ok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25</v>
      </c>
      <c r="R4923" s="174" t="s">
        <v>5709</v>
      </c>
      <c r="S4923" s="150"/>
    </row>
    <row r="4924" spans="1:19" hidden="1">
      <c r="A4924" s="149" t="s">
        <v>7039</v>
      </c>
      <c r="B4924" s="150" t="str">
        <f>IFERROR(VLOOKUP(Proc[[#This Row],[App]],Table2[],3,0),"open")</f>
        <v>ok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25</v>
      </c>
      <c r="R4924" s="174" t="s">
        <v>5709</v>
      </c>
      <c r="S4924" s="150"/>
    </row>
    <row r="4925" spans="1:19" hidden="1">
      <c r="A4925" s="149" t="s">
        <v>7039</v>
      </c>
      <c r="B4925" s="150" t="str">
        <f>IFERROR(VLOOKUP(Proc[[#This Row],[App]],Table2[],3,0),"open")</f>
        <v>ok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25</v>
      </c>
      <c r="R4925" s="174" t="s">
        <v>5709</v>
      </c>
      <c r="S4925" s="150"/>
    </row>
    <row r="4926" spans="1:19" hidden="1">
      <c r="A4926" s="149" t="s">
        <v>7039</v>
      </c>
      <c r="B4926" s="150" t="str">
        <f>IFERROR(VLOOKUP(Proc[[#This Row],[App]],Table2[],3,0),"open")</f>
        <v>ok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25</v>
      </c>
      <c r="R4926" s="174" t="s">
        <v>5709</v>
      </c>
      <c r="S4926" s="150"/>
    </row>
    <row r="4927" spans="1:19" hidden="1">
      <c r="A4927" s="149" t="s">
        <v>7039</v>
      </c>
      <c r="B4927" s="150" t="str">
        <f>IFERROR(VLOOKUP(Proc[[#This Row],[App]],Table2[],3,0),"open")</f>
        <v>ok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25</v>
      </c>
      <c r="R4927" s="174" t="s">
        <v>5709</v>
      </c>
      <c r="S4927" s="150"/>
    </row>
    <row r="4928" spans="1:19" hidden="1">
      <c r="A4928" s="149" t="s">
        <v>7039</v>
      </c>
      <c r="B4928" s="150" t="str">
        <f>IFERROR(VLOOKUP(Proc[[#This Row],[App]],Table2[],3,0),"open")</f>
        <v>ok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25</v>
      </c>
      <c r="R4928" s="174" t="s">
        <v>5709</v>
      </c>
      <c r="S4928" s="150"/>
    </row>
    <row r="4929" spans="1:19" hidden="1">
      <c r="A4929" s="149" t="s">
        <v>7039</v>
      </c>
      <c r="B4929" s="150" t="str">
        <f>IFERROR(VLOOKUP(Proc[[#This Row],[App]],Table2[],3,0),"open")</f>
        <v>ok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25</v>
      </c>
      <c r="R4929" s="174" t="s">
        <v>5709</v>
      </c>
      <c r="S4929" s="150"/>
    </row>
    <row r="4930" spans="1:19" hidden="1">
      <c r="A4930" s="149" t="s">
        <v>7039</v>
      </c>
      <c r="B4930" s="150" t="str">
        <f>IFERROR(VLOOKUP(Proc[[#This Row],[App]],Table2[],3,0),"open")</f>
        <v>ok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25</v>
      </c>
      <c r="R4930" s="174" t="s">
        <v>5709</v>
      </c>
      <c r="S4930" s="150"/>
    </row>
    <row r="4931" spans="1:19" hidden="1">
      <c r="A4931" s="149" t="s">
        <v>7039</v>
      </c>
      <c r="B4931" s="150" t="str">
        <f>IFERROR(VLOOKUP(Proc[[#This Row],[App]],Table2[],3,0),"open")</f>
        <v>ok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25</v>
      </c>
      <c r="R4931" s="174" t="s">
        <v>5709</v>
      </c>
      <c r="S4931" s="150"/>
    </row>
    <row r="4932" spans="1:19" hidden="1">
      <c r="A4932" s="149" t="s">
        <v>7039</v>
      </c>
      <c r="B4932" s="150" t="str">
        <f>IFERROR(VLOOKUP(Proc[[#This Row],[App]],Table2[],3,0),"open")</f>
        <v>ok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25</v>
      </c>
      <c r="R4932" s="174" t="s">
        <v>5709</v>
      </c>
      <c r="S4932" s="150"/>
    </row>
    <row r="4933" spans="1:19" hidden="1">
      <c r="A4933" s="149" t="s">
        <v>7039</v>
      </c>
      <c r="B4933" s="150" t="str">
        <f>IFERROR(VLOOKUP(Proc[[#This Row],[App]],Table2[],3,0),"open")</f>
        <v>ok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25</v>
      </c>
      <c r="R4933" s="174" t="s">
        <v>5709</v>
      </c>
      <c r="S4933" s="150"/>
    </row>
    <row r="4934" spans="1:19" hidden="1">
      <c r="A4934" s="149" t="s">
        <v>7039</v>
      </c>
      <c r="B4934" s="150" t="str">
        <f>IFERROR(VLOOKUP(Proc[[#This Row],[App]],Table2[],3,0),"open")</f>
        <v>ok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25</v>
      </c>
      <c r="R4934" s="174" t="s">
        <v>5709</v>
      </c>
      <c r="S4934" s="150"/>
    </row>
    <row r="4935" spans="1:19" hidden="1">
      <c r="A4935" s="149" t="s">
        <v>7039</v>
      </c>
      <c r="B4935" s="150" t="str">
        <f>IFERROR(VLOOKUP(Proc[[#This Row],[App]],Table2[],3,0),"open")</f>
        <v>ok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25</v>
      </c>
      <c r="R4935" s="174" t="s">
        <v>5709</v>
      </c>
      <c r="S4935" s="150"/>
    </row>
    <row r="4936" spans="1:19" hidden="1">
      <c r="A4936" s="149" t="s">
        <v>7039</v>
      </c>
      <c r="B4936" s="150" t="str">
        <f>IFERROR(VLOOKUP(Proc[[#This Row],[App]],Table2[],3,0),"open")</f>
        <v>ok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25</v>
      </c>
      <c r="R4936" s="174" t="s">
        <v>5709</v>
      </c>
      <c r="S4936" s="150"/>
    </row>
    <row r="4937" spans="1:19" hidden="1">
      <c r="A4937" s="149" t="s">
        <v>7039</v>
      </c>
      <c r="B4937" s="150" t="str">
        <f>IFERROR(VLOOKUP(Proc[[#This Row],[App]],Table2[],3,0),"open")</f>
        <v>ok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25</v>
      </c>
      <c r="R4937" s="174" t="s">
        <v>5709</v>
      </c>
      <c r="S4937" s="150"/>
    </row>
    <row r="4938" spans="1:19" hidden="1">
      <c r="A4938" s="149" t="s">
        <v>7039</v>
      </c>
      <c r="B4938" s="150" t="str">
        <f>IFERROR(VLOOKUP(Proc[[#This Row],[App]],Table2[],3,0),"open")</f>
        <v>ok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25</v>
      </c>
      <c r="R4938" s="174" t="s">
        <v>5709</v>
      </c>
      <c r="S4938" s="150"/>
    </row>
    <row r="4939" spans="1:19" hidden="1">
      <c r="A4939" s="149" t="s">
        <v>7039</v>
      </c>
      <c r="B4939" s="150" t="str">
        <f>IFERROR(VLOOKUP(Proc[[#This Row],[App]],Table2[],3,0),"open")</f>
        <v>ok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25</v>
      </c>
      <c r="R4939" s="174" t="s">
        <v>5709</v>
      </c>
      <c r="S4939" s="150"/>
    </row>
    <row r="4940" spans="1:19" hidden="1">
      <c r="A4940" s="149" t="s">
        <v>7039</v>
      </c>
      <c r="B4940" s="150" t="str">
        <f>IFERROR(VLOOKUP(Proc[[#This Row],[App]],Table2[],3,0),"open")</f>
        <v>ok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25</v>
      </c>
      <c r="R4940" s="174" t="s">
        <v>5709</v>
      </c>
      <c r="S4940" s="150"/>
    </row>
    <row r="4941" spans="1:19" hidden="1">
      <c r="A4941" s="149" t="s">
        <v>7039</v>
      </c>
      <c r="B4941" s="150" t="str">
        <f>IFERROR(VLOOKUP(Proc[[#This Row],[App]],Table2[],3,0),"open")</f>
        <v>ok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25</v>
      </c>
      <c r="R4941" s="174" t="s">
        <v>5709</v>
      </c>
      <c r="S4941" s="150"/>
    </row>
    <row r="4942" spans="1:19" hidden="1">
      <c r="A4942" s="149" t="s">
        <v>7039</v>
      </c>
      <c r="B4942" s="150" t="str">
        <f>IFERROR(VLOOKUP(Proc[[#This Row],[App]],Table2[],3,0),"open")</f>
        <v>ok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25</v>
      </c>
      <c r="R4942" s="174" t="s">
        <v>5709</v>
      </c>
      <c r="S4942" s="150"/>
    </row>
    <row r="4943" spans="1:19" hidden="1">
      <c r="A4943" s="149" t="s">
        <v>7039</v>
      </c>
      <c r="B4943" s="150" t="str">
        <f>IFERROR(VLOOKUP(Proc[[#This Row],[App]],Table2[],3,0),"open")</f>
        <v>ok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25</v>
      </c>
      <c r="R4943" s="174" t="s">
        <v>5709</v>
      </c>
      <c r="S4943" s="150"/>
    </row>
    <row r="4944" spans="1:19" hidden="1">
      <c r="A4944" s="149" t="s">
        <v>7039</v>
      </c>
      <c r="B4944" s="150" t="str">
        <f>IFERROR(VLOOKUP(Proc[[#This Row],[App]],Table2[],3,0),"open")</f>
        <v>ok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25</v>
      </c>
      <c r="R4944" s="174" t="s">
        <v>5709</v>
      </c>
      <c r="S4944" s="150"/>
    </row>
    <row r="4945" spans="1:19" hidden="1">
      <c r="A4945" s="149" t="s">
        <v>7039</v>
      </c>
      <c r="B4945" s="150" t="str">
        <f>IFERROR(VLOOKUP(Proc[[#This Row],[App]],Table2[],3,0),"open")</f>
        <v>ok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25</v>
      </c>
      <c r="R4945" s="174" t="s">
        <v>5709</v>
      </c>
      <c r="S4945" s="150"/>
    </row>
    <row r="4946" spans="1:19" hidden="1">
      <c r="A4946" s="149" t="s">
        <v>7039</v>
      </c>
      <c r="B4946" s="150" t="str">
        <f>IFERROR(VLOOKUP(Proc[[#This Row],[App]],Table2[],3,0),"open")</f>
        <v>ok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25</v>
      </c>
      <c r="R4946" s="174" t="s">
        <v>5709</v>
      </c>
      <c r="S4946" s="150"/>
    </row>
    <row r="4947" spans="1:19" hidden="1">
      <c r="A4947" s="149" t="s">
        <v>7039</v>
      </c>
      <c r="B4947" s="150" t="str">
        <f>IFERROR(VLOOKUP(Proc[[#This Row],[App]],Table2[],3,0),"open")</f>
        <v>ok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25</v>
      </c>
      <c r="R4947" s="174" t="s">
        <v>5709</v>
      </c>
      <c r="S4947" s="150"/>
    </row>
    <row r="4948" spans="1:19" hidden="1">
      <c r="A4948" s="149" t="s">
        <v>7039</v>
      </c>
      <c r="B4948" s="150" t="str">
        <f>IFERROR(VLOOKUP(Proc[[#This Row],[App]],Table2[],3,0),"open")</f>
        <v>ok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25</v>
      </c>
      <c r="R4948" s="174" t="s">
        <v>5709</v>
      </c>
      <c r="S4948" s="150"/>
    </row>
    <row r="4949" spans="1:19" hidden="1">
      <c r="A4949" s="149" t="s">
        <v>7039</v>
      </c>
      <c r="B4949" s="150" t="str">
        <f>IFERROR(VLOOKUP(Proc[[#This Row],[App]],Table2[],3,0),"open")</f>
        <v>ok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25</v>
      </c>
      <c r="R4949" s="174" t="s">
        <v>5709</v>
      </c>
      <c r="S4949" s="150"/>
    </row>
    <row r="4950" spans="1:19" hidden="1">
      <c r="A4950" s="149" t="s">
        <v>7039</v>
      </c>
      <c r="B4950" s="150" t="str">
        <f>IFERROR(VLOOKUP(Proc[[#This Row],[App]],Table2[],3,0),"open")</f>
        <v>ok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25</v>
      </c>
      <c r="R4950" s="174" t="s">
        <v>5709</v>
      </c>
      <c r="S4950" s="150"/>
    </row>
    <row r="4951" spans="1:19" hidden="1">
      <c r="A4951" s="149" t="s">
        <v>7039</v>
      </c>
      <c r="B4951" s="150" t="str">
        <f>IFERROR(VLOOKUP(Proc[[#This Row],[App]],Table2[],3,0),"open")</f>
        <v>ok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25</v>
      </c>
      <c r="R4951" s="174" t="s">
        <v>5709</v>
      </c>
      <c r="S4951" s="150"/>
    </row>
    <row r="4952" spans="1:19" hidden="1">
      <c r="A4952" s="149" t="s">
        <v>7039</v>
      </c>
      <c r="B4952" s="150" t="str">
        <f>IFERROR(VLOOKUP(Proc[[#This Row],[App]],Table2[],3,0),"open")</f>
        <v>ok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25</v>
      </c>
      <c r="R4952" s="174" t="s">
        <v>5709</v>
      </c>
      <c r="S4952" s="150"/>
    </row>
    <row r="4953" spans="1:19" hidden="1">
      <c r="A4953" s="149" t="s">
        <v>7039</v>
      </c>
      <c r="B4953" s="150" t="str">
        <f>IFERROR(VLOOKUP(Proc[[#This Row],[App]],Table2[],3,0),"open")</f>
        <v>ok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25</v>
      </c>
      <c r="R4953" s="174" t="s">
        <v>5709</v>
      </c>
      <c r="S4953" s="150"/>
    </row>
    <row r="4954" spans="1:19" hidden="1">
      <c r="A4954" s="149" t="s">
        <v>7039</v>
      </c>
      <c r="B4954" s="150" t="str">
        <f>IFERROR(VLOOKUP(Proc[[#This Row],[App]],Table2[],3,0),"open")</f>
        <v>ok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25</v>
      </c>
      <c r="R4954" s="174" t="s">
        <v>5709</v>
      </c>
      <c r="S4954" s="150"/>
    </row>
    <row r="4955" spans="1:19" hidden="1">
      <c r="A4955" s="149" t="s">
        <v>7039</v>
      </c>
      <c r="B4955" s="150" t="str">
        <f>IFERROR(VLOOKUP(Proc[[#This Row],[App]],Table2[],3,0),"open")</f>
        <v>ok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25</v>
      </c>
      <c r="R4955" s="174" t="s">
        <v>5709</v>
      </c>
      <c r="S4955" s="150"/>
    </row>
    <row r="4956" spans="1:19" hidden="1">
      <c r="A4956" s="149" t="s">
        <v>7039</v>
      </c>
      <c r="B4956" s="150" t="str">
        <f>IFERROR(VLOOKUP(Proc[[#This Row],[App]],Table2[],3,0),"open")</f>
        <v>ok</v>
      </c>
      <c r="C4956" s="149" t="s">
        <v>369</v>
      </c>
      <c r="D4956" t="s">
        <v>7165</v>
      </c>
      <c r="E4956" s="149" t="s">
        <v>7238</v>
      </c>
      <c r="F4956" s="150" t="s">
        <v>7238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25</v>
      </c>
      <c r="R4956" s="174" t="s">
        <v>5709</v>
      </c>
      <c r="S4956" s="150"/>
    </row>
    <row r="4957" spans="1:19" hidden="1">
      <c r="A4957" s="149" t="s">
        <v>7039</v>
      </c>
      <c r="B4957" s="150" t="str">
        <f>IFERROR(VLOOKUP(Proc[[#This Row],[App]],Table2[],3,0),"open")</f>
        <v>ok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25</v>
      </c>
      <c r="R4957" s="174" t="s">
        <v>5709</v>
      </c>
      <c r="S4957" s="150"/>
    </row>
    <row r="4958" spans="1:19" hidden="1">
      <c r="A4958" s="149" t="s">
        <v>7039</v>
      </c>
      <c r="B4958" s="150" t="str">
        <f>IFERROR(VLOOKUP(Proc[[#This Row],[App]],Table2[],3,0),"open")</f>
        <v>ok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25</v>
      </c>
      <c r="R4958" s="174" t="s">
        <v>5709</v>
      </c>
      <c r="S4958" s="150"/>
    </row>
    <row r="4959" spans="1:19" hidden="1">
      <c r="A4959" s="149" t="s">
        <v>7039</v>
      </c>
      <c r="B4959" s="150" t="str">
        <f>IFERROR(VLOOKUP(Proc[[#This Row],[App]],Table2[],3,0),"open")</f>
        <v>ok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25</v>
      </c>
      <c r="R4959" s="174" t="s">
        <v>5709</v>
      </c>
      <c r="S4959" s="150"/>
    </row>
    <row r="4960" spans="1:19" hidden="1">
      <c r="A4960" s="149" t="s">
        <v>7039</v>
      </c>
      <c r="B4960" s="150" t="str">
        <f>IFERROR(VLOOKUP(Proc[[#This Row],[App]],Table2[],3,0),"open")</f>
        <v>ok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25</v>
      </c>
      <c r="R4960" s="174" t="s">
        <v>5709</v>
      </c>
      <c r="S4960" s="150"/>
    </row>
    <row r="4961" spans="1:19" hidden="1">
      <c r="A4961" s="149" t="s">
        <v>7039</v>
      </c>
      <c r="B4961" s="150" t="str">
        <f>IFERROR(VLOOKUP(Proc[[#This Row],[App]],Table2[],3,0),"open")</f>
        <v>ok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25</v>
      </c>
      <c r="R4961" s="174" t="s">
        <v>5709</v>
      </c>
      <c r="S4961" s="150"/>
    </row>
    <row r="4962" spans="1:19" hidden="1">
      <c r="A4962" s="149" t="s">
        <v>7039</v>
      </c>
      <c r="B4962" s="150" t="str">
        <f>IFERROR(VLOOKUP(Proc[[#This Row],[App]],Table2[],3,0),"open")</f>
        <v>ok</v>
      </c>
      <c r="C4962" s="149" t="s">
        <v>369</v>
      </c>
      <c r="D4962" t="s">
        <v>7171</v>
      </c>
      <c r="E4962" s="149" t="s">
        <v>7239</v>
      </c>
      <c r="F4962" s="150" t="s">
        <v>7239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25</v>
      </c>
      <c r="R4962" s="174" t="s">
        <v>5709</v>
      </c>
      <c r="S4962" s="150"/>
    </row>
    <row r="4963" spans="1:19" hidden="1">
      <c r="A4963" s="149" t="s">
        <v>7039</v>
      </c>
      <c r="B4963" s="150" t="str">
        <f>IFERROR(VLOOKUP(Proc[[#This Row],[App]],Table2[],3,0),"open")</f>
        <v>ok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25</v>
      </c>
      <c r="R4963" s="174" t="s">
        <v>5709</v>
      </c>
      <c r="S4963" s="150"/>
    </row>
    <row r="4964" spans="1:19" hidden="1">
      <c r="A4964" s="149" t="s">
        <v>7039</v>
      </c>
      <c r="B4964" s="150" t="str">
        <f>IFERROR(VLOOKUP(Proc[[#This Row],[App]],Table2[],3,0),"open")</f>
        <v>ok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25</v>
      </c>
      <c r="R4964" s="174" t="s">
        <v>5709</v>
      </c>
      <c r="S4964" s="150"/>
    </row>
    <row r="4965" spans="1:19" hidden="1">
      <c r="A4965" s="149" t="s">
        <v>7039</v>
      </c>
      <c r="B4965" s="150" t="str">
        <f>IFERROR(VLOOKUP(Proc[[#This Row],[App]],Table2[],3,0),"open")</f>
        <v>ok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25</v>
      </c>
      <c r="R4965" s="174" t="s">
        <v>5709</v>
      </c>
      <c r="S4965" s="150"/>
    </row>
    <row r="4966" spans="1:19" hidden="1">
      <c r="A4966" s="149" t="s">
        <v>7039</v>
      </c>
      <c r="B4966" s="150" t="str">
        <f>IFERROR(VLOOKUP(Proc[[#This Row],[App]],Table2[],3,0),"open")</f>
        <v>ok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25</v>
      </c>
      <c r="R4966" s="174" t="s">
        <v>5709</v>
      </c>
      <c r="S4966" s="150"/>
    </row>
    <row r="4967" spans="1:19" hidden="1">
      <c r="A4967" s="149" t="s">
        <v>7039</v>
      </c>
      <c r="B4967" s="150" t="str">
        <f>IFERROR(VLOOKUP(Proc[[#This Row],[App]],Table2[],3,0),"open")</f>
        <v>ok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25</v>
      </c>
      <c r="R4967" s="174" t="s">
        <v>5709</v>
      </c>
      <c r="S4967" s="150"/>
    </row>
    <row r="4968" spans="1:19" hidden="1">
      <c r="A4968" s="149" t="s">
        <v>7039</v>
      </c>
      <c r="B4968" s="150" t="str">
        <f>IFERROR(VLOOKUP(Proc[[#This Row],[App]],Table2[],3,0),"open")</f>
        <v>ok</v>
      </c>
      <c r="C4968" s="149" t="s">
        <v>369</v>
      </c>
      <c r="D4968" t="s">
        <v>7177</v>
      </c>
      <c r="E4968" s="149" t="s">
        <v>7239</v>
      </c>
      <c r="F4968" s="150" t="s">
        <v>7239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25</v>
      </c>
      <c r="R4968" s="174" t="s">
        <v>5709</v>
      </c>
      <c r="S4968" s="150"/>
    </row>
    <row r="4969" spans="1:19" hidden="1">
      <c r="A4969" s="149" t="s">
        <v>7039</v>
      </c>
      <c r="B4969" s="150" t="str">
        <f>IFERROR(VLOOKUP(Proc[[#This Row],[App]],Table2[],3,0),"open")</f>
        <v>ok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25</v>
      </c>
      <c r="R4969" s="174" t="s">
        <v>5709</v>
      </c>
      <c r="S4969" s="150"/>
    </row>
    <row r="4970" spans="1:19" hidden="1">
      <c r="A4970" s="149" t="s">
        <v>7039</v>
      </c>
      <c r="B4970" s="150" t="str">
        <f>IFERROR(VLOOKUP(Proc[[#This Row],[App]],Table2[],3,0),"open")</f>
        <v>ok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25</v>
      </c>
      <c r="R4970" s="174" t="s">
        <v>5709</v>
      </c>
      <c r="S4970" s="150"/>
    </row>
    <row r="4971" spans="1:19" hidden="1">
      <c r="A4971" s="149" t="s">
        <v>7039</v>
      </c>
      <c r="B4971" s="150" t="str">
        <f>IFERROR(VLOOKUP(Proc[[#This Row],[App]],Table2[],3,0),"open")</f>
        <v>ok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25</v>
      </c>
      <c r="R4971" s="174" t="s">
        <v>5709</v>
      </c>
      <c r="S4971" s="150"/>
    </row>
    <row r="4972" spans="1:19" hidden="1">
      <c r="A4972" s="149" t="s">
        <v>7039</v>
      </c>
      <c r="B4972" s="150" t="str">
        <f>IFERROR(VLOOKUP(Proc[[#This Row],[App]],Table2[],3,0),"open")</f>
        <v>ok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25</v>
      </c>
      <c r="R4972" s="174" t="s">
        <v>5709</v>
      </c>
      <c r="S4972" s="150"/>
    </row>
    <row r="4973" spans="1:19" hidden="1">
      <c r="A4973" s="149" t="s">
        <v>7039</v>
      </c>
      <c r="B4973" s="150" t="str">
        <f>IFERROR(VLOOKUP(Proc[[#This Row],[App]],Table2[],3,0),"open")</f>
        <v>ok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25</v>
      </c>
      <c r="R4973" s="174" t="s">
        <v>5709</v>
      </c>
      <c r="S4973" s="150"/>
    </row>
    <row r="4974" spans="1:19" hidden="1">
      <c r="A4974" s="149" t="s">
        <v>7039</v>
      </c>
      <c r="B4974" s="150" t="str">
        <f>IFERROR(VLOOKUP(Proc[[#This Row],[App]],Table2[],3,0),"open")</f>
        <v>ok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25</v>
      </c>
      <c r="R4974" s="174" t="s">
        <v>5709</v>
      </c>
      <c r="S4974" s="150"/>
    </row>
    <row r="4975" spans="1:19" hidden="1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24</v>
      </c>
      <c r="R4975" s="174" t="s">
        <v>7193</v>
      </c>
      <c r="S4975" s="150"/>
    </row>
    <row r="4976" spans="1:19" hidden="1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24</v>
      </c>
      <c r="R4976" s="174" t="s">
        <v>7193</v>
      </c>
      <c r="S4976" s="150"/>
    </row>
    <row r="4977" spans="1:19" hidden="1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24</v>
      </c>
      <c r="R4977" s="174" t="s">
        <v>7193</v>
      </c>
      <c r="S4977" s="150"/>
    </row>
    <row r="4978" spans="1:19" hidden="1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24</v>
      </c>
      <c r="R4978" s="174" t="s">
        <v>7193</v>
      </c>
      <c r="S4978" s="150"/>
    </row>
    <row r="4979" spans="1:19" hidden="1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24</v>
      </c>
      <c r="R4979" s="174" t="s">
        <v>7193</v>
      </c>
      <c r="S4979" s="150"/>
    </row>
    <row r="4980" spans="1:19" hidden="1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24</v>
      </c>
      <c r="R4980" s="174" t="s">
        <v>1013</v>
      </c>
      <c r="S4980" s="150"/>
    </row>
    <row r="4981" spans="1:19" hidden="1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24</v>
      </c>
      <c r="R4981" s="174" t="s">
        <v>1013</v>
      </c>
      <c r="S4981" s="150"/>
    </row>
    <row r="4982" spans="1:19" hidden="1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24</v>
      </c>
      <c r="R4982" s="174" t="s">
        <v>1013</v>
      </c>
      <c r="S4982" s="150"/>
    </row>
    <row r="4983" spans="1:19" hidden="1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24</v>
      </c>
      <c r="R4983" s="174" t="s">
        <v>1013</v>
      </c>
      <c r="S4983" s="150"/>
    </row>
    <row r="4984" spans="1:19" hidden="1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24</v>
      </c>
      <c r="R4984" s="174" t="s">
        <v>1013</v>
      </c>
      <c r="S4984" s="150"/>
    </row>
    <row r="4985" spans="1:19" hidden="1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24</v>
      </c>
      <c r="R4985" s="174" t="s">
        <v>1013</v>
      </c>
      <c r="S4985" s="150"/>
    </row>
    <row r="4986" spans="1:19" hidden="1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24</v>
      </c>
      <c r="R4986" s="174" t="s">
        <v>1013</v>
      </c>
      <c r="S4986" s="150"/>
    </row>
    <row r="4987" spans="1:19" hidden="1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24</v>
      </c>
      <c r="R4987" s="174" t="s">
        <v>1013</v>
      </c>
      <c r="S4987" s="150"/>
    </row>
    <row r="4988" spans="1:19" hidden="1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24</v>
      </c>
      <c r="R4988" s="174" t="s">
        <v>1013</v>
      </c>
      <c r="S4988" s="150"/>
    </row>
    <row r="4989" spans="1:19" hidden="1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24</v>
      </c>
      <c r="R4989" s="174" t="s">
        <v>1013</v>
      </c>
      <c r="S4989" s="150"/>
    </row>
    <row r="4990" spans="1:19" hidden="1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24</v>
      </c>
      <c r="R4990" s="174" t="s">
        <v>1013</v>
      </c>
      <c r="S4990" s="150"/>
    </row>
    <row r="4991" spans="1:19" hidden="1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24</v>
      </c>
      <c r="R4991" s="174" t="s">
        <v>1013</v>
      </c>
      <c r="S4991" s="150"/>
    </row>
    <row r="4992" spans="1:19" hidden="1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24</v>
      </c>
      <c r="R4992" s="174" t="s">
        <v>1013</v>
      </c>
      <c r="S4992" s="150"/>
    </row>
    <row r="4993" spans="1:19" hidden="1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24</v>
      </c>
      <c r="R4993" s="174" t="s">
        <v>1013</v>
      </c>
      <c r="S4993" s="150"/>
    </row>
    <row r="4994" spans="1:19" hidden="1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24</v>
      </c>
      <c r="R4994" s="174" t="s">
        <v>1013</v>
      </c>
      <c r="S4994" s="150"/>
    </row>
    <row r="4995" spans="1:19" hidden="1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24</v>
      </c>
      <c r="R4995" s="174" t="s">
        <v>1013</v>
      </c>
      <c r="S4995" s="150"/>
    </row>
    <row r="4996" spans="1:19" hidden="1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24</v>
      </c>
      <c r="R4996" s="174" t="s">
        <v>1013</v>
      </c>
      <c r="S4996" s="150"/>
    </row>
    <row r="4997" spans="1:19" hidden="1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24</v>
      </c>
      <c r="R4997" s="174" t="s">
        <v>1013</v>
      </c>
      <c r="S4997" s="150"/>
    </row>
    <row r="4998" spans="1:19" hidden="1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24</v>
      </c>
      <c r="R4998" s="174" t="s">
        <v>1013</v>
      </c>
      <c r="S4998" s="150"/>
    </row>
    <row r="4999" spans="1:19" hidden="1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24</v>
      </c>
      <c r="R4999" s="174" t="s">
        <v>1013</v>
      </c>
      <c r="S4999" s="150"/>
    </row>
    <row r="5000" spans="1:19" hidden="1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24</v>
      </c>
      <c r="R5000" s="174" t="s">
        <v>1013</v>
      </c>
      <c r="S5000" s="150"/>
    </row>
    <row r="5001" spans="1:19" hidden="1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24</v>
      </c>
      <c r="R5001" s="174" t="s">
        <v>1013</v>
      </c>
      <c r="S5001" s="150"/>
    </row>
    <row r="5002" spans="1:19" hidden="1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24</v>
      </c>
      <c r="R5002" s="174" t="s">
        <v>1013</v>
      </c>
      <c r="S5002" s="150"/>
    </row>
    <row r="5003" spans="1:19" hidden="1">
      <c r="A5003" t="s">
        <v>7221</v>
      </c>
      <c r="B5003" s="150" t="str">
        <f>IFERROR(VLOOKUP(Proc[[#This Row],[App]],Table2[],3,0),"open")</f>
        <v>ok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23</v>
      </c>
      <c r="R5003" s="174" t="s">
        <v>1459</v>
      </c>
      <c r="S5003" s="150"/>
    </row>
    <row r="5004" spans="1:19" hidden="1">
      <c r="A5004" t="s">
        <v>7221</v>
      </c>
      <c r="B5004" s="150" t="str">
        <f>IFERROR(VLOOKUP(Proc[[#This Row],[App]],Table2[],3,0),"open")</f>
        <v>ok</v>
      </c>
      <c r="C5004" s="149" t="s">
        <v>369</v>
      </c>
      <c r="D5004" t="s">
        <v>5278</v>
      </c>
      <c r="E5004" s="149" t="s">
        <v>7223</v>
      </c>
      <c r="F5004" s="150" t="s">
        <v>7223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23</v>
      </c>
      <c r="R5004" s="174" t="s">
        <v>1459</v>
      </c>
      <c r="S5004" s="150"/>
    </row>
    <row r="5005" spans="1:19" hidden="1">
      <c r="A5005" s="149" t="s">
        <v>7221</v>
      </c>
      <c r="B5005" s="150" t="str">
        <f>IFERROR(VLOOKUP(Proc[[#This Row],[App]],Table2[],3,0),"open")</f>
        <v>ok</v>
      </c>
      <c r="C5005" s="149" t="s">
        <v>369</v>
      </c>
      <c r="D5005" t="s">
        <v>5293</v>
      </c>
      <c r="E5005" s="149" t="s">
        <v>7224</v>
      </c>
      <c r="F5005" s="150" t="s">
        <v>7224</v>
      </c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23</v>
      </c>
      <c r="R5005" s="174" t="s">
        <v>1459</v>
      </c>
      <c r="S5005" s="150"/>
    </row>
    <row r="5006" spans="1:19" hidden="1">
      <c r="A5006" s="149" t="s">
        <v>7221</v>
      </c>
      <c r="B5006" s="150" t="str">
        <f>IFERROR(VLOOKUP(Proc[[#This Row],[App]],Table2[],3,0),"open")</f>
        <v>ok</v>
      </c>
      <c r="C5006" s="149" t="s">
        <v>369</v>
      </c>
      <c r="D5006" t="s">
        <v>5297</v>
      </c>
      <c r="E5006" s="149" t="s">
        <v>7225</v>
      </c>
      <c r="F5006" s="150" t="s">
        <v>7225</v>
      </c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23</v>
      </c>
      <c r="R5006" s="174" t="s">
        <v>1459</v>
      </c>
      <c r="S5006" s="150"/>
    </row>
    <row r="5007" spans="1:19" hidden="1">
      <c r="A5007" s="149" t="s">
        <v>7221</v>
      </c>
      <c r="B5007" s="150" t="str">
        <f>IFERROR(VLOOKUP(Proc[[#This Row],[App]],Table2[],3,0),"open")</f>
        <v>ok</v>
      </c>
      <c r="C5007" s="149" t="s">
        <v>369</v>
      </c>
      <c r="D5007" t="s">
        <v>5440</v>
      </c>
      <c r="E5007" s="149" t="s">
        <v>7226</v>
      </c>
      <c r="F5007" s="150" t="s">
        <v>7226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23</v>
      </c>
      <c r="R5007" s="174" t="s">
        <v>1459</v>
      </c>
      <c r="S5007" s="150"/>
    </row>
    <row r="5008" spans="1:19" hidden="1">
      <c r="A5008" s="149" t="s">
        <v>7221</v>
      </c>
      <c r="B5008" s="150" t="str">
        <f>IFERROR(VLOOKUP(Proc[[#This Row],[App]],Table2[],3,0),"open")</f>
        <v>ok</v>
      </c>
      <c r="C5008" s="149" t="s">
        <v>369</v>
      </c>
      <c r="D5008" t="s">
        <v>5305</v>
      </c>
      <c r="E5008" s="149" t="s">
        <v>7223</v>
      </c>
      <c r="F5008" s="150" t="s">
        <v>7223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23</v>
      </c>
      <c r="R5008" s="174" t="s">
        <v>1459</v>
      </c>
      <c r="S5008" s="150"/>
    </row>
    <row r="5009" spans="1:19" hidden="1">
      <c r="A5009" s="149" t="s">
        <v>7221</v>
      </c>
      <c r="B5009" s="150" t="str">
        <f>IFERROR(VLOOKUP(Proc[[#This Row],[App]],Table2[],3,0),"open")</f>
        <v>ok</v>
      </c>
      <c r="C5009" s="149" t="s">
        <v>369</v>
      </c>
      <c r="D5009" t="s">
        <v>5350</v>
      </c>
      <c r="E5009" s="149" t="s">
        <v>7225</v>
      </c>
      <c r="F5009" s="150" t="s">
        <v>7225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23</v>
      </c>
      <c r="R5009" s="174" t="s">
        <v>1459</v>
      </c>
      <c r="S5009" s="150"/>
    </row>
    <row r="5010" spans="1:19" hidden="1">
      <c r="A5010" s="149" t="s">
        <v>7221</v>
      </c>
      <c r="B5010" s="150" t="str">
        <f>IFERROR(VLOOKUP(Proc[[#This Row],[App]],Table2[],3,0),"open")</f>
        <v>ok</v>
      </c>
      <c r="C5010" s="149" t="s">
        <v>369</v>
      </c>
      <c r="D5010" t="s">
        <v>5438</v>
      </c>
      <c r="E5010" s="149" t="s">
        <v>7226</v>
      </c>
      <c r="F5010" s="150" t="s">
        <v>7226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23</v>
      </c>
      <c r="R5010" s="174" t="s">
        <v>1459</v>
      </c>
      <c r="S5010" s="150"/>
    </row>
    <row r="5011" spans="1:19" hidden="1">
      <c r="A5011" s="149" t="s">
        <v>7221</v>
      </c>
      <c r="B5011" s="150" t="str">
        <f>IFERROR(VLOOKUP(Proc[[#This Row],[App]],Table2[],3,0),"open")</f>
        <v>ok</v>
      </c>
      <c r="C5011" s="149" t="s">
        <v>369</v>
      </c>
      <c r="D5011" t="s">
        <v>5338</v>
      </c>
      <c r="E5011" s="149" t="s">
        <v>7225</v>
      </c>
      <c r="F5011" s="150" t="s">
        <v>7225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23</v>
      </c>
      <c r="R5011" s="174" t="s">
        <v>1459</v>
      </c>
      <c r="S5011" s="150"/>
    </row>
    <row r="5012" spans="1:19" hidden="1">
      <c r="A5012" s="149" t="s">
        <v>7221</v>
      </c>
      <c r="B5012" s="150" t="str">
        <f>IFERROR(VLOOKUP(Proc[[#This Row],[App]],Table2[],3,0),"open")</f>
        <v>ok</v>
      </c>
      <c r="C5012" s="149" t="s">
        <v>369</v>
      </c>
      <c r="D5012" t="s">
        <v>5361</v>
      </c>
      <c r="E5012" s="149" t="s">
        <v>7223</v>
      </c>
      <c r="F5012" s="150" t="s">
        <v>7223</v>
      </c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23</v>
      </c>
      <c r="R5012" s="174" t="s">
        <v>1459</v>
      </c>
      <c r="S5012" s="150"/>
    </row>
    <row r="5013" spans="1:19" hidden="1">
      <c r="A5013" s="149" t="s">
        <v>7221</v>
      </c>
      <c r="B5013" s="150" t="str">
        <f>IFERROR(VLOOKUP(Proc[[#This Row],[App]],Table2[],3,0),"open")</f>
        <v>ok</v>
      </c>
      <c r="C5013" s="149" t="s">
        <v>369</v>
      </c>
      <c r="D5013" t="s">
        <v>7222</v>
      </c>
      <c r="E5013" s="149" t="s">
        <v>7227</v>
      </c>
      <c r="F5013" s="150" t="s">
        <v>7227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23</v>
      </c>
      <c r="R5013" s="174" t="s">
        <v>1459</v>
      </c>
      <c r="S5013" s="150"/>
    </row>
    <row r="5014" spans="1:19" hidden="1">
      <c r="A5014" t="s">
        <v>7247</v>
      </c>
      <c r="B5014" s="150" t="str">
        <f>IFERROR(VLOOKUP(Proc[[#This Row],[App]],Table2[],3,0),"open")</f>
        <v>ok</v>
      </c>
      <c r="C5014" s="149" t="s">
        <v>369</v>
      </c>
      <c r="D5014" t="s">
        <v>7248</v>
      </c>
      <c r="E5014" t="s">
        <v>4939</v>
      </c>
      <c r="F5014" s="150" t="s">
        <v>4939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22</v>
      </c>
      <c r="R5014" s="175" t="s">
        <v>415</v>
      </c>
      <c r="S5014" s="150"/>
    </row>
    <row r="5015" spans="1:19" hidden="1">
      <c r="A5015" s="149" t="s">
        <v>7247</v>
      </c>
      <c r="B5015" s="150" t="str">
        <f>IFERROR(VLOOKUP(Proc[[#This Row],[App]],Table2[],3,0),"open")</f>
        <v>ok</v>
      </c>
      <c r="C5015" s="149" t="s">
        <v>369</v>
      </c>
      <c r="D5015" t="s">
        <v>7249</v>
      </c>
      <c r="E5015" t="s">
        <v>4939</v>
      </c>
      <c r="F5015" s="150" t="s">
        <v>4939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22</v>
      </c>
      <c r="R5015" s="175" t="s">
        <v>415</v>
      </c>
      <c r="S5015" s="150"/>
    </row>
    <row r="5016" spans="1:19" hidden="1">
      <c r="A5016" s="149" t="s">
        <v>7247</v>
      </c>
      <c r="B5016" s="150" t="str">
        <f>IFERROR(VLOOKUP(Proc[[#This Row],[App]],Table2[],3,0),"open")</f>
        <v>ok</v>
      </c>
      <c r="C5016" s="149" t="s">
        <v>369</v>
      </c>
      <c r="D5016" t="s">
        <v>7250</v>
      </c>
      <c r="E5016" t="s">
        <v>4939</v>
      </c>
      <c r="F5016" s="150" t="s">
        <v>4939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22</v>
      </c>
      <c r="R5016" s="175" t="s">
        <v>415</v>
      </c>
      <c r="S5016" s="150"/>
    </row>
    <row r="5017" spans="1:19" hidden="1">
      <c r="A5017" t="s">
        <v>7252</v>
      </c>
      <c r="B5017" s="150" t="str">
        <f>IFERROR(VLOOKUP(Proc[[#This Row],[App]],Table2[],3,0),"open")</f>
        <v>ok</v>
      </c>
      <c r="C5017" s="149" t="s">
        <v>369</v>
      </c>
      <c r="D5017" t="s">
        <v>7251</v>
      </c>
      <c r="E5017" s="149" t="s">
        <v>4939</v>
      </c>
      <c r="F5017" s="150" t="s">
        <v>4939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22</v>
      </c>
      <c r="R5017" s="175" t="s">
        <v>415</v>
      </c>
      <c r="S5017" s="150"/>
    </row>
    <row r="5018" spans="1:19" hidden="1">
      <c r="A5018" t="s">
        <v>7252</v>
      </c>
      <c r="B5018" s="150" t="str">
        <f>IFERROR(VLOOKUP(Proc[[#This Row],[App]],Table2[],3,0),"open")</f>
        <v>ok</v>
      </c>
      <c r="C5018" s="149" t="s">
        <v>369</v>
      </c>
      <c r="D5018" t="s">
        <v>7253</v>
      </c>
      <c r="E5018" s="149" t="s">
        <v>4939</v>
      </c>
      <c r="F5018" s="150" t="s">
        <v>4939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22</v>
      </c>
      <c r="R5018" s="175" t="s">
        <v>415</v>
      </c>
      <c r="S5018" s="150"/>
    </row>
    <row r="5019" spans="1:19" hidden="1">
      <c r="A5019" s="149" t="s">
        <v>7252</v>
      </c>
      <c r="B5019" s="150" t="str">
        <f>IFERROR(VLOOKUP(Proc[[#This Row],[App]],Table2[],3,0),"open")</f>
        <v>ok</v>
      </c>
      <c r="C5019" s="149" t="s">
        <v>369</v>
      </c>
      <c r="D5019" t="s">
        <v>7254</v>
      </c>
      <c r="E5019" s="149" t="s">
        <v>4939</v>
      </c>
      <c r="F5019" s="150" t="s">
        <v>4939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22</v>
      </c>
      <c r="R5019" s="175" t="s">
        <v>415</v>
      </c>
      <c r="S5019" s="150"/>
    </row>
    <row r="5020" spans="1:19" hidden="1">
      <c r="A5020" s="149" t="s">
        <v>7252</v>
      </c>
      <c r="B5020" s="150" t="str">
        <f>IFERROR(VLOOKUP(Proc[[#This Row],[App]],Table2[],3,0),"open")</f>
        <v>ok</v>
      </c>
      <c r="C5020" s="149" t="s">
        <v>369</v>
      </c>
      <c r="D5020" t="s">
        <v>7255</v>
      </c>
      <c r="E5020" s="149" t="s">
        <v>4939</v>
      </c>
      <c r="F5020" s="150" t="s">
        <v>4939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22</v>
      </c>
      <c r="R5020" s="175" t="s">
        <v>415</v>
      </c>
      <c r="S5020" s="150"/>
    </row>
    <row r="5021" spans="1:19" hidden="1">
      <c r="A5021" s="149" t="s">
        <v>7252</v>
      </c>
      <c r="B5021" s="150" t="str">
        <f>IFERROR(VLOOKUP(Proc[[#This Row],[App]],Table2[],3,0),"open")</f>
        <v>ok</v>
      </c>
      <c r="C5021" s="149" t="s">
        <v>369</v>
      </c>
      <c r="D5021" t="s">
        <v>7256</v>
      </c>
      <c r="E5021" s="149" t="s">
        <v>4939</v>
      </c>
      <c r="F5021" s="150" t="s">
        <v>4939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22</v>
      </c>
      <c r="R5021" s="175" t="s">
        <v>415</v>
      </c>
      <c r="S5021" s="150"/>
    </row>
    <row r="5022" spans="1:19" hidden="1">
      <c r="A5022" s="149" t="s">
        <v>7252</v>
      </c>
      <c r="B5022" s="150" t="str">
        <f>IFERROR(VLOOKUP(Proc[[#This Row],[App]],Table2[],3,0),"open")</f>
        <v>ok</v>
      </c>
      <c r="C5022" s="149" t="s">
        <v>369</v>
      </c>
      <c r="D5022" t="s">
        <v>7257</v>
      </c>
      <c r="E5022" s="149" t="s">
        <v>4939</v>
      </c>
      <c r="F5022" s="150" t="s">
        <v>4939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22</v>
      </c>
      <c r="R5022" s="175" t="s">
        <v>415</v>
      </c>
      <c r="S5022" s="150"/>
    </row>
    <row r="5023" spans="1:19" hidden="1">
      <c r="A5023" t="s">
        <v>7258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7269</v>
      </c>
      <c r="F5023" s="150" t="s">
        <v>7302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22</v>
      </c>
      <c r="R5023" s="175" t="s">
        <v>415</v>
      </c>
      <c r="S5023" s="150"/>
    </row>
    <row r="5024" spans="1:19" hidden="1">
      <c r="A5024" t="s">
        <v>7258</v>
      </c>
      <c r="B5024" s="150" t="str">
        <f>IFERROR(VLOOKUP(Proc[[#This Row],[App]],Table2[],3,0),"open")</f>
        <v>ok</v>
      </c>
      <c r="C5024" s="149" t="s">
        <v>369</v>
      </c>
      <c r="D5024" t="s">
        <v>7259</v>
      </c>
      <c r="E5024" t="s">
        <v>7270</v>
      </c>
      <c r="F5024" s="150" t="s">
        <v>7270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22</v>
      </c>
      <c r="R5024" s="175" t="s">
        <v>415</v>
      </c>
      <c r="S5024" s="150"/>
    </row>
    <row r="5025" spans="1:19" hidden="1">
      <c r="A5025" s="149" t="s">
        <v>7258</v>
      </c>
      <c r="B5025" s="150" t="str">
        <f>IFERROR(VLOOKUP(Proc[[#This Row],[App]],Table2[],3,0),"open")</f>
        <v>ok</v>
      </c>
      <c r="C5025" s="149" t="s">
        <v>369</v>
      </c>
      <c r="D5025" t="s">
        <v>7260</v>
      </c>
      <c r="E5025" t="s">
        <v>7270</v>
      </c>
      <c r="F5025" s="150" t="s">
        <v>7270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22</v>
      </c>
      <c r="R5025" s="175" t="s">
        <v>415</v>
      </c>
      <c r="S5025" s="150"/>
    </row>
    <row r="5026" spans="1:19" hidden="1">
      <c r="A5026" s="149" t="s">
        <v>7258</v>
      </c>
      <c r="B5026" s="150" t="str">
        <f>IFERROR(VLOOKUP(Proc[[#This Row],[App]],Table2[],3,0),"open")</f>
        <v>ok</v>
      </c>
      <c r="C5026" s="149" t="s">
        <v>369</v>
      </c>
      <c r="D5026" t="s">
        <v>7261</v>
      </c>
      <c r="E5026" t="s">
        <v>7270</v>
      </c>
      <c r="F5026" s="150" t="s">
        <v>7270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22</v>
      </c>
      <c r="R5026" s="175" t="s">
        <v>415</v>
      </c>
      <c r="S5026" s="150"/>
    </row>
    <row r="5027" spans="1:19" hidden="1">
      <c r="A5027" s="149" t="s">
        <v>7258</v>
      </c>
      <c r="B5027" s="150" t="str">
        <f>IFERROR(VLOOKUP(Proc[[#This Row],[App]],Table2[],3,0),"open")</f>
        <v>ok</v>
      </c>
      <c r="C5027" s="149" t="s">
        <v>369</v>
      </c>
      <c r="D5027" t="s">
        <v>7262</v>
      </c>
      <c r="E5027" t="s">
        <v>7270</v>
      </c>
      <c r="F5027" s="150" t="s">
        <v>7270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22</v>
      </c>
      <c r="R5027" s="175" t="s">
        <v>415</v>
      </c>
      <c r="S5027" s="150"/>
    </row>
    <row r="5028" spans="1:19" hidden="1">
      <c r="A5028" s="149" t="s">
        <v>7258</v>
      </c>
      <c r="B5028" s="150" t="str">
        <f>IFERROR(VLOOKUP(Proc[[#This Row],[App]],Table2[],3,0),"open")</f>
        <v>ok</v>
      </c>
      <c r="C5028" s="149" t="s">
        <v>369</v>
      </c>
      <c r="D5028" t="s">
        <v>7263</v>
      </c>
      <c r="E5028" t="s">
        <v>7270</v>
      </c>
      <c r="F5028" s="150" t="s">
        <v>7270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22</v>
      </c>
      <c r="R5028" s="175" t="s">
        <v>415</v>
      </c>
      <c r="S5028" s="150"/>
    </row>
    <row r="5029" spans="1:19" hidden="1">
      <c r="A5029" s="149" t="s">
        <v>7258</v>
      </c>
      <c r="B5029" s="150" t="str">
        <f>IFERROR(VLOOKUP(Proc[[#This Row],[App]],Table2[],3,0),"open")</f>
        <v>ok</v>
      </c>
      <c r="C5029" s="149" t="s">
        <v>369</v>
      </c>
      <c r="D5029" t="s">
        <v>7264</v>
      </c>
      <c r="E5029" t="s">
        <v>7271</v>
      </c>
      <c r="F5029" s="150" t="s">
        <v>7271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22</v>
      </c>
      <c r="R5029" s="175" t="s">
        <v>415</v>
      </c>
      <c r="S5029" s="150"/>
    </row>
    <row r="5030" spans="1:19" hidden="1">
      <c r="A5030" s="149" t="s">
        <v>7258</v>
      </c>
      <c r="B5030" s="150" t="str">
        <f>IFERROR(VLOOKUP(Proc[[#This Row],[App]],Table2[],3,0),"open")</f>
        <v>ok</v>
      </c>
      <c r="C5030" s="149" t="s">
        <v>369</v>
      </c>
      <c r="D5030" t="s">
        <v>7265</v>
      </c>
      <c r="E5030" t="s">
        <v>7272</v>
      </c>
      <c r="F5030" s="150" t="s">
        <v>7272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22</v>
      </c>
      <c r="R5030" s="175" t="s">
        <v>415</v>
      </c>
      <c r="S5030" s="150"/>
    </row>
    <row r="5031" spans="1:19" hidden="1">
      <c r="A5031" s="149" t="s">
        <v>7258</v>
      </c>
      <c r="B5031" s="150" t="str">
        <f>IFERROR(VLOOKUP(Proc[[#This Row],[App]],Table2[],3,0),"open")</f>
        <v>ok</v>
      </c>
      <c r="C5031" s="149" t="s">
        <v>369</v>
      </c>
      <c r="D5031" t="s">
        <v>7266</v>
      </c>
      <c r="E5031" t="s">
        <v>7272</v>
      </c>
      <c r="F5031" s="150" t="s">
        <v>7272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22</v>
      </c>
      <c r="R5031" s="175" t="s">
        <v>415</v>
      </c>
      <c r="S5031" s="150"/>
    </row>
    <row r="5032" spans="1:19" hidden="1">
      <c r="A5032" s="149" t="s">
        <v>7258</v>
      </c>
      <c r="B5032" s="150" t="str">
        <f>IFERROR(VLOOKUP(Proc[[#This Row],[App]],Table2[],3,0),"open")</f>
        <v>ok</v>
      </c>
      <c r="C5032" s="149" t="s">
        <v>369</v>
      </c>
      <c r="D5032" t="s">
        <v>7267</v>
      </c>
      <c r="E5032" t="s">
        <v>4939</v>
      </c>
      <c r="F5032" s="150" t="s">
        <v>4939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22</v>
      </c>
      <c r="R5032" s="175" t="s">
        <v>415</v>
      </c>
      <c r="S5032" s="150"/>
    </row>
    <row r="5033" spans="1:19" hidden="1">
      <c r="A5033" s="149" t="s">
        <v>7258</v>
      </c>
      <c r="B5033" s="150" t="str">
        <f>IFERROR(VLOOKUP(Proc[[#This Row],[App]],Table2[],3,0),"open")</f>
        <v>ok</v>
      </c>
      <c r="C5033" s="149" t="s">
        <v>369</v>
      </c>
      <c r="D5033" t="s">
        <v>7251</v>
      </c>
      <c r="E5033" t="s">
        <v>4914</v>
      </c>
      <c r="F5033" s="150" t="s">
        <v>4914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22</v>
      </c>
      <c r="R5033" s="175" t="s">
        <v>415</v>
      </c>
      <c r="S5033" s="150"/>
    </row>
    <row r="5034" spans="1:19" hidden="1">
      <c r="A5034" s="149" t="s">
        <v>7258</v>
      </c>
      <c r="B5034" s="150" t="str">
        <f>IFERROR(VLOOKUP(Proc[[#This Row],[App]],Table2[],3,0),"open")</f>
        <v>ok</v>
      </c>
      <c r="C5034" s="149" t="s">
        <v>369</v>
      </c>
      <c r="D5034" t="s">
        <v>7268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22</v>
      </c>
      <c r="R5034" s="175" t="s">
        <v>415</v>
      </c>
      <c r="S5034" s="150"/>
    </row>
    <row r="5035" spans="1:19" hidden="1">
      <c r="A5035" t="s">
        <v>7273</v>
      </c>
      <c r="B5035" s="150" t="str">
        <f>IFERROR(VLOOKUP(Proc[[#This Row],[App]],Table2[],3,0),"open")</f>
        <v>ok</v>
      </c>
      <c r="C5035" s="149" t="s">
        <v>369</v>
      </c>
      <c r="D5035" t="s">
        <v>7274</v>
      </c>
      <c r="E5035" t="s">
        <v>4939</v>
      </c>
      <c r="F5035" s="150" t="s">
        <v>4939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22</v>
      </c>
      <c r="R5035" s="175" t="s">
        <v>415</v>
      </c>
      <c r="S5035" s="150"/>
    </row>
    <row r="5036" spans="1:19" hidden="1">
      <c r="A5036" t="s">
        <v>7273</v>
      </c>
      <c r="B5036" s="150" t="str">
        <f>IFERROR(VLOOKUP(Proc[[#This Row],[App]],Table2[],3,0),"open")</f>
        <v>ok</v>
      </c>
      <c r="C5036" s="149" t="s">
        <v>369</v>
      </c>
      <c r="D5036" t="s">
        <v>7275</v>
      </c>
      <c r="E5036" t="s">
        <v>4939</v>
      </c>
      <c r="F5036" s="150" t="s">
        <v>4939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22</v>
      </c>
      <c r="R5036" s="175" t="s">
        <v>415</v>
      </c>
      <c r="S5036" s="150"/>
    </row>
    <row r="5037" spans="1:19" hidden="1">
      <c r="A5037" s="149" t="s">
        <v>7273</v>
      </c>
      <c r="B5037" s="150" t="str">
        <f>IFERROR(VLOOKUP(Proc[[#This Row],[App]],Table2[],3,0),"open")</f>
        <v>ok</v>
      </c>
      <c r="C5037" s="149" t="s">
        <v>369</v>
      </c>
      <c r="D5037" t="s">
        <v>7276</v>
      </c>
      <c r="E5037" t="s">
        <v>4939</v>
      </c>
      <c r="F5037" s="150" t="s">
        <v>4939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22</v>
      </c>
      <c r="R5037" s="175" t="s">
        <v>415</v>
      </c>
      <c r="S5037" s="150"/>
    </row>
    <row r="5038" spans="1:19" hidden="1">
      <c r="A5038" s="149" t="s">
        <v>7273</v>
      </c>
      <c r="B5038" s="150" t="str">
        <f>IFERROR(VLOOKUP(Proc[[#This Row],[App]],Table2[],3,0),"open")</f>
        <v>ok</v>
      </c>
      <c r="C5038" s="149" t="s">
        <v>369</v>
      </c>
      <c r="D5038" t="s">
        <v>7277</v>
      </c>
      <c r="E5038" t="s">
        <v>4939</v>
      </c>
      <c r="F5038" s="150" t="s">
        <v>4939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22</v>
      </c>
      <c r="R5038" s="175" t="s">
        <v>415</v>
      </c>
      <c r="S5038" s="150"/>
    </row>
    <row r="5039" spans="1:19" hidden="1">
      <c r="A5039" s="149" t="s">
        <v>7273</v>
      </c>
      <c r="B5039" s="150" t="str">
        <f>IFERROR(VLOOKUP(Proc[[#This Row],[App]],Table2[],3,0),"open")</f>
        <v>ok</v>
      </c>
      <c r="C5039" s="149" t="s">
        <v>369</v>
      </c>
      <c r="D5039" t="s">
        <v>7278</v>
      </c>
      <c r="E5039" s="149" t="s">
        <v>4939</v>
      </c>
      <c r="F5039" s="150" t="s">
        <v>4939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22</v>
      </c>
      <c r="R5039" s="175" t="s">
        <v>415</v>
      </c>
      <c r="S5039" s="150"/>
    </row>
    <row r="5040" spans="1:19" hidden="1">
      <c r="A5040" t="s">
        <v>7279</v>
      </c>
      <c r="B5040" s="150" t="str">
        <f>IFERROR(VLOOKUP(Proc[[#This Row],[App]],Table2[],3,0),"open")</f>
        <v>ok</v>
      </c>
      <c r="C5040" s="149" t="s">
        <v>369</v>
      </c>
      <c r="D5040" t="s">
        <v>7280</v>
      </c>
      <c r="E5040" t="s">
        <v>7281</v>
      </c>
      <c r="F5040" s="150" t="s">
        <v>7281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21</v>
      </c>
      <c r="R5040" s="175" t="s">
        <v>764</v>
      </c>
      <c r="S5040" s="150"/>
    </row>
    <row r="5041" spans="1:19" hidden="1">
      <c r="A5041" t="s">
        <v>7283</v>
      </c>
      <c r="B5041" s="150" t="str">
        <f>IFERROR(VLOOKUP(Proc[[#This Row],[App]],Table2[],3,0),"open")</f>
        <v>ok</v>
      </c>
      <c r="C5041" t="s">
        <v>369</v>
      </c>
      <c r="D5041" t="s">
        <v>7284</v>
      </c>
      <c r="E5041" t="s">
        <v>425</v>
      </c>
      <c r="F5041" s="150" t="s">
        <v>425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6435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21</v>
      </c>
      <c r="R5041" s="175" t="s">
        <v>1459</v>
      </c>
      <c r="S5041" s="150"/>
    </row>
    <row r="5042" spans="1:19" hidden="1">
      <c r="A5042" t="s">
        <v>7285</v>
      </c>
      <c r="B5042" s="150" t="str">
        <f>IFERROR(VLOOKUP(Proc[[#This Row],[App]],Table2[],3,0),"open")</f>
        <v>ok</v>
      </c>
      <c r="C5042" s="149" t="s">
        <v>369</v>
      </c>
      <c r="D5042" t="s">
        <v>7286</v>
      </c>
      <c r="E5042" t="s">
        <v>4937</v>
      </c>
      <c r="F5042" s="150" t="s">
        <v>4937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6435</v>
      </c>
      <c r="M5042" s="174">
        <v>45996</v>
      </c>
      <c r="N5042" s="175"/>
      <c r="O5042" s="175"/>
      <c r="P5042" s="175" t="str">
        <f ca="1">IF(Proc[[#This Row],[DaysAgeing]]&gt;5,"yep","on track")</f>
        <v>yep</v>
      </c>
      <c r="Q5042" s="3">
        <f ca="1">IF(Proc[[#This Row],[DateClosed]]="",ABS(NETWORKDAYS(Proc[[#This Row],[DateOpened]],TODAY()))-1,ABS(NETWORKDAYS(Proc[[#This Row],[DateOpened]],Proc[[#This Row],[DateClosed]]))-1)</f>
        <v>20</v>
      </c>
      <c r="R5042" s="175" t="s">
        <v>415</v>
      </c>
      <c r="S5042" s="150"/>
    </row>
    <row r="5043" spans="1:19" hidden="1">
      <c r="A5043" t="s">
        <v>7285</v>
      </c>
      <c r="B5043" s="150" t="str">
        <f>IFERROR(VLOOKUP(Proc[[#This Row],[App]],Table2[],3,0),"open")</f>
        <v>ok</v>
      </c>
      <c r="C5043" s="149" t="s">
        <v>369</v>
      </c>
      <c r="D5043" t="s">
        <v>7287</v>
      </c>
      <c r="E5043" t="s">
        <v>7296</v>
      </c>
      <c r="F5043" s="150" t="s">
        <v>7296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6435</v>
      </c>
      <c r="M5043" s="174">
        <v>45996</v>
      </c>
      <c r="N5043" s="175"/>
      <c r="O5043" s="175"/>
      <c r="P5043" s="175" t="str">
        <f ca="1">IF(Proc[[#This Row],[DaysAgeing]]&gt;5,"yep","on track")</f>
        <v>yep</v>
      </c>
      <c r="Q5043" s="3">
        <f ca="1">IF(Proc[[#This Row],[DateClosed]]="",ABS(NETWORKDAYS(Proc[[#This Row],[DateOpened]],TODAY()))-1,ABS(NETWORKDAYS(Proc[[#This Row],[DateOpened]],Proc[[#This Row],[DateClosed]]))-1)</f>
        <v>20</v>
      </c>
      <c r="R5043" s="175" t="s">
        <v>415</v>
      </c>
      <c r="S5043" s="150"/>
    </row>
    <row r="5044" spans="1:19" hidden="1">
      <c r="A5044" s="149" t="s">
        <v>7285</v>
      </c>
      <c r="B5044" s="150" t="str">
        <f>IFERROR(VLOOKUP(Proc[[#This Row],[App]],Table2[],3,0),"open")</f>
        <v>ok</v>
      </c>
      <c r="C5044" s="149" t="s">
        <v>369</v>
      </c>
      <c r="D5044" t="s">
        <v>7288</v>
      </c>
      <c r="E5044" t="s">
        <v>7297</v>
      </c>
      <c r="F5044" s="150" t="s">
        <v>7297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6435</v>
      </c>
      <c r="M5044" s="174">
        <v>45996</v>
      </c>
      <c r="N5044" s="175"/>
      <c r="O5044" s="175"/>
      <c r="P5044" s="175" t="str">
        <f ca="1">IF(Proc[[#This Row],[DaysAgeing]]&gt;5,"yep","on track")</f>
        <v>yep</v>
      </c>
      <c r="Q5044" s="3">
        <f ca="1">IF(Proc[[#This Row],[DateClosed]]="",ABS(NETWORKDAYS(Proc[[#This Row],[DateOpened]],TODAY()))-1,ABS(NETWORKDAYS(Proc[[#This Row],[DateOpened]],Proc[[#This Row],[DateClosed]]))-1)</f>
        <v>20</v>
      </c>
      <c r="R5044" s="175" t="s">
        <v>415</v>
      </c>
      <c r="S5044" s="150"/>
    </row>
    <row r="5045" spans="1:19" hidden="1">
      <c r="A5045" s="149" t="s">
        <v>7285</v>
      </c>
      <c r="B5045" s="150" t="str">
        <f>IFERROR(VLOOKUP(Proc[[#This Row],[App]],Table2[],3,0),"open")</f>
        <v>ok</v>
      </c>
      <c r="C5045" s="149" t="s">
        <v>369</v>
      </c>
      <c r="D5045" t="s">
        <v>7289</v>
      </c>
      <c r="E5045" t="s">
        <v>7298</v>
      </c>
      <c r="F5045" s="150" t="s">
        <v>7298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6435</v>
      </c>
      <c r="M5045" s="174">
        <v>45996</v>
      </c>
      <c r="N5045" s="175"/>
      <c r="O5045" s="175"/>
      <c r="P5045" s="175" t="str">
        <f ca="1">IF(Proc[[#This Row],[DaysAgeing]]&gt;5,"yep","on track")</f>
        <v>yep</v>
      </c>
      <c r="Q5045" s="3">
        <f ca="1">IF(Proc[[#This Row],[DateClosed]]="",ABS(NETWORKDAYS(Proc[[#This Row],[DateOpened]],TODAY()))-1,ABS(NETWORKDAYS(Proc[[#This Row],[DateOpened]],Proc[[#This Row],[DateClosed]]))-1)</f>
        <v>20</v>
      </c>
      <c r="R5045" s="175" t="s">
        <v>415</v>
      </c>
      <c r="S5045" s="150"/>
    </row>
    <row r="5046" spans="1:19" hidden="1">
      <c r="A5046" s="149" t="s">
        <v>7285</v>
      </c>
      <c r="B5046" s="150" t="str">
        <f>IFERROR(VLOOKUP(Proc[[#This Row],[App]],Table2[],3,0),"open")</f>
        <v>ok</v>
      </c>
      <c r="C5046" s="149" t="s">
        <v>369</v>
      </c>
      <c r="D5046" t="s">
        <v>7290</v>
      </c>
      <c r="E5046" t="s">
        <v>7298</v>
      </c>
      <c r="F5046" s="150" t="s">
        <v>7298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6435</v>
      </c>
      <c r="M5046" s="174">
        <v>45996</v>
      </c>
      <c r="N5046" s="175"/>
      <c r="O5046" s="175"/>
      <c r="P5046" s="175" t="str">
        <f ca="1">IF(Proc[[#This Row],[DaysAgeing]]&gt;5,"yep","on track")</f>
        <v>yep</v>
      </c>
      <c r="Q5046" s="3">
        <f ca="1">IF(Proc[[#This Row],[DateClosed]]="",ABS(NETWORKDAYS(Proc[[#This Row],[DateOpened]],TODAY()))-1,ABS(NETWORKDAYS(Proc[[#This Row],[DateOpened]],Proc[[#This Row],[DateClosed]]))-1)</f>
        <v>20</v>
      </c>
      <c r="R5046" s="175" t="s">
        <v>415</v>
      </c>
      <c r="S5046" s="150"/>
    </row>
    <row r="5047" spans="1:19" hidden="1">
      <c r="A5047" s="149" t="s">
        <v>7285</v>
      </c>
      <c r="B5047" s="150" t="str">
        <f>IFERROR(VLOOKUP(Proc[[#This Row],[App]],Table2[],3,0),"open")</f>
        <v>ok</v>
      </c>
      <c r="C5047" s="149" t="s">
        <v>369</v>
      </c>
      <c r="D5047" t="s">
        <v>7291</v>
      </c>
      <c r="E5047" t="s">
        <v>7299</v>
      </c>
      <c r="F5047" s="150" t="s">
        <v>7299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6435</v>
      </c>
      <c r="M5047" s="174">
        <v>45996</v>
      </c>
      <c r="N5047" s="175"/>
      <c r="O5047" s="175"/>
      <c r="P5047" s="175" t="str">
        <f ca="1">IF(Proc[[#This Row],[DaysAgeing]]&gt;5,"yep","on track")</f>
        <v>yep</v>
      </c>
      <c r="Q5047" s="3">
        <f ca="1">IF(Proc[[#This Row],[DateClosed]]="",ABS(NETWORKDAYS(Proc[[#This Row],[DateOpened]],TODAY()))-1,ABS(NETWORKDAYS(Proc[[#This Row],[DateOpened]],Proc[[#This Row],[DateClosed]]))-1)</f>
        <v>20</v>
      </c>
      <c r="R5047" s="175" t="s">
        <v>415</v>
      </c>
      <c r="S5047" s="150"/>
    </row>
    <row r="5048" spans="1:19" hidden="1">
      <c r="A5048" s="149" t="s">
        <v>7285</v>
      </c>
      <c r="B5048" s="150" t="str">
        <f>IFERROR(VLOOKUP(Proc[[#This Row],[App]],Table2[],3,0),"open")</f>
        <v>ok</v>
      </c>
      <c r="C5048" s="149" t="s">
        <v>369</v>
      </c>
      <c r="D5048" t="s">
        <v>7292</v>
      </c>
      <c r="E5048" t="s">
        <v>7299</v>
      </c>
      <c r="F5048" s="150" t="s">
        <v>7299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6435</v>
      </c>
      <c r="M5048" s="174">
        <v>45996</v>
      </c>
      <c r="N5048" s="175"/>
      <c r="O5048" s="175"/>
      <c r="P5048" s="175" t="str">
        <f ca="1">IF(Proc[[#This Row],[DaysAgeing]]&gt;5,"yep","on track")</f>
        <v>yep</v>
      </c>
      <c r="Q5048" s="3">
        <f ca="1">IF(Proc[[#This Row],[DateClosed]]="",ABS(NETWORKDAYS(Proc[[#This Row],[DateOpened]],TODAY()))-1,ABS(NETWORKDAYS(Proc[[#This Row],[DateOpened]],Proc[[#This Row],[DateClosed]]))-1)</f>
        <v>20</v>
      </c>
      <c r="R5048" s="175" t="s">
        <v>415</v>
      </c>
      <c r="S5048" s="150"/>
    </row>
    <row r="5049" spans="1:19" hidden="1">
      <c r="A5049" s="149" t="s">
        <v>7285</v>
      </c>
      <c r="B5049" s="150" t="str">
        <f>IFERROR(VLOOKUP(Proc[[#This Row],[App]],Table2[],3,0),"open")</f>
        <v>ok</v>
      </c>
      <c r="C5049" s="149" t="s">
        <v>369</v>
      </c>
      <c r="D5049" t="s">
        <v>7293</v>
      </c>
      <c r="E5049" t="s">
        <v>7299</v>
      </c>
      <c r="F5049" s="150" t="s">
        <v>7299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6435</v>
      </c>
      <c r="M5049" s="174">
        <v>45996</v>
      </c>
      <c r="N5049" s="175"/>
      <c r="O5049" s="175"/>
      <c r="P5049" s="175" t="str">
        <f ca="1">IF(Proc[[#This Row],[DaysAgeing]]&gt;5,"yep","on track")</f>
        <v>yep</v>
      </c>
      <c r="Q5049" s="3">
        <f ca="1">IF(Proc[[#This Row],[DateClosed]]="",ABS(NETWORKDAYS(Proc[[#This Row],[DateOpened]],TODAY()))-1,ABS(NETWORKDAYS(Proc[[#This Row],[DateOpened]],Proc[[#This Row],[DateClosed]]))-1)</f>
        <v>20</v>
      </c>
      <c r="R5049" s="175" t="s">
        <v>415</v>
      </c>
      <c r="S5049" s="150"/>
    </row>
    <row r="5050" spans="1:19" hidden="1">
      <c r="A5050" s="149" t="s">
        <v>7285</v>
      </c>
      <c r="B5050" s="150" t="str">
        <f>IFERROR(VLOOKUP(Proc[[#This Row],[App]],Table2[],3,0),"open")</f>
        <v>ok</v>
      </c>
      <c r="C5050" s="149" t="s">
        <v>369</v>
      </c>
      <c r="D5050" t="s">
        <v>7294</v>
      </c>
      <c r="E5050" t="s">
        <v>7299</v>
      </c>
      <c r="F5050" s="150" t="s">
        <v>7299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6435</v>
      </c>
      <c r="M5050" s="174">
        <v>45996</v>
      </c>
      <c r="N5050" s="175"/>
      <c r="O5050" s="175"/>
      <c r="P5050" s="175" t="str">
        <f ca="1">IF(Proc[[#This Row],[DaysAgeing]]&gt;5,"yep","on track")</f>
        <v>yep</v>
      </c>
      <c r="Q5050" s="3">
        <f ca="1">IF(Proc[[#This Row],[DateClosed]]="",ABS(NETWORKDAYS(Proc[[#This Row],[DateOpened]],TODAY()))-1,ABS(NETWORKDAYS(Proc[[#This Row],[DateOpened]],Proc[[#This Row],[DateClosed]]))-1)</f>
        <v>20</v>
      </c>
      <c r="R5050" s="175" t="s">
        <v>415</v>
      </c>
      <c r="S5050" s="150"/>
    </row>
    <row r="5051" spans="1:19" hidden="1">
      <c r="A5051" s="149" t="s">
        <v>7285</v>
      </c>
      <c r="B5051" s="150" t="str">
        <f>IFERROR(VLOOKUP(Proc[[#This Row],[App]],Table2[],3,0),"open")</f>
        <v>ok</v>
      </c>
      <c r="C5051" s="149" t="s">
        <v>369</v>
      </c>
      <c r="D5051" t="s">
        <v>7295</v>
      </c>
      <c r="E5051" t="s">
        <v>7299</v>
      </c>
      <c r="F5051" s="150" t="s">
        <v>7299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6435</v>
      </c>
      <c r="M5051" s="174">
        <v>45996</v>
      </c>
      <c r="N5051" s="175"/>
      <c r="O5051" s="175"/>
      <c r="P5051" s="175" t="str">
        <f ca="1">IF(Proc[[#This Row],[DaysAgeing]]&gt;5,"yep","on track")</f>
        <v>yep</v>
      </c>
      <c r="Q5051" s="3">
        <f ca="1">IF(Proc[[#This Row],[DateClosed]]="",ABS(NETWORKDAYS(Proc[[#This Row],[DateOpened]],TODAY()))-1,ABS(NETWORKDAYS(Proc[[#This Row],[DateOpened]],Proc[[#This Row],[DateClosed]]))-1)</f>
        <v>20</v>
      </c>
      <c r="R5051" s="175" t="s">
        <v>415</v>
      </c>
      <c r="S5051" s="150"/>
    </row>
    <row r="5052" spans="1:19" hidden="1">
      <c r="A5052" t="s">
        <v>7301</v>
      </c>
      <c r="B5052" s="150" t="str">
        <f>IFERROR(VLOOKUP(Proc[[#This Row],[App]],Table2[],3,0),"open")</f>
        <v>ok</v>
      </c>
      <c r="C5052" s="149" t="s">
        <v>369</v>
      </c>
      <c r="D5052" t="s">
        <v>7253</v>
      </c>
      <c r="E5052" t="s">
        <v>7300</v>
      </c>
      <c r="F5052" s="150" t="s">
        <v>7300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6435</v>
      </c>
      <c r="M5052" s="174">
        <v>45996</v>
      </c>
      <c r="N5052" s="175"/>
      <c r="O5052" s="175"/>
      <c r="P5052" s="175" t="str">
        <f ca="1">IF(Proc[[#This Row],[DaysAgeing]]&gt;5,"yep","on track")</f>
        <v>yep</v>
      </c>
      <c r="Q5052" s="3">
        <f ca="1">IF(Proc[[#This Row],[DateClosed]]="",ABS(NETWORKDAYS(Proc[[#This Row],[DateOpened]],TODAY()))-1,ABS(NETWORKDAYS(Proc[[#This Row],[DateOpened]],Proc[[#This Row],[DateClosed]]))-1)</f>
        <v>20</v>
      </c>
      <c r="R5052" s="175" t="s">
        <v>415</v>
      </c>
      <c r="S5052" s="150"/>
    </row>
    <row r="5053" spans="1:19" hidden="1">
      <c r="A5053" t="s">
        <v>7301</v>
      </c>
      <c r="B5053" s="150" t="str">
        <f>IFERROR(VLOOKUP(Proc[[#This Row],[App]],Table2[],3,0),"open")</f>
        <v>ok</v>
      </c>
      <c r="C5053" s="149" t="s">
        <v>369</v>
      </c>
      <c r="D5053" t="s">
        <v>7254</v>
      </c>
      <c r="E5053" t="s">
        <v>7300</v>
      </c>
      <c r="F5053" s="150" t="s">
        <v>7300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6435</v>
      </c>
      <c r="M5053" s="174">
        <v>45996</v>
      </c>
      <c r="N5053" s="175"/>
      <c r="O5053" s="175"/>
      <c r="P5053" s="175" t="str">
        <f ca="1">IF(Proc[[#This Row],[DaysAgeing]]&gt;5,"yep","on track")</f>
        <v>yep</v>
      </c>
      <c r="Q5053" s="3">
        <f ca="1">IF(Proc[[#This Row],[DateClosed]]="",ABS(NETWORKDAYS(Proc[[#This Row],[DateOpened]],TODAY()))-1,ABS(NETWORKDAYS(Proc[[#This Row],[DateOpened]],Proc[[#This Row],[DateClosed]]))-1)</f>
        <v>20</v>
      </c>
      <c r="R5053" s="175" t="s">
        <v>415</v>
      </c>
      <c r="S5053" s="150"/>
    </row>
    <row r="5054" spans="1:19" hidden="1">
      <c r="A5054" s="149" t="s">
        <v>7301</v>
      </c>
      <c r="B5054" s="150" t="str">
        <f>IFERROR(VLOOKUP(Proc[[#This Row],[App]],Table2[],3,0),"open")</f>
        <v>ok</v>
      </c>
      <c r="C5054" s="149" t="s">
        <v>369</v>
      </c>
      <c r="D5054" t="s">
        <v>7255</v>
      </c>
      <c r="E5054" t="s">
        <v>7300</v>
      </c>
      <c r="F5054" s="150" t="s">
        <v>7300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6435</v>
      </c>
      <c r="M5054" s="174">
        <v>45996</v>
      </c>
      <c r="N5054" s="175"/>
      <c r="O5054" s="175"/>
      <c r="P5054" s="175" t="str">
        <f ca="1">IF(Proc[[#This Row],[DaysAgeing]]&gt;5,"yep","on track")</f>
        <v>yep</v>
      </c>
      <c r="Q5054" s="3">
        <f ca="1">IF(Proc[[#This Row],[DateClosed]]="",ABS(NETWORKDAYS(Proc[[#This Row],[DateOpened]],TODAY()))-1,ABS(NETWORKDAYS(Proc[[#This Row],[DateOpened]],Proc[[#This Row],[DateClosed]]))-1)</f>
        <v>20</v>
      </c>
      <c r="R5054" s="175" t="s">
        <v>415</v>
      </c>
      <c r="S5054" s="150"/>
    </row>
    <row r="5055" spans="1:19" hidden="1">
      <c r="A5055" s="149" t="s">
        <v>7301</v>
      </c>
      <c r="B5055" s="150" t="str">
        <f>IFERROR(VLOOKUP(Proc[[#This Row],[App]],Table2[],3,0),"open")</f>
        <v>ok</v>
      </c>
      <c r="C5055" s="149" t="s">
        <v>369</v>
      </c>
      <c r="D5055" t="s">
        <v>7256</v>
      </c>
      <c r="E5055" t="s">
        <v>7300</v>
      </c>
      <c r="F5055" s="150" t="s">
        <v>7300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6435</v>
      </c>
      <c r="M5055" s="174">
        <v>45996</v>
      </c>
      <c r="N5055" s="175"/>
      <c r="O5055" s="175"/>
      <c r="P5055" s="175" t="str">
        <f ca="1">IF(Proc[[#This Row],[DaysAgeing]]&gt;5,"yep","on track")</f>
        <v>yep</v>
      </c>
      <c r="Q5055" s="3">
        <f ca="1">IF(Proc[[#This Row],[DateClosed]]="",ABS(NETWORKDAYS(Proc[[#This Row],[DateOpened]],TODAY()))-1,ABS(NETWORKDAYS(Proc[[#This Row],[DateOpened]],Proc[[#This Row],[DateClosed]]))-1)</f>
        <v>20</v>
      </c>
      <c r="R5055" s="175" t="s">
        <v>415</v>
      </c>
      <c r="S5055" s="150"/>
    </row>
    <row r="5056" spans="1:19" hidden="1">
      <c r="A5056" s="149" t="s">
        <v>7301</v>
      </c>
      <c r="B5056" s="150" t="str">
        <f>IFERROR(VLOOKUP(Proc[[#This Row],[App]],Table2[],3,0),"open")</f>
        <v>ok</v>
      </c>
      <c r="C5056" s="149" t="s">
        <v>369</v>
      </c>
      <c r="D5056" t="s">
        <v>7257</v>
      </c>
      <c r="E5056" t="s">
        <v>7300</v>
      </c>
      <c r="F5056" s="150" t="s">
        <v>7300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6435</v>
      </c>
      <c r="M5056" s="174">
        <v>45996</v>
      </c>
      <c r="N5056" s="175"/>
      <c r="O5056" s="175"/>
      <c r="P5056" s="175" t="str">
        <f ca="1">IF(Proc[[#This Row],[DaysAgeing]]&gt;5,"yep","on track")</f>
        <v>yep</v>
      </c>
      <c r="Q5056" s="3">
        <f ca="1">IF(Proc[[#This Row],[DateClosed]]="",ABS(NETWORKDAYS(Proc[[#This Row],[DateOpened]],TODAY()))-1,ABS(NETWORKDAYS(Proc[[#This Row],[DateOpened]],Proc[[#This Row],[DateClosed]]))-1)</f>
        <v>20</v>
      </c>
      <c r="R5056" s="175" t="s">
        <v>415</v>
      </c>
      <c r="S5056" s="150"/>
    </row>
    <row r="5057" spans="1:19" hidden="1">
      <c r="A5057" s="149" t="s">
        <v>7301</v>
      </c>
      <c r="B5057" s="150" t="str">
        <f>IFERROR(VLOOKUP(Proc[[#This Row],[App]],Table2[],3,0),"open")</f>
        <v>ok</v>
      </c>
      <c r="C5057" s="149" t="s">
        <v>369</v>
      </c>
      <c r="D5057" t="s">
        <v>7274</v>
      </c>
      <c r="E5057" t="s">
        <v>7299</v>
      </c>
      <c r="F5057" s="150" t="s">
        <v>7299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6435</v>
      </c>
      <c r="M5057" s="174">
        <v>45996</v>
      </c>
      <c r="N5057" s="175"/>
      <c r="O5057" s="175"/>
      <c r="P5057" s="175" t="str">
        <f ca="1">IF(Proc[[#This Row],[DaysAgeing]]&gt;5,"yep","on track")</f>
        <v>yep</v>
      </c>
      <c r="Q5057" s="3">
        <f ca="1">IF(Proc[[#This Row],[DateClosed]]="",ABS(NETWORKDAYS(Proc[[#This Row],[DateOpened]],TODAY()))-1,ABS(NETWORKDAYS(Proc[[#This Row],[DateOpened]],Proc[[#This Row],[DateClosed]]))-1)</f>
        <v>20</v>
      </c>
      <c r="R5057" s="175" t="s">
        <v>415</v>
      </c>
      <c r="S5057" s="150"/>
    </row>
    <row r="5058" spans="1:19" hidden="1">
      <c r="A5058" s="149" t="s">
        <v>7301</v>
      </c>
      <c r="B5058" s="150" t="str">
        <f>IFERROR(VLOOKUP(Proc[[#This Row],[App]],Table2[],3,0),"open")</f>
        <v>ok</v>
      </c>
      <c r="C5058" s="149" t="s">
        <v>369</v>
      </c>
      <c r="D5058" t="s">
        <v>7275</v>
      </c>
      <c r="E5058" t="s">
        <v>7299</v>
      </c>
      <c r="F5058" s="150" t="s">
        <v>7299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6435</v>
      </c>
      <c r="M5058" s="174">
        <v>45996</v>
      </c>
      <c r="N5058" s="175"/>
      <c r="O5058" s="175"/>
      <c r="P5058" s="175" t="str">
        <f ca="1">IF(Proc[[#This Row],[DaysAgeing]]&gt;5,"yep","on track")</f>
        <v>yep</v>
      </c>
      <c r="Q5058" s="3">
        <f ca="1">IF(Proc[[#This Row],[DateClosed]]="",ABS(NETWORKDAYS(Proc[[#This Row],[DateOpened]],TODAY()))-1,ABS(NETWORKDAYS(Proc[[#This Row],[DateOpened]],Proc[[#This Row],[DateClosed]]))-1)</f>
        <v>20</v>
      </c>
      <c r="R5058" s="175" t="s">
        <v>415</v>
      </c>
      <c r="S5058" s="150"/>
    </row>
    <row r="5059" spans="1:19" hidden="1">
      <c r="A5059" s="149" t="s">
        <v>7301</v>
      </c>
      <c r="B5059" s="150" t="str">
        <f>IFERROR(VLOOKUP(Proc[[#This Row],[App]],Table2[],3,0),"open")</f>
        <v>ok</v>
      </c>
      <c r="C5059" s="149" t="s">
        <v>369</v>
      </c>
      <c r="D5059" t="s">
        <v>7276</v>
      </c>
      <c r="E5059" t="s">
        <v>7299</v>
      </c>
      <c r="F5059" s="150" t="s">
        <v>7299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6435</v>
      </c>
      <c r="M5059" s="174">
        <v>45996</v>
      </c>
      <c r="N5059" s="175"/>
      <c r="O5059" s="175"/>
      <c r="P5059" s="175" t="str">
        <f ca="1">IF(Proc[[#This Row],[DaysAgeing]]&gt;5,"yep","on track")</f>
        <v>yep</v>
      </c>
      <c r="Q5059" s="3">
        <f ca="1">IF(Proc[[#This Row],[DateClosed]]="",ABS(NETWORKDAYS(Proc[[#This Row],[DateOpened]],TODAY()))-1,ABS(NETWORKDAYS(Proc[[#This Row],[DateOpened]],Proc[[#This Row],[DateClosed]]))-1)</f>
        <v>20</v>
      </c>
      <c r="R5059" s="175" t="s">
        <v>415</v>
      </c>
      <c r="S5059" s="150"/>
    </row>
    <row r="5060" spans="1:19" hidden="1">
      <c r="A5060" s="149" t="s">
        <v>7301</v>
      </c>
      <c r="B5060" s="150" t="str">
        <f>IFERROR(VLOOKUP(Proc[[#This Row],[App]],Table2[],3,0),"open")</f>
        <v>ok</v>
      </c>
      <c r="C5060" s="149" t="s">
        <v>369</v>
      </c>
      <c r="D5060" t="s">
        <v>7277</v>
      </c>
      <c r="E5060" t="s">
        <v>7299</v>
      </c>
      <c r="F5060" s="150" t="s">
        <v>7299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6435</v>
      </c>
      <c r="M5060" s="174">
        <v>45996</v>
      </c>
      <c r="N5060" s="175"/>
      <c r="O5060" s="175"/>
      <c r="P5060" s="175" t="str">
        <f ca="1">IF(Proc[[#This Row],[DaysAgeing]]&gt;5,"yep","on track")</f>
        <v>yep</v>
      </c>
      <c r="Q5060" s="3">
        <f ca="1">IF(Proc[[#This Row],[DateClosed]]="",ABS(NETWORKDAYS(Proc[[#This Row],[DateOpened]],TODAY()))-1,ABS(NETWORKDAYS(Proc[[#This Row],[DateOpened]],Proc[[#This Row],[DateClosed]]))-1)</f>
        <v>20</v>
      </c>
      <c r="R5060" s="175" t="s">
        <v>415</v>
      </c>
      <c r="S5060" s="150"/>
    </row>
    <row r="5061" spans="1:19" hidden="1">
      <c r="A5061" s="149" t="s">
        <v>7301</v>
      </c>
      <c r="B5061" s="150" t="str">
        <f>IFERROR(VLOOKUP(Proc[[#This Row],[App]],Table2[],3,0),"open")</f>
        <v>ok</v>
      </c>
      <c r="C5061" s="149" t="s">
        <v>369</v>
      </c>
      <c r="D5061" t="s">
        <v>7278</v>
      </c>
      <c r="E5061" t="s">
        <v>7299</v>
      </c>
      <c r="F5061" s="150" t="s">
        <v>7299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6435</v>
      </c>
      <c r="M5061" s="174">
        <v>45996</v>
      </c>
      <c r="N5061" s="175"/>
      <c r="O5061" s="175"/>
      <c r="P5061" s="175" t="str">
        <f ca="1">IF(Proc[[#This Row],[DaysAgeing]]&gt;5,"yep","on track")</f>
        <v>yep</v>
      </c>
      <c r="Q5061" s="3">
        <f ca="1">IF(Proc[[#This Row],[DateClosed]]="",ABS(NETWORKDAYS(Proc[[#This Row],[DateOpened]],TODAY()))-1,ABS(NETWORKDAYS(Proc[[#This Row],[DateOpened]],Proc[[#This Row],[DateClosed]]))-1)</f>
        <v>20</v>
      </c>
      <c r="R5061" s="175" t="s">
        <v>415</v>
      </c>
      <c r="S5061" s="150"/>
    </row>
    <row r="5062" spans="1:19" hidden="1">
      <c r="A5062" t="s">
        <v>7303</v>
      </c>
      <c r="B5062" s="150" t="str">
        <f>IFERROR(VLOOKUP(Proc[[#This Row],[App]],Table2[],3,0),"open")</f>
        <v>ok</v>
      </c>
      <c r="C5062" s="149" t="s">
        <v>369</v>
      </c>
      <c r="D5062" t="s">
        <v>7289</v>
      </c>
      <c r="E5062" t="s">
        <v>7282</v>
      </c>
      <c r="F5062" s="150" t="s">
        <v>7282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6435</v>
      </c>
      <c r="M5062" s="175">
        <v>45999</v>
      </c>
      <c r="N5062" s="175"/>
      <c r="O5062" s="175"/>
      <c r="P5062" s="175" t="str">
        <f ca="1">IF(Proc[[#This Row],[DaysAgeing]]&gt;5,"yep","on track")</f>
        <v>yep</v>
      </c>
      <c r="Q5062" s="3">
        <f ca="1">IF(Proc[[#This Row],[DateClosed]]="",ABS(NETWORKDAYS(Proc[[#This Row],[DateOpened]],TODAY()))-1,ABS(NETWORKDAYS(Proc[[#This Row],[DateOpened]],Proc[[#This Row],[DateClosed]]))-1)</f>
        <v>19</v>
      </c>
      <c r="R5062" s="175" t="s">
        <v>415</v>
      </c>
      <c r="S5062" s="150"/>
    </row>
    <row r="5063" spans="1:19" hidden="1">
      <c r="A5063" s="149" t="s">
        <v>7303</v>
      </c>
      <c r="B5063" s="150" t="str">
        <f>IFERROR(VLOOKUP(Proc[[#This Row],[App]],Table2[],3,0),"open")</f>
        <v>ok</v>
      </c>
      <c r="C5063" s="149" t="s">
        <v>369</v>
      </c>
      <c r="D5063" t="s">
        <v>7290</v>
      </c>
      <c r="E5063" t="s">
        <v>7282</v>
      </c>
      <c r="F5063" s="150" t="s">
        <v>7282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6435</v>
      </c>
      <c r="M5063" s="175">
        <v>45999</v>
      </c>
      <c r="N5063" s="175"/>
      <c r="O5063" s="175"/>
      <c r="P5063" s="175" t="str">
        <f ca="1">IF(Proc[[#This Row],[DaysAgeing]]&gt;5,"yep","on track")</f>
        <v>yep</v>
      </c>
      <c r="Q5063" s="3">
        <f ca="1">IF(Proc[[#This Row],[DateClosed]]="",ABS(NETWORKDAYS(Proc[[#This Row],[DateOpened]],TODAY()))-1,ABS(NETWORKDAYS(Proc[[#This Row],[DateOpened]],Proc[[#This Row],[DateClosed]]))-1)</f>
        <v>19</v>
      </c>
      <c r="R5063" s="175" t="s">
        <v>415</v>
      </c>
      <c r="S5063" s="150"/>
    </row>
    <row r="5064" spans="1:19" hidden="1">
      <c r="A5064" t="s">
        <v>7304</v>
      </c>
      <c r="B5064" s="150" t="str">
        <f>IFERROR(VLOOKUP(Proc[[#This Row],[App]],Table2[],3,0),"open")</f>
        <v>ok</v>
      </c>
      <c r="C5064" s="149" t="s">
        <v>369</v>
      </c>
      <c r="D5064" t="s">
        <v>7305</v>
      </c>
      <c r="E5064" t="s">
        <v>496</v>
      </c>
      <c r="F5064" s="150" t="s">
        <v>496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6435</v>
      </c>
      <c r="M5064" s="175">
        <v>45999</v>
      </c>
      <c r="N5064" s="175"/>
      <c r="O5064" s="175"/>
      <c r="P5064" s="175" t="str">
        <f ca="1">IF(Proc[[#This Row],[DaysAgeing]]&gt;5,"yep","on track")</f>
        <v>yep</v>
      </c>
      <c r="Q5064" s="3">
        <f ca="1">IF(Proc[[#This Row],[DateClosed]]="",ABS(NETWORKDAYS(Proc[[#This Row],[DateOpened]],TODAY()))-1,ABS(NETWORKDAYS(Proc[[#This Row],[DateOpened]],Proc[[#This Row],[DateClosed]]))-1)</f>
        <v>19</v>
      </c>
      <c r="R5064" s="175" t="s">
        <v>489</v>
      </c>
      <c r="S5064" s="150"/>
    </row>
    <row r="5065" spans="1:19" hidden="1">
      <c r="A5065" s="149" t="s">
        <v>7304</v>
      </c>
      <c r="B5065" s="150" t="str">
        <f>IFERROR(VLOOKUP(Proc[[#This Row],[App]],Table2[],3,0),"open")</f>
        <v>ok</v>
      </c>
      <c r="C5065" s="149" t="s">
        <v>369</v>
      </c>
      <c r="D5065" t="s">
        <v>7306</v>
      </c>
      <c r="E5065" t="s">
        <v>7331</v>
      </c>
      <c r="F5065" s="150" t="s">
        <v>7331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6435</v>
      </c>
      <c r="M5065" s="175">
        <v>45999</v>
      </c>
      <c r="N5065" s="175"/>
      <c r="O5065" s="175"/>
      <c r="P5065" s="175" t="str">
        <f ca="1">IF(Proc[[#This Row],[DaysAgeing]]&gt;5,"yep","on track")</f>
        <v>yep</v>
      </c>
      <c r="Q5065" s="3">
        <f ca="1">IF(Proc[[#This Row],[DateClosed]]="",ABS(NETWORKDAYS(Proc[[#This Row],[DateOpened]],TODAY()))-1,ABS(NETWORKDAYS(Proc[[#This Row],[DateOpened]],Proc[[#This Row],[DateClosed]]))-1)</f>
        <v>19</v>
      </c>
      <c r="R5065" s="175" t="s">
        <v>489</v>
      </c>
      <c r="S5065" s="150"/>
    </row>
    <row r="5066" spans="1:19" hidden="1">
      <c r="A5066" s="149" t="s">
        <v>7304</v>
      </c>
      <c r="B5066" s="150" t="str">
        <f>IFERROR(VLOOKUP(Proc[[#This Row],[App]],Table2[],3,0),"open")</f>
        <v>ok</v>
      </c>
      <c r="C5066" s="149" t="s">
        <v>369</v>
      </c>
      <c r="D5066" t="s">
        <v>7307</v>
      </c>
      <c r="E5066" t="s">
        <v>2776</v>
      </c>
      <c r="F5066" s="150" t="s">
        <v>2776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6435</v>
      </c>
      <c r="M5066" s="175">
        <v>45999</v>
      </c>
      <c r="N5066" s="175"/>
      <c r="O5066" s="175"/>
      <c r="P5066" s="175" t="str">
        <f ca="1">IF(Proc[[#This Row],[DaysAgeing]]&gt;5,"yep","on track")</f>
        <v>yep</v>
      </c>
      <c r="Q5066" s="3">
        <f ca="1">IF(Proc[[#This Row],[DateClosed]]="",ABS(NETWORKDAYS(Proc[[#This Row],[DateOpened]],TODAY()))-1,ABS(NETWORKDAYS(Proc[[#This Row],[DateOpened]],Proc[[#This Row],[DateClosed]]))-1)</f>
        <v>19</v>
      </c>
      <c r="R5066" s="175" t="s">
        <v>489</v>
      </c>
      <c r="S5066" s="150"/>
    </row>
    <row r="5067" spans="1:19" hidden="1">
      <c r="A5067" s="149" t="s">
        <v>7304</v>
      </c>
      <c r="B5067" s="150" t="str">
        <f>IFERROR(VLOOKUP(Proc[[#This Row],[App]],Table2[],3,0),"open")</f>
        <v>ok</v>
      </c>
      <c r="C5067" s="149" t="s">
        <v>369</v>
      </c>
      <c r="D5067" t="s">
        <v>7308</v>
      </c>
      <c r="E5067" t="s">
        <v>4890</v>
      </c>
      <c r="F5067" s="150" t="s">
        <v>4890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6435</v>
      </c>
      <c r="M5067" s="175">
        <v>45999</v>
      </c>
      <c r="N5067" s="175"/>
      <c r="O5067" s="175"/>
      <c r="P5067" s="175" t="str">
        <f ca="1">IF(Proc[[#This Row],[DaysAgeing]]&gt;5,"yep","on track")</f>
        <v>yep</v>
      </c>
      <c r="Q5067" s="3">
        <f ca="1">IF(Proc[[#This Row],[DateClosed]]="",ABS(NETWORKDAYS(Proc[[#This Row],[DateOpened]],TODAY()))-1,ABS(NETWORKDAYS(Proc[[#This Row],[DateOpened]],Proc[[#This Row],[DateClosed]]))-1)</f>
        <v>19</v>
      </c>
      <c r="R5067" s="175" t="s">
        <v>489</v>
      </c>
      <c r="S5067" s="150"/>
    </row>
    <row r="5068" spans="1:19" hidden="1">
      <c r="A5068" s="149" t="s">
        <v>7304</v>
      </c>
      <c r="B5068" s="150" t="str">
        <f>IFERROR(VLOOKUP(Proc[[#This Row],[App]],Table2[],3,0),"open")</f>
        <v>ok</v>
      </c>
      <c r="C5068" s="149" t="s">
        <v>369</v>
      </c>
      <c r="D5068" t="s">
        <v>7309</v>
      </c>
      <c r="E5068" t="s">
        <v>2206</v>
      </c>
      <c r="F5068" s="150" t="s">
        <v>2206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6435</v>
      </c>
      <c r="M5068" s="175">
        <v>45999</v>
      </c>
      <c r="N5068" s="175"/>
      <c r="O5068" s="175"/>
      <c r="P5068" s="175" t="str">
        <f ca="1">IF(Proc[[#This Row],[DaysAgeing]]&gt;5,"yep","on track")</f>
        <v>yep</v>
      </c>
      <c r="Q5068" s="3">
        <f ca="1">IF(Proc[[#This Row],[DateClosed]]="",ABS(NETWORKDAYS(Proc[[#This Row],[DateOpened]],TODAY()))-1,ABS(NETWORKDAYS(Proc[[#This Row],[DateOpened]],Proc[[#This Row],[DateClosed]]))-1)</f>
        <v>19</v>
      </c>
      <c r="R5068" s="175" t="s">
        <v>489</v>
      </c>
      <c r="S5068" s="150"/>
    </row>
    <row r="5069" spans="1:19" hidden="1">
      <c r="A5069" s="149" t="s">
        <v>7304</v>
      </c>
      <c r="B5069" s="150" t="str">
        <f>IFERROR(VLOOKUP(Proc[[#This Row],[App]],Table2[],3,0),"open")</f>
        <v>ok</v>
      </c>
      <c r="C5069" s="149" t="s">
        <v>369</v>
      </c>
      <c r="D5069" t="s">
        <v>7310</v>
      </c>
      <c r="E5069" t="s">
        <v>7332</v>
      </c>
      <c r="F5069" s="150" t="s">
        <v>7332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6435</v>
      </c>
      <c r="M5069" s="175">
        <v>45999</v>
      </c>
      <c r="N5069" s="175"/>
      <c r="O5069" s="175"/>
      <c r="P5069" s="175" t="str">
        <f ca="1">IF(Proc[[#This Row],[DaysAgeing]]&gt;5,"yep","on track")</f>
        <v>yep</v>
      </c>
      <c r="Q5069" s="3">
        <f ca="1">IF(Proc[[#This Row],[DateClosed]]="",ABS(NETWORKDAYS(Proc[[#This Row],[DateOpened]],TODAY()))-1,ABS(NETWORKDAYS(Proc[[#This Row],[DateOpened]],Proc[[#This Row],[DateClosed]]))-1)</f>
        <v>19</v>
      </c>
      <c r="R5069" s="175" t="s">
        <v>489</v>
      </c>
      <c r="S5069" s="150"/>
    </row>
    <row r="5070" spans="1:19" hidden="1">
      <c r="A5070" s="149" t="s">
        <v>7304</v>
      </c>
      <c r="B5070" s="150" t="str">
        <f>IFERROR(VLOOKUP(Proc[[#This Row],[App]],Table2[],3,0),"open")</f>
        <v>ok</v>
      </c>
      <c r="C5070" s="149" t="s">
        <v>369</v>
      </c>
      <c r="D5070" t="s">
        <v>7311</v>
      </c>
      <c r="E5070" t="s">
        <v>7333</v>
      </c>
      <c r="F5070" s="150" t="s">
        <v>7333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6435</v>
      </c>
      <c r="M5070" s="175">
        <v>45999</v>
      </c>
      <c r="N5070" s="175"/>
      <c r="O5070" s="175"/>
      <c r="P5070" s="175" t="str">
        <f ca="1">IF(Proc[[#This Row],[DaysAgeing]]&gt;5,"yep","on track")</f>
        <v>yep</v>
      </c>
      <c r="Q5070" s="3">
        <f ca="1">IF(Proc[[#This Row],[DateClosed]]="",ABS(NETWORKDAYS(Proc[[#This Row],[DateOpened]],TODAY()))-1,ABS(NETWORKDAYS(Proc[[#This Row],[DateOpened]],Proc[[#This Row],[DateClosed]]))-1)</f>
        <v>19</v>
      </c>
      <c r="R5070" s="175" t="s">
        <v>489</v>
      </c>
      <c r="S5070" s="150"/>
    </row>
    <row r="5071" spans="1:19" hidden="1">
      <c r="A5071" s="149" t="s">
        <v>7304</v>
      </c>
      <c r="B5071" s="150" t="str">
        <f>IFERROR(VLOOKUP(Proc[[#This Row],[App]],Table2[],3,0),"open")</f>
        <v>ok</v>
      </c>
      <c r="C5071" s="149" t="s">
        <v>369</v>
      </c>
      <c r="D5071" t="s">
        <v>7312</v>
      </c>
      <c r="E5071" t="s">
        <v>7334</v>
      </c>
      <c r="F5071" s="150" t="s">
        <v>7334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6435</v>
      </c>
      <c r="M5071" s="175">
        <v>45999</v>
      </c>
      <c r="N5071" s="175"/>
      <c r="O5071" s="175"/>
      <c r="P5071" s="175" t="str">
        <f ca="1">IF(Proc[[#This Row],[DaysAgeing]]&gt;5,"yep","on track")</f>
        <v>yep</v>
      </c>
      <c r="Q5071" s="3">
        <f ca="1">IF(Proc[[#This Row],[DateClosed]]="",ABS(NETWORKDAYS(Proc[[#This Row],[DateOpened]],TODAY()))-1,ABS(NETWORKDAYS(Proc[[#This Row],[DateOpened]],Proc[[#This Row],[DateClosed]]))-1)</f>
        <v>19</v>
      </c>
      <c r="R5071" s="175" t="s">
        <v>489</v>
      </c>
      <c r="S5071" s="150"/>
    </row>
    <row r="5072" spans="1:19" hidden="1">
      <c r="A5072" s="149" t="s">
        <v>7304</v>
      </c>
      <c r="B5072" s="150" t="str">
        <f>IFERROR(VLOOKUP(Proc[[#This Row],[App]],Table2[],3,0),"open")</f>
        <v>ok</v>
      </c>
      <c r="C5072" s="149" t="s">
        <v>369</v>
      </c>
      <c r="D5072" t="s">
        <v>7313</v>
      </c>
      <c r="E5072" t="s">
        <v>7335</v>
      </c>
      <c r="F5072" s="150" t="s">
        <v>7335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6435</v>
      </c>
      <c r="M5072" s="175">
        <v>45999</v>
      </c>
      <c r="N5072" s="175"/>
      <c r="O5072" s="175"/>
      <c r="P5072" s="175" t="str">
        <f ca="1">IF(Proc[[#This Row],[DaysAgeing]]&gt;5,"yep","on track")</f>
        <v>yep</v>
      </c>
      <c r="Q5072" s="3">
        <f ca="1">IF(Proc[[#This Row],[DateClosed]]="",ABS(NETWORKDAYS(Proc[[#This Row],[DateOpened]],TODAY()))-1,ABS(NETWORKDAYS(Proc[[#This Row],[DateOpened]],Proc[[#This Row],[DateClosed]]))-1)</f>
        <v>19</v>
      </c>
      <c r="R5072" s="175" t="s">
        <v>489</v>
      </c>
      <c r="S5072" s="150"/>
    </row>
    <row r="5073" spans="1:19" hidden="1">
      <c r="A5073" s="149" t="s">
        <v>7304</v>
      </c>
      <c r="B5073" s="150" t="str">
        <f>IFERROR(VLOOKUP(Proc[[#This Row],[App]],Table2[],3,0),"open")</f>
        <v>ok</v>
      </c>
      <c r="C5073" s="149" t="s">
        <v>369</v>
      </c>
      <c r="D5073" t="s">
        <v>7314</v>
      </c>
      <c r="E5073" t="s">
        <v>7336</v>
      </c>
      <c r="F5073" s="150" t="s">
        <v>7336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6435</v>
      </c>
      <c r="M5073" s="175">
        <v>45999</v>
      </c>
      <c r="N5073" s="175"/>
      <c r="O5073" s="175"/>
      <c r="P5073" s="175" t="str">
        <f ca="1">IF(Proc[[#This Row],[DaysAgeing]]&gt;5,"yep","on track")</f>
        <v>yep</v>
      </c>
      <c r="Q5073" s="3">
        <f ca="1">IF(Proc[[#This Row],[DateClosed]]="",ABS(NETWORKDAYS(Proc[[#This Row],[DateOpened]],TODAY()))-1,ABS(NETWORKDAYS(Proc[[#This Row],[DateOpened]],Proc[[#This Row],[DateClosed]]))-1)</f>
        <v>19</v>
      </c>
      <c r="R5073" s="175" t="s">
        <v>489</v>
      </c>
      <c r="S5073" s="150"/>
    </row>
    <row r="5074" spans="1:19" hidden="1">
      <c r="A5074" s="149" t="s">
        <v>7304</v>
      </c>
      <c r="B5074" s="150" t="str">
        <f>IFERROR(VLOOKUP(Proc[[#This Row],[App]],Table2[],3,0),"open")</f>
        <v>ok</v>
      </c>
      <c r="C5074" s="149" t="s">
        <v>369</v>
      </c>
      <c r="D5074" t="s">
        <v>7315</v>
      </c>
      <c r="E5074" t="s">
        <v>7336</v>
      </c>
      <c r="F5074" s="150" t="s">
        <v>7336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6435</v>
      </c>
      <c r="M5074" s="175">
        <v>45999</v>
      </c>
      <c r="N5074" s="175"/>
      <c r="O5074" s="175"/>
      <c r="P5074" s="175" t="str">
        <f ca="1">IF(Proc[[#This Row],[DaysAgeing]]&gt;5,"yep","on track")</f>
        <v>yep</v>
      </c>
      <c r="Q5074" s="3">
        <f ca="1">IF(Proc[[#This Row],[DateClosed]]="",ABS(NETWORKDAYS(Proc[[#This Row],[DateOpened]],TODAY()))-1,ABS(NETWORKDAYS(Proc[[#This Row],[DateOpened]],Proc[[#This Row],[DateClosed]]))-1)</f>
        <v>19</v>
      </c>
      <c r="R5074" s="175" t="s">
        <v>489</v>
      </c>
      <c r="S5074" s="150"/>
    </row>
    <row r="5075" spans="1:19" hidden="1">
      <c r="A5075" s="149" t="s">
        <v>7304</v>
      </c>
      <c r="B5075" s="150" t="str">
        <f>IFERROR(VLOOKUP(Proc[[#This Row],[App]],Table2[],3,0),"open")</f>
        <v>ok</v>
      </c>
      <c r="C5075" s="149" t="s">
        <v>369</v>
      </c>
      <c r="D5075" t="s">
        <v>7316</v>
      </c>
      <c r="E5075" t="s">
        <v>7337</v>
      </c>
      <c r="F5075" s="150" t="s">
        <v>7337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6435</v>
      </c>
      <c r="M5075" s="175">
        <v>45999</v>
      </c>
      <c r="N5075" s="175"/>
      <c r="O5075" s="175"/>
      <c r="P5075" s="175" t="str">
        <f ca="1">IF(Proc[[#This Row],[DaysAgeing]]&gt;5,"yep","on track")</f>
        <v>yep</v>
      </c>
      <c r="Q5075" s="3">
        <f ca="1">IF(Proc[[#This Row],[DateClosed]]="",ABS(NETWORKDAYS(Proc[[#This Row],[DateOpened]],TODAY()))-1,ABS(NETWORKDAYS(Proc[[#This Row],[DateOpened]],Proc[[#This Row],[DateClosed]]))-1)</f>
        <v>19</v>
      </c>
      <c r="R5075" s="175" t="s">
        <v>489</v>
      </c>
      <c r="S5075" s="150"/>
    </row>
    <row r="5076" spans="1:19" hidden="1">
      <c r="A5076" s="149" t="s">
        <v>7304</v>
      </c>
      <c r="B5076" s="150" t="str">
        <f>IFERROR(VLOOKUP(Proc[[#This Row],[App]],Table2[],3,0),"open")</f>
        <v>ok</v>
      </c>
      <c r="C5076" s="149" t="s">
        <v>369</v>
      </c>
      <c r="D5076" t="s">
        <v>7317</v>
      </c>
      <c r="E5076" t="s">
        <v>7337</v>
      </c>
      <c r="F5076" s="150" t="s">
        <v>7337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6435</v>
      </c>
      <c r="M5076" s="175">
        <v>45999</v>
      </c>
      <c r="N5076" s="175"/>
      <c r="O5076" s="175"/>
      <c r="P5076" s="175" t="str">
        <f ca="1">IF(Proc[[#This Row],[DaysAgeing]]&gt;5,"yep","on track")</f>
        <v>yep</v>
      </c>
      <c r="Q5076" s="3">
        <f ca="1">IF(Proc[[#This Row],[DateClosed]]="",ABS(NETWORKDAYS(Proc[[#This Row],[DateOpened]],TODAY()))-1,ABS(NETWORKDAYS(Proc[[#This Row],[DateOpened]],Proc[[#This Row],[DateClosed]]))-1)</f>
        <v>19</v>
      </c>
      <c r="R5076" s="175" t="s">
        <v>489</v>
      </c>
      <c r="S5076" s="150"/>
    </row>
    <row r="5077" spans="1:19" hidden="1">
      <c r="A5077" s="149" t="s">
        <v>7304</v>
      </c>
      <c r="B5077" s="150" t="str">
        <f>IFERROR(VLOOKUP(Proc[[#This Row],[App]],Table2[],3,0),"open")</f>
        <v>ok</v>
      </c>
      <c r="C5077" s="149" t="s">
        <v>369</v>
      </c>
      <c r="D5077" t="s">
        <v>7318</v>
      </c>
      <c r="E5077" t="s">
        <v>6956</v>
      </c>
      <c r="F5077" s="150" t="s">
        <v>6956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6435</v>
      </c>
      <c r="M5077" s="175">
        <v>45999</v>
      </c>
      <c r="N5077" s="175"/>
      <c r="O5077" s="175"/>
      <c r="P5077" s="175" t="str">
        <f ca="1">IF(Proc[[#This Row],[DaysAgeing]]&gt;5,"yep","on track")</f>
        <v>yep</v>
      </c>
      <c r="Q5077" s="3">
        <f ca="1">IF(Proc[[#This Row],[DateClosed]]="",ABS(NETWORKDAYS(Proc[[#This Row],[DateOpened]],TODAY()))-1,ABS(NETWORKDAYS(Proc[[#This Row],[DateOpened]],Proc[[#This Row],[DateClosed]]))-1)</f>
        <v>19</v>
      </c>
      <c r="R5077" s="175" t="s">
        <v>489</v>
      </c>
      <c r="S5077" s="150"/>
    </row>
    <row r="5078" spans="1:19" hidden="1">
      <c r="A5078" s="149" t="s">
        <v>7304</v>
      </c>
      <c r="B5078" s="150" t="str">
        <f>IFERROR(VLOOKUP(Proc[[#This Row],[App]],Table2[],3,0),"open")</f>
        <v>ok</v>
      </c>
      <c r="C5078" s="149" t="s">
        <v>369</v>
      </c>
      <c r="D5078" t="s">
        <v>7319</v>
      </c>
      <c r="E5078" t="s">
        <v>7338</v>
      </c>
      <c r="F5078" s="150" t="s">
        <v>7338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6435</v>
      </c>
      <c r="M5078" s="175">
        <v>45999</v>
      </c>
      <c r="N5078" s="175"/>
      <c r="O5078" s="175"/>
      <c r="P5078" s="175" t="str">
        <f ca="1">IF(Proc[[#This Row],[DaysAgeing]]&gt;5,"yep","on track")</f>
        <v>yep</v>
      </c>
      <c r="Q5078" s="3">
        <f ca="1">IF(Proc[[#This Row],[DateClosed]]="",ABS(NETWORKDAYS(Proc[[#This Row],[DateOpened]],TODAY()))-1,ABS(NETWORKDAYS(Proc[[#This Row],[DateOpened]],Proc[[#This Row],[DateClosed]]))-1)</f>
        <v>19</v>
      </c>
      <c r="R5078" s="175" t="s">
        <v>489</v>
      </c>
      <c r="S5078" s="150"/>
    </row>
    <row r="5079" spans="1:19" hidden="1">
      <c r="A5079" s="149" t="s">
        <v>7304</v>
      </c>
      <c r="B5079" s="150" t="str">
        <f>IFERROR(VLOOKUP(Proc[[#This Row],[App]],Table2[],3,0),"open")</f>
        <v>ok</v>
      </c>
      <c r="C5079" s="149" t="s">
        <v>369</v>
      </c>
      <c r="D5079" t="s">
        <v>7320</v>
      </c>
      <c r="E5079" t="s">
        <v>7338</v>
      </c>
      <c r="F5079" s="150" t="s">
        <v>7338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6435</v>
      </c>
      <c r="M5079" s="175">
        <v>45999</v>
      </c>
      <c r="N5079" s="175"/>
      <c r="O5079" s="175"/>
      <c r="P5079" s="175" t="str">
        <f ca="1">IF(Proc[[#This Row],[DaysAgeing]]&gt;5,"yep","on track")</f>
        <v>yep</v>
      </c>
      <c r="Q5079" s="3">
        <f ca="1">IF(Proc[[#This Row],[DateClosed]]="",ABS(NETWORKDAYS(Proc[[#This Row],[DateOpened]],TODAY()))-1,ABS(NETWORKDAYS(Proc[[#This Row],[DateOpened]],Proc[[#This Row],[DateClosed]]))-1)</f>
        <v>19</v>
      </c>
      <c r="R5079" s="175" t="s">
        <v>489</v>
      </c>
      <c r="S5079" s="150"/>
    </row>
    <row r="5080" spans="1:19" hidden="1">
      <c r="A5080" s="149" t="s">
        <v>7304</v>
      </c>
      <c r="B5080" s="150" t="str">
        <f>IFERROR(VLOOKUP(Proc[[#This Row],[App]],Table2[],3,0),"open")</f>
        <v>ok</v>
      </c>
      <c r="C5080" s="149" t="s">
        <v>369</v>
      </c>
      <c r="D5080" t="s">
        <v>7321</v>
      </c>
      <c r="E5080" t="s">
        <v>7338</v>
      </c>
      <c r="F5080" s="150" t="s">
        <v>7338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6435</v>
      </c>
      <c r="M5080" s="175">
        <v>45999</v>
      </c>
      <c r="N5080" s="175"/>
      <c r="O5080" s="175"/>
      <c r="P5080" s="175" t="str">
        <f ca="1">IF(Proc[[#This Row],[DaysAgeing]]&gt;5,"yep","on track")</f>
        <v>yep</v>
      </c>
      <c r="Q5080" s="3">
        <f ca="1">IF(Proc[[#This Row],[DateClosed]]="",ABS(NETWORKDAYS(Proc[[#This Row],[DateOpened]],TODAY()))-1,ABS(NETWORKDAYS(Proc[[#This Row],[DateOpened]],Proc[[#This Row],[DateClosed]]))-1)</f>
        <v>19</v>
      </c>
      <c r="R5080" s="175" t="s">
        <v>489</v>
      </c>
      <c r="S5080" s="150"/>
    </row>
    <row r="5081" spans="1:19" hidden="1">
      <c r="A5081" s="149" t="s">
        <v>7304</v>
      </c>
      <c r="B5081" s="150" t="str">
        <f>IFERROR(VLOOKUP(Proc[[#This Row],[App]],Table2[],3,0),"open")</f>
        <v>ok</v>
      </c>
      <c r="C5081" s="149" t="s">
        <v>369</v>
      </c>
      <c r="D5081" t="s">
        <v>7322</v>
      </c>
      <c r="E5081" t="s">
        <v>7338</v>
      </c>
      <c r="F5081" s="150" t="s">
        <v>7338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6435</v>
      </c>
      <c r="M5081" s="175">
        <v>45999</v>
      </c>
      <c r="N5081" s="175"/>
      <c r="O5081" s="175"/>
      <c r="P5081" s="175" t="str">
        <f ca="1">IF(Proc[[#This Row],[DaysAgeing]]&gt;5,"yep","on track")</f>
        <v>yep</v>
      </c>
      <c r="Q5081" s="3">
        <f ca="1">IF(Proc[[#This Row],[DateClosed]]="",ABS(NETWORKDAYS(Proc[[#This Row],[DateOpened]],TODAY()))-1,ABS(NETWORKDAYS(Proc[[#This Row],[DateOpened]],Proc[[#This Row],[DateClosed]]))-1)</f>
        <v>19</v>
      </c>
      <c r="R5081" s="175" t="s">
        <v>489</v>
      </c>
      <c r="S5081" s="150"/>
    </row>
    <row r="5082" spans="1:19" hidden="1">
      <c r="A5082" s="149" t="s">
        <v>7304</v>
      </c>
      <c r="B5082" s="150" t="str">
        <f>IFERROR(VLOOKUP(Proc[[#This Row],[App]],Table2[],3,0),"open")</f>
        <v>ok</v>
      </c>
      <c r="C5082" s="149" t="s">
        <v>369</v>
      </c>
      <c r="D5082" t="s">
        <v>7323</v>
      </c>
      <c r="E5082" t="s">
        <v>7338</v>
      </c>
      <c r="F5082" s="150" t="s">
        <v>7338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6435</v>
      </c>
      <c r="M5082" s="175">
        <v>45999</v>
      </c>
      <c r="N5082" s="175"/>
      <c r="O5082" s="175"/>
      <c r="P5082" s="175" t="str">
        <f ca="1">IF(Proc[[#This Row],[DaysAgeing]]&gt;5,"yep","on track")</f>
        <v>yep</v>
      </c>
      <c r="Q5082" s="3">
        <f ca="1">IF(Proc[[#This Row],[DateClosed]]="",ABS(NETWORKDAYS(Proc[[#This Row],[DateOpened]],TODAY()))-1,ABS(NETWORKDAYS(Proc[[#This Row],[DateOpened]],Proc[[#This Row],[DateClosed]]))-1)</f>
        <v>19</v>
      </c>
      <c r="R5082" s="175" t="s">
        <v>489</v>
      </c>
      <c r="S5082" s="150"/>
    </row>
    <row r="5083" spans="1:19" hidden="1">
      <c r="A5083" s="149" t="s">
        <v>7304</v>
      </c>
      <c r="B5083" s="150" t="str">
        <f>IFERROR(VLOOKUP(Proc[[#This Row],[App]],Table2[],3,0),"open")</f>
        <v>ok</v>
      </c>
      <c r="C5083" s="149" t="s">
        <v>369</v>
      </c>
      <c r="D5083" t="s">
        <v>7324</v>
      </c>
      <c r="E5083" t="s">
        <v>7338</v>
      </c>
      <c r="F5083" s="150" t="s">
        <v>7338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6435</v>
      </c>
      <c r="M5083" s="175">
        <v>45999</v>
      </c>
      <c r="N5083" s="175"/>
      <c r="O5083" s="175"/>
      <c r="P5083" s="175" t="str">
        <f ca="1">IF(Proc[[#This Row],[DaysAgeing]]&gt;5,"yep","on track")</f>
        <v>yep</v>
      </c>
      <c r="Q5083" s="3">
        <f ca="1">IF(Proc[[#This Row],[DateClosed]]="",ABS(NETWORKDAYS(Proc[[#This Row],[DateOpened]],TODAY()))-1,ABS(NETWORKDAYS(Proc[[#This Row],[DateOpened]],Proc[[#This Row],[DateClosed]]))-1)</f>
        <v>19</v>
      </c>
      <c r="R5083" s="175" t="s">
        <v>489</v>
      </c>
      <c r="S5083" s="150"/>
    </row>
    <row r="5084" spans="1:19" hidden="1">
      <c r="A5084" s="149" t="s">
        <v>7304</v>
      </c>
      <c r="B5084" s="150" t="str">
        <f>IFERROR(VLOOKUP(Proc[[#This Row],[App]],Table2[],3,0),"open")</f>
        <v>ok</v>
      </c>
      <c r="C5084" s="149" t="s">
        <v>369</v>
      </c>
      <c r="D5084" t="s">
        <v>7325</v>
      </c>
      <c r="E5084" t="s">
        <v>7338</v>
      </c>
      <c r="F5084" s="150" t="s">
        <v>7338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6435</v>
      </c>
      <c r="M5084" s="175">
        <v>45999</v>
      </c>
      <c r="N5084" s="175"/>
      <c r="O5084" s="175"/>
      <c r="P5084" s="175" t="str">
        <f ca="1">IF(Proc[[#This Row],[DaysAgeing]]&gt;5,"yep","on track")</f>
        <v>yep</v>
      </c>
      <c r="Q5084" s="3">
        <f ca="1">IF(Proc[[#This Row],[DateClosed]]="",ABS(NETWORKDAYS(Proc[[#This Row],[DateOpened]],TODAY()))-1,ABS(NETWORKDAYS(Proc[[#This Row],[DateOpened]],Proc[[#This Row],[DateClosed]]))-1)</f>
        <v>19</v>
      </c>
      <c r="R5084" s="175" t="s">
        <v>489</v>
      </c>
      <c r="S5084" s="150"/>
    </row>
    <row r="5085" spans="1:19" hidden="1">
      <c r="A5085" s="149" t="s">
        <v>7304</v>
      </c>
      <c r="B5085" s="150" t="str">
        <f>IFERROR(VLOOKUP(Proc[[#This Row],[App]],Table2[],3,0),"open")</f>
        <v>ok</v>
      </c>
      <c r="C5085" s="149" t="s">
        <v>369</v>
      </c>
      <c r="D5085" t="s">
        <v>7326</v>
      </c>
      <c r="E5085" t="s">
        <v>7338</v>
      </c>
      <c r="F5085" s="150" t="s">
        <v>7338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6435</v>
      </c>
      <c r="M5085" s="175">
        <v>45999</v>
      </c>
      <c r="N5085" s="175"/>
      <c r="O5085" s="175"/>
      <c r="P5085" s="175" t="str">
        <f ca="1">IF(Proc[[#This Row],[DaysAgeing]]&gt;5,"yep","on track")</f>
        <v>yep</v>
      </c>
      <c r="Q5085" s="3">
        <f ca="1">IF(Proc[[#This Row],[DateClosed]]="",ABS(NETWORKDAYS(Proc[[#This Row],[DateOpened]],TODAY()))-1,ABS(NETWORKDAYS(Proc[[#This Row],[DateOpened]],Proc[[#This Row],[DateClosed]]))-1)</f>
        <v>19</v>
      </c>
      <c r="R5085" s="175" t="s">
        <v>489</v>
      </c>
      <c r="S5085" s="150"/>
    </row>
    <row r="5086" spans="1:19" hidden="1">
      <c r="A5086" s="149" t="s">
        <v>7304</v>
      </c>
      <c r="B5086" s="150" t="str">
        <f>IFERROR(VLOOKUP(Proc[[#This Row],[App]],Table2[],3,0),"open")</f>
        <v>ok</v>
      </c>
      <c r="C5086" s="149" t="s">
        <v>369</v>
      </c>
      <c r="D5086" t="s">
        <v>7327</v>
      </c>
      <c r="E5086" t="s">
        <v>7339</v>
      </c>
      <c r="F5086" s="150" t="s">
        <v>7339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6435</v>
      </c>
      <c r="M5086" s="175">
        <v>45999</v>
      </c>
      <c r="N5086" s="175"/>
      <c r="O5086" s="175"/>
      <c r="P5086" s="175" t="str">
        <f ca="1">IF(Proc[[#This Row],[DaysAgeing]]&gt;5,"yep","on track")</f>
        <v>yep</v>
      </c>
      <c r="Q5086" s="3">
        <f ca="1">IF(Proc[[#This Row],[DateClosed]]="",ABS(NETWORKDAYS(Proc[[#This Row],[DateOpened]],TODAY()))-1,ABS(NETWORKDAYS(Proc[[#This Row],[DateOpened]],Proc[[#This Row],[DateClosed]]))-1)</f>
        <v>19</v>
      </c>
      <c r="R5086" s="175" t="s">
        <v>489</v>
      </c>
      <c r="S5086" s="150"/>
    </row>
    <row r="5087" spans="1:19" hidden="1">
      <c r="A5087" s="149" t="s">
        <v>7304</v>
      </c>
      <c r="B5087" s="150" t="str">
        <f>IFERROR(VLOOKUP(Proc[[#This Row],[App]],Table2[],3,0),"open")</f>
        <v>ok</v>
      </c>
      <c r="C5087" s="149" t="s">
        <v>369</v>
      </c>
      <c r="D5087" t="s">
        <v>7328</v>
      </c>
      <c r="E5087" t="s">
        <v>7340</v>
      </c>
      <c r="F5087" s="150" t="s">
        <v>7340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6435</v>
      </c>
      <c r="M5087" s="175">
        <v>45999</v>
      </c>
      <c r="N5087" s="175"/>
      <c r="O5087" s="175"/>
      <c r="P5087" s="175" t="str">
        <f ca="1">IF(Proc[[#This Row],[DaysAgeing]]&gt;5,"yep","on track")</f>
        <v>yep</v>
      </c>
      <c r="Q5087" s="3">
        <f ca="1">IF(Proc[[#This Row],[DateClosed]]="",ABS(NETWORKDAYS(Proc[[#This Row],[DateOpened]],TODAY()))-1,ABS(NETWORKDAYS(Proc[[#This Row],[DateOpened]],Proc[[#This Row],[DateClosed]]))-1)</f>
        <v>19</v>
      </c>
      <c r="R5087" s="175" t="s">
        <v>489</v>
      </c>
      <c r="S5087" s="150"/>
    </row>
    <row r="5088" spans="1:19" hidden="1">
      <c r="A5088" s="149" t="s">
        <v>7304</v>
      </c>
      <c r="B5088" s="150" t="str">
        <f>IFERROR(VLOOKUP(Proc[[#This Row],[App]],Table2[],3,0),"open")</f>
        <v>ok</v>
      </c>
      <c r="C5088" s="149" t="s">
        <v>369</v>
      </c>
      <c r="D5088" t="s">
        <v>7329</v>
      </c>
      <c r="E5088" t="s">
        <v>7341</v>
      </c>
      <c r="F5088" s="150" t="s">
        <v>7341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6435</v>
      </c>
      <c r="M5088" s="175">
        <v>45999</v>
      </c>
      <c r="N5088" s="175"/>
      <c r="O5088" s="175"/>
      <c r="P5088" s="175" t="str">
        <f ca="1">IF(Proc[[#This Row],[DaysAgeing]]&gt;5,"yep","on track")</f>
        <v>yep</v>
      </c>
      <c r="Q5088" s="3">
        <f ca="1">IF(Proc[[#This Row],[DateClosed]]="",ABS(NETWORKDAYS(Proc[[#This Row],[DateOpened]],TODAY()))-1,ABS(NETWORKDAYS(Proc[[#This Row],[DateOpened]],Proc[[#This Row],[DateClosed]]))-1)</f>
        <v>19</v>
      </c>
      <c r="R5088" s="175" t="s">
        <v>489</v>
      </c>
      <c r="S5088" s="150"/>
    </row>
    <row r="5089" spans="1:19" hidden="1">
      <c r="A5089" s="149" t="s">
        <v>7304</v>
      </c>
      <c r="B5089" s="150" t="str">
        <f>IFERROR(VLOOKUP(Proc[[#This Row],[App]],Table2[],3,0),"open")</f>
        <v>ok</v>
      </c>
      <c r="C5089" s="149" t="s">
        <v>369</v>
      </c>
      <c r="D5089" t="s">
        <v>7330</v>
      </c>
      <c r="E5089" t="s">
        <v>4100</v>
      </c>
      <c r="F5089" s="150" t="s">
        <v>4100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6435</v>
      </c>
      <c r="M5089" s="175">
        <v>45999</v>
      </c>
      <c r="N5089" s="175"/>
      <c r="O5089" s="175"/>
      <c r="P5089" s="175" t="str">
        <f ca="1">IF(Proc[[#This Row],[DaysAgeing]]&gt;5,"yep","on track")</f>
        <v>yep</v>
      </c>
      <c r="Q5089" s="3">
        <f ca="1">IF(Proc[[#This Row],[DateClosed]]="",ABS(NETWORKDAYS(Proc[[#This Row],[DateOpened]],TODAY()))-1,ABS(NETWORKDAYS(Proc[[#This Row],[DateOpened]],Proc[[#This Row],[DateClosed]]))-1)</f>
        <v>19</v>
      </c>
      <c r="R5089" s="175" t="s">
        <v>489</v>
      </c>
      <c r="S5089" s="150"/>
    </row>
    <row r="5090" spans="1:19" hidden="1">
      <c r="A5090" t="s">
        <v>7343</v>
      </c>
      <c r="B5090" s="150" t="str">
        <f>IFERROR(VLOOKUP(Proc[[#This Row],[App]],Table2[],3,0),"open")</f>
        <v>open</v>
      </c>
      <c r="C5090" s="149" t="s">
        <v>692</v>
      </c>
      <c r="D5090" t="s">
        <v>7342</v>
      </c>
      <c r="E5090" t="s">
        <v>4829</v>
      </c>
      <c r="F5090" s="150" t="s">
        <v>7407</v>
      </c>
      <c r="G5090" s="149" t="s">
        <v>400</v>
      </c>
      <c r="H5090" s="150" t="str">
        <f>IF(Proc[[#This Row],[type]]="LFF (MDG-F)",MID(Proc[[#This Row],[Obj]],13,10),"")</f>
        <v/>
      </c>
      <c r="J5090" s="150" t="b">
        <f>Proc[[#This Row],[Requested]]=Proc[[#This Row],[CurrentParent]]</f>
        <v>0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6435</v>
      </c>
      <c r="M5090" s="175">
        <v>45999</v>
      </c>
      <c r="N5090" s="175"/>
      <c r="O5090" s="175"/>
      <c r="P5090" s="175" t="str">
        <f ca="1">IF(Proc[[#This Row],[DaysAgeing]]&gt;5,"yep","on track")</f>
        <v>yep</v>
      </c>
      <c r="Q5090" s="3">
        <f ca="1">IF(Proc[[#This Row],[DateClosed]]="",ABS(NETWORKDAYS(Proc[[#This Row],[DateOpened]],TODAY()))-1,ABS(NETWORKDAYS(Proc[[#This Row],[DateOpened]],Proc[[#This Row],[DateClosed]]))-1)</f>
        <v>19</v>
      </c>
      <c r="R5090" s="175" t="s">
        <v>415</v>
      </c>
      <c r="S5090" s="150"/>
    </row>
    <row r="5091" spans="1:19" hidden="1">
      <c r="A5091" t="s">
        <v>7352</v>
      </c>
      <c r="B5091" s="150" t="str">
        <f>IFERROR(VLOOKUP(Proc[[#This Row],[App]],Table2[],3,0),"open")</f>
        <v>ok</v>
      </c>
      <c r="C5091" s="149" t="s">
        <v>369</v>
      </c>
      <c r="D5091" t="s">
        <v>7344</v>
      </c>
      <c r="E5091" t="s">
        <v>7349</v>
      </c>
      <c r="F5091" s="150" t="s">
        <v>7349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6435</v>
      </c>
      <c r="M5091" s="175">
        <v>45999</v>
      </c>
      <c r="N5091" s="175"/>
      <c r="O5091" s="175"/>
      <c r="P5091" s="175" t="str">
        <f ca="1">IF(Proc[[#This Row],[DaysAgeing]]&gt;5,"yep","on track")</f>
        <v>yep</v>
      </c>
      <c r="Q5091" s="3">
        <f ca="1">IF(Proc[[#This Row],[DateClosed]]="",ABS(NETWORKDAYS(Proc[[#This Row],[DateOpened]],TODAY()))-1,ABS(NETWORKDAYS(Proc[[#This Row],[DateOpened]],Proc[[#This Row],[DateClosed]]))-1)</f>
        <v>19</v>
      </c>
      <c r="R5091" s="175" t="s">
        <v>489</v>
      </c>
      <c r="S5091" s="150"/>
    </row>
    <row r="5092" spans="1:19" hidden="1">
      <c r="A5092" s="149" t="s">
        <v>7352</v>
      </c>
      <c r="B5092" s="150" t="str">
        <f>IFERROR(VLOOKUP(Proc[[#This Row],[App]],Table2[],3,0),"open")</f>
        <v>ok</v>
      </c>
      <c r="C5092" s="149" t="s">
        <v>369</v>
      </c>
      <c r="D5092" t="s">
        <v>7345</v>
      </c>
      <c r="E5092" t="s">
        <v>7350</v>
      </c>
      <c r="F5092" s="149" t="s">
        <v>7350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6435</v>
      </c>
      <c r="M5092" s="175">
        <v>45999</v>
      </c>
      <c r="N5092" s="175"/>
      <c r="O5092" s="175"/>
      <c r="P5092" s="175" t="str">
        <f ca="1">IF(Proc[[#This Row],[DaysAgeing]]&gt;5,"yep","on track")</f>
        <v>yep</v>
      </c>
      <c r="Q5092" s="3">
        <f ca="1">IF(Proc[[#This Row],[DateClosed]]="",ABS(NETWORKDAYS(Proc[[#This Row],[DateOpened]],TODAY()))-1,ABS(NETWORKDAYS(Proc[[#This Row],[DateOpened]],Proc[[#This Row],[DateClosed]]))-1)</f>
        <v>19</v>
      </c>
      <c r="R5092" s="175" t="s">
        <v>489</v>
      </c>
      <c r="S5092" s="150"/>
    </row>
    <row r="5093" spans="1:19" hidden="1">
      <c r="A5093" s="149" t="s">
        <v>7352</v>
      </c>
      <c r="B5093" s="150" t="str">
        <f>IFERROR(VLOOKUP(Proc[[#This Row],[App]],Table2[],3,0),"open")</f>
        <v>ok</v>
      </c>
      <c r="C5093" s="149" t="s">
        <v>369</v>
      </c>
      <c r="D5093" t="s">
        <v>7346</v>
      </c>
      <c r="E5093" t="s">
        <v>7350</v>
      </c>
      <c r="F5093" s="150" t="s">
        <v>7350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6435</v>
      </c>
      <c r="M5093" s="175">
        <v>45999</v>
      </c>
      <c r="N5093" s="175"/>
      <c r="O5093" s="175"/>
      <c r="P5093" s="175" t="str">
        <f ca="1">IF(Proc[[#This Row],[DaysAgeing]]&gt;5,"yep","on track")</f>
        <v>yep</v>
      </c>
      <c r="Q5093" s="3">
        <f ca="1">IF(Proc[[#This Row],[DateClosed]]="",ABS(NETWORKDAYS(Proc[[#This Row],[DateOpened]],TODAY()))-1,ABS(NETWORKDAYS(Proc[[#This Row],[DateOpened]],Proc[[#This Row],[DateClosed]]))-1)</f>
        <v>19</v>
      </c>
      <c r="R5093" s="175" t="s">
        <v>489</v>
      </c>
      <c r="S5093" s="150"/>
    </row>
    <row r="5094" spans="1:19" hidden="1">
      <c r="A5094" s="149" t="s">
        <v>7352</v>
      </c>
      <c r="B5094" s="150" t="str">
        <f>IFERROR(VLOOKUP(Proc[[#This Row],[App]],Table2[],3,0),"open")</f>
        <v>ok</v>
      </c>
      <c r="C5094" s="149" t="s">
        <v>369</v>
      </c>
      <c r="D5094" t="s">
        <v>7347</v>
      </c>
      <c r="E5094" t="s">
        <v>7350</v>
      </c>
      <c r="F5094" s="150" t="s">
        <v>7350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6435</v>
      </c>
      <c r="M5094" s="175">
        <v>45999</v>
      </c>
      <c r="N5094" s="175"/>
      <c r="O5094" s="175"/>
      <c r="P5094" s="175" t="str">
        <f ca="1">IF(Proc[[#This Row],[DaysAgeing]]&gt;5,"yep","on track")</f>
        <v>yep</v>
      </c>
      <c r="Q5094" s="3">
        <f ca="1">IF(Proc[[#This Row],[DateClosed]]="",ABS(NETWORKDAYS(Proc[[#This Row],[DateOpened]],TODAY()))-1,ABS(NETWORKDAYS(Proc[[#This Row],[DateOpened]],Proc[[#This Row],[DateClosed]]))-1)</f>
        <v>19</v>
      </c>
      <c r="R5094" s="175" t="s">
        <v>489</v>
      </c>
      <c r="S5094" s="150"/>
    </row>
    <row r="5095" spans="1:19" hidden="1">
      <c r="A5095" s="149" t="s">
        <v>7352</v>
      </c>
      <c r="B5095" s="150" t="str">
        <f>IFERROR(VLOOKUP(Proc[[#This Row],[App]],Table2[],3,0),"open")</f>
        <v>ok</v>
      </c>
      <c r="C5095" s="149" t="s">
        <v>369</v>
      </c>
      <c r="D5095" t="s">
        <v>7348</v>
      </c>
      <c r="E5095" t="s">
        <v>7351</v>
      </c>
      <c r="F5095" s="150" t="s">
        <v>7351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6435</v>
      </c>
      <c r="M5095" s="175">
        <v>45999</v>
      </c>
      <c r="N5095" s="175"/>
      <c r="O5095" s="175"/>
      <c r="P5095" s="175" t="str">
        <f ca="1">IF(Proc[[#This Row],[DaysAgeing]]&gt;5,"yep","on track")</f>
        <v>yep</v>
      </c>
      <c r="Q5095" s="3">
        <f ca="1">IF(Proc[[#This Row],[DateClosed]]="",ABS(NETWORKDAYS(Proc[[#This Row],[DateOpened]],TODAY()))-1,ABS(NETWORKDAYS(Proc[[#This Row],[DateOpened]],Proc[[#This Row],[DateClosed]]))-1)</f>
        <v>19</v>
      </c>
      <c r="R5095" s="175" t="s">
        <v>489</v>
      </c>
      <c r="S5095" s="150"/>
    </row>
    <row r="5096" spans="1:19" hidden="1">
      <c r="A5096" t="s">
        <v>7353</v>
      </c>
      <c r="B5096" s="150" t="str">
        <f>IFERROR(VLOOKUP(Proc[[#This Row],[App]],Table2[],3,0),"open")</f>
        <v>ok</v>
      </c>
      <c r="C5096" s="149" t="s">
        <v>369</v>
      </c>
      <c r="D5096" t="s">
        <v>7354</v>
      </c>
      <c r="E5096" t="s">
        <v>419</v>
      </c>
      <c r="F5096" s="150" t="s">
        <v>419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6435</v>
      </c>
      <c r="M5096" s="175">
        <v>46001</v>
      </c>
      <c r="N5096" s="175"/>
      <c r="O5096" s="175"/>
      <c r="P5096" s="175" t="str">
        <f ca="1">IF(Proc[[#This Row],[DaysAgeing]]&gt;5,"yep","on track")</f>
        <v>yep</v>
      </c>
      <c r="Q5096" s="3">
        <f ca="1">IF(Proc[[#This Row],[DateClosed]]="",ABS(NETWORKDAYS(Proc[[#This Row],[DateOpened]],TODAY()))-1,ABS(NETWORKDAYS(Proc[[#This Row],[DateOpened]],Proc[[#This Row],[DateClosed]]))-1)</f>
        <v>17</v>
      </c>
      <c r="R5096" s="175" t="s">
        <v>5709</v>
      </c>
      <c r="S5096" s="150"/>
    </row>
    <row r="5097" spans="1:19" hidden="1">
      <c r="A5097" s="149" t="s">
        <v>7353</v>
      </c>
      <c r="B5097" s="150" t="str">
        <f>IFERROR(VLOOKUP(Proc[[#This Row],[App]],Table2[],3,0),"open")</f>
        <v>ok</v>
      </c>
      <c r="C5097" s="149" t="s">
        <v>369</v>
      </c>
      <c r="D5097" t="s">
        <v>7355</v>
      </c>
      <c r="E5097" s="149" t="s">
        <v>419</v>
      </c>
      <c r="F5097" s="150" t="s">
        <v>419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6435</v>
      </c>
      <c r="M5097" s="175">
        <v>46001</v>
      </c>
      <c r="N5097" s="175"/>
      <c r="O5097" s="175"/>
      <c r="P5097" s="175" t="str">
        <f ca="1">IF(Proc[[#This Row],[DaysAgeing]]&gt;5,"yep","on track")</f>
        <v>yep</v>
      </c>
      <c r="Q5097" s="3">
        <f ca="1">IF(Proc[[#This Row],[DateClosed]]="",ABS(NETWORKDAYS(Proc[[#This Row],[DateOpened]],TODAY()))-1,ABS(NETWORKDAYS(Proc[[#This Row],[DateOpened]],Proc[[#This Row],[DateClosed]]))-1)</f>
        <v>17</v>
      </c>
      <c r="R5097" s="175" t="s">
        <v>5709</v>
      </c>
      <c r="S5097" s="150"/>
    </row>
    <row r="5098" spans="1:19" hidden="1">
      <c r="A5098" s="149" t="s">
        <v>7353</v>
      </c>
      <c r="B5098" s="150" t="str">
        <f>IFERROR(VLOOKUP(Proc[[#This Row],[App]],Table2[],3,0),"open")</f>
        <v>ok</v>
      </c>
      <c r="C5098" s="149" t="s">
        <v>369</v>
      </c>
      <c r="D5098" t="s">
        <v>7356</v>
      </c>
      <c r="E5098" s="149" t="s">
        <v>419</v>
      </c>
      <c r="F5098" s="150" t="s">
        <v>419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6435</v>
      </c>
      <c r="M5098" s="175">
        <v>46001</v>
      </c>
      <c r="N5098" s="175"/>
      <c r="O5098" s="175"/>
      <c r="P5098" s="175" t="str">
        <f ca="1">IF(Proc[[#This Row],[DaysAgeing]]&gt;5,"yep","on track")</f>
        <v>yep</v>
      </c>
      <c r="Q5098" s="3">
        <f ca="1">IF(Proc[[#This Row],[DateClosed]]="",ABS(NETWORKDAYS(Proc[[#This Row],[DateOpened]],TODAY()))-1,ABS(NETWORKDAYS(Proc[[#This Row],[DateOpened]],Proc[[#This Row],[DateClosed]]))-1)</f>
        <v>17</v>
      </c>
      <c r="R5098" s="175" t="s">
        <v>5709</v>
      </c>
      <c r="S5098" s="150"/>
    </row>
    <row r="5099" spans="1:19" hidden="1">
      <c r="A5099" s="149" t="s">
        <v>7353</v>
      </c>
      <c r="B5099" s="150" t="str">
        <f>IFERROR(VLOOKUP(Proc[[#This Row],[App]],Table2[],3,0),"open")</f>
        <v>ok</v>
      </c>
      <c r="C5099" s="149" t="s">
        <v>369</v>
      </c>
      <c r="D5099" t="s">
        <v>7357</v>
      </c>
      <c r="E5099" s="149" t="s">
        <v>419</v>
      </c>
      <c r="F5099" s="150" t="s">
        <v>419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6435</v>
      </c>
      <c r="M5099" s="175">
        <v>46001</v>
      </c>
      <c r="N5099" s="175"/>
      <c r="O5099" s="175"/>
      <c r="P5099" s="175" t="str">
        <f ca="1">IF(Proc[[#This Row],[DaysAgeing]]&gt;5,"yep","on track")</f>
        <v>yep</v>
      </c>
      <c r="Q5099" s="3">
        <f ca="1">IF(Proc[[#This Row],[DateClosed]]="",ABS(NETWORKDAYS(Proc[[#This Row],[DateOpened]],TODAY()))-1,ABS(NETWORKDAYS(Proc[[#This Row],[DateOpened]],Proc[[#This Row],[DateClosed]]))-1)</f>
        <v>17</v>
      </c>
      <c r="R5099" s="175" t="s">
        <v>5709</v>
      </c>
      <c r="S5099" s="150"/>
    </row>
    <row r="5100" spans="1:19" hidden="1">
      <c r="A5100" s="149" t="s">
        <v>7353</v>
      </c>
      <c r="B5100" s="150" t="str">
        <f>IFERROR(VLOOKUP(Proc[[#This Row],[App]],Table2[],3,0),"open")</f>
        <v>ok</v>
      </c>
      <c r="C5100" s="149" t="s">
        <v>369</v>
      </c>
      <c r="D5100" t="s">
        <v>7358</v>
      </c>
      <c r="E5100" s="149" t="s">
        <v>419</v>
      </c>
      <c r="F5100" s="150" t="s">
        <v>419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6435</v>
      </c>
      <c r="M5100" s="175">
        <v>46001</v>
      </c>
      <c r="N5100" s="175"/>
      <c r="O5100" s="175"/>
      <c r="P5100" s="175" t="str">
        <f ca="1">IF(Proc[[#This Row],[DaysAgeing]]&gt;5,"yep","on track")</f>
        <v>yep</v>
      </c>
      <c r="Q5100" s="3">
        <f ca="1">IF(Proc[[#This Row],[DateClosed]]="",ABS(NETWORKDAYS(Proc[[#This Row],[DateOpened]],TODAY()))-1,ABS(NETWORKDAYS(Proc[[#This Row],[DateOpened]],Proc[[#This Row],[DateClosed]]))-1)</f>
        <v>17</v>
      </c>
      <c r="R5100" s="175" t="s">
        <v>5709</v>
      </c>
      <c r="S5100" s="150"/>
    </row>
    <row r="5101" spans="1:19" hidden="1">
      <c r="A5101" s="149" t="s">
        <v>7353</v>
      </c>
      <c r="B5101" s="150" t="str">
        <f>IFERROR(VLOOKUP(Proc[[#This Row],[App]],Table2[],3,0),"open")</f>
        <v>ok</v>
      </c>
      <c r="C5101" s="149" t="s">
        <v>369</v>
      </c>
      <c r="D5101" t="s">
        <v>7359</v>
      </c>
      <c r="E5101" s="149" t="s">
        <v>419</v>
      </c>
      <c r="F5101" s="150" t="s">
        <v>419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6435</v>
      </c>
      <c r="M5101" s="175">
        <v>46001</v>
      </c>
      <c r="N5101" s="175"/>
      <c r="O5101" s="175"/>
      <c r="P5101" s="175" t="str">
        <f ca="1">IF(Proc[[#This Row],[DaysAgeing]]&gt;5,"yep","on track")</f>
        <v>yep</v>
      </c>
      <c r="Q5101" s="3">
        <f ca="1">IF(Proc[[#This Row],[DateClosed]]="",ABS(NETWORKDAYS(Proc[[#This Row],[DateOpened]],TODAY()))-1,ABS(NETWORKDAYS(Proc[[#This Row],[DateOpened]],Proc[[#This Row],[DateClosed]]))-1)</f>
        <v>17</v>
      </c>
      <c r="R5101" s="175" t="s">
        <v>5709</v>
      </c>
      <c r="S5101" s="150"/>
    </row>
    <row r="5102" spans="1:19" hidden="1">
      <c r="A5102" s="149" t="s">
        <v>7353</v>
      </c>
      <c r="B5102" s="150" t="str">
        <f>IFERROR(VLOOKUP(Proc[[#This Row],[App]],Table2[],3,0),"open")</f>
        <v>ok</v>
      </c>
      <c r="C5102" s="149" t="s">
        <v>369</v>
      </c>
      <c r="D5102" t="s">
        <v>7360</v>
      </c>
      <c r="E5102" s="149" t="s">
        <v>419</v>
      </c>
      <c r="F5102" s="150" t="s">
        <v>419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6435</v>
      </c>
      <c r="M5102" s="175">
        <v>46001</v>
      </c>
      <c r="N5102" s="175"/>
      <c r="O5102" s="175"/>
      <c r="P5102" s="175" t="str">
        <f ca="1">IF(Proc[[#This Row],[DaysAgeing]]&gt;5,"yep","on track")</f>
        <v>yep</v>
      </c>
      <c r="Q5102" s="3">
        <f ca="1">IF(Proc[[#This Row],[DateClosed]]="",ABS(NETWORKDAYS(Proc[[#This Row],[DateOpened]],TODAY()))-1,ABS(NETWORKDAYS(Proc[[#This Row],[DateOpened]],Proc[[#This Row],[DateClosed]]))-1)</f>
        <v>17</v>
      </c>
      <c r="R5102" s="175" t="s">
        <v>5709</v>
      </c>
      <c r="S5102" s="150"/>
    </row>
    <row r="5103" spans="1:19" hidden="1">
      <c r="A5103" s="149" t="s">
        <v>7353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">
        <v>419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6435</v>
      </c>
      <c r="M5103" s="175">
        <v>46001</v>
      </c>
      <c r="N5103" s="175"/>
      <c r="O5103" s="175"/>
      <c r="P5103" s="175" t="str">
        <f ca="1">IF(Proc[[#This Row],[DaysAgeing]]&gt;5,"yep","on track")</f>
        <v>yep</v>
      </c>
      <c r="Q5103" s="3">
        <f ca="1">IF(Proc[[#This Row],[DateClosed]]="",ABS(NETWORKDAYS(Proc[[#This Row],[DateOpened]],TODAY()))-1,ABS(NETWORKDAYS(Proc[[#This Row],[DateOpened]],Proc[[#This Row],[DateClosed]]))-1)</f>
        <v>17</v>
      </c>
      <c r="R5103" s="175" t="s">
        <v>5709</v>
      </c>
      <c r="S5103" s="150"/>
    </row>
    <row r="5104" spans="1:19" hidden="1">
      <c r="A5104" t="s">
        <v>7364</v>
      </c>
      <c r="B5104" s="150" t="str">
        <f>IFERROR(VLOOKUP(Proc[[#This Row],[App]],Table2[],3,0),"open")</f>
        <v>open</v>
      </c>
      <c r="C5104" t="s">
        <v>369</v>
      </c>
      <c r="D5104" t="s">
        <v>7366</v>
      </c>
      <c r="E5104" t="s">
        <v>7365</v>
      </c>
      <c r="F5104" s="150" t="s">
        <v>7365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1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6435</v>
      </c>
      <c r="M5104" s="176">
        <v>46003</v>
      </c>
      <c r="N5104" s="176"/>
      <c r="O5104" s="176"/>
      <c r="P5104" s="176" t="str">
        <f ca="1">IF(Proc[[#This Row],[DaysAgeing]]&gt;5,"yep","on track")</f>
        <v>yep</v>
      </c>
      <c r="Q5104" s="3">
        <f ca="1">IF(Proc[[#This Row],[DateClosed]]="",ABS(NETWORKDAYS(Proc[[#This Row],[DateOpened]],TODAY()))-1,ABS(NETWORKDAYS(Proc[[#This Row],[DateOpened]],Proc[[#This Row],[DateClosed]]))-1)</f>
        <v>15</v>
      </c>
      <c r="R5104" s="176" t="s">
        <v>780</v>
      </c>
      <c r="S5104" s="150"/>
    </row>
    <row r="5105" spans="1:19" hidden="1">
      <c r="A5105" t="s">
        <v>7364</v>
      </c>
      <c r="B5105" s="150" t="str">
        <f>IFERROR(VLOOKUP(Proc[[#This Row],[App]],Table2[],3,0),"open")</f>
        <v>open</v>
      </c>
      <c r="C5105" s="149" t="s">
        <v>692</v>
      </c>
      <c r="D5105" t="s">
        <v>7367</v>
      </c>
      <c r="E5105" t="s">
        <v>2467</v>
      </c>
      <c r="F5105" s="150" t="s">
        <v>7408</v>
      </c>
      <c r="G5105" s="149" t="s">
        <v>400</v>
      </c>
      <c r="H5105" s="150" t="str">
        <f>IF(Proc[[#This Row],[type]]="LFF (MDG-F)",MID(Proc[[#This Row],[Obj]],13,10),"")</f>
        <v/>
      </c>
      <c r="J5105" s="150" t="b">
        <f>Proc[[#This Row],[Requested]]=Proc[[#This Row],[CurrentParent]]</f>
        <v>0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6435</v>
      </c>
      <c r="M5105" s="176">
        <v>46003</v>
      </c>
      <c r="N5105" s="176"/>
      <c r="O5105" s="176"/>
      <c r="P5105" s="176" t="str">
        <f ca="1">IF(Proc[[#This Row],[DaysAgeing]]&gt;5,"yep","on track")</f>
        <v>yep</v>
      </c>
      <c r="Q5105" s="3">
        <f ca="1">IF(Proc[[#This Row],[DateClosed]]="",ABS(NETWORKDAYS(Proc[[#This Row],[DateOpened]],TODAY()))-1,ABS(NETWORKDAYS(Proc[[#This Row],[DateOpened]],Proc[[#This Row],[DateClosed]]))-1)</f>
        <v>15</v>
      </c>
      <c r="R5105" s="176" t="s">
        <v>780</v>
      </c>
      <c r="S5105" s="150"/>
    </row>
    <row r="5106" spans="1:19" hidden="1">
      <c r="A5106" s="149" t="s">
        <v>7364</v>
      </c>
      <c r="B5106" s="150" t="str">
        <f>IFERROR(VLOOKUP(Proc[[#This Row],[App]],Table2[],3,0),"open")</f>
        <v>open</v>
      </c>
      <c r="C5106" s="149" t="s">
        <v>369</v>
      </c>
      <c r="D5106" t="s">
        <v>7361</v>
      </c>
      <c r="E5106" t="s">
        <v>6828</v>
      </c>
      <c r="F5106" s="150" t="s">
        <v>6828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1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6435</v>
      </c>
      <c r="M5106" s="176">
        <v>46003</v>
      </c>
      <c r="N5106" s="176"/>
      <c r="O5106" s="176"/>
      <c r="P5106" s="176" t="str">
        <f ca="1">IF(Proc[[#This Row],[DaysAgeing]]&gt;5,"yep","on track")</f>
        <v>yep</v>
      </c>
      <c r="Q5106" s="3">
        <f ca="1">IF(Proc[[#This Row],[DateClosed]]="",ABS(NETWORKDAYS(Proc[[#This Row],[DateOpened]],TODAY()))-1,ABS(NETWORKDAYS(Proc[[#This Row],[DateOpened]],Proc[[#This Row],[DateClosed]]))-1)</f>
        <v>15</v>
      </c>
      <c r="R5106" s="176" t="s">
        <v>780</v>
      </c>
      <c r="S5106" s="150"/>
    </row>
    <row r="5107" spans="1:19" hidden="1">
      <c r="A5107" s="149" t="s">
        <v>7364</v>
      </c>
      <c r="B5107" s="150" t="str">
        <f>IFERROR(VLOOKUP(Proc[[#This Row],[App]],Table2[],3,0),"open")</f>
        <v>open</v>
      </c>
      <c r="C5107" s="149" t="s">
        <v>369</v>
      </c>
      <c r="D5107" t="s">
        <v>7362</v>
      </c>
      <c r="E5107" t="s">
        <v>426</v>
      </c>
      <c r="F5107" s="150" t="s">
        <v>426</v>
      </c>
      <c r="G5107" t="s">
        <v>406</v>
      </c>
      <c r="H5107" s="150" t="str">
        <f>IF(Proc[[#This Row],[type]]="LFF (MDG-F)",MID(Proc[[#This Row],[Obj]],13,10),"")</f>
        <v>DE01OF0304</v>
      </c>
      <c r="I5107" s="149"/>
      <c r="J5107" s="150" t="b">
        <f>Proc[[#This Row],[Requested]]=Proc[[#This Row],[CurrentParent]]</f>
        <v>1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6435</v>
      </c>
      <c r="M5107" s="176">
        <v>46003</v>
      </c>
      <c r="N5107" s="176"/>
      <c r="O5107" s="176"/>
      <c r="P5107" s="176" t="str">
        <f ca="1">IF(Proc[[#This Row],[DaysAgeing]]&gt;5,"yep","on track")</f>
        <v>yep</v>
      </c>
      <c r="Q5107" s="3">
        <f ca="1">IF(Proc[[#This Row],[DateClosed]]="",ABS(NETWORKDAYS(Proc[[#This Row],[DateOpened]],TODAY()))-1,ABS(NETWORKDAYS(Proc[[#This Row],[DateOpened]],Proc[[#This Row],[DateClosed]]))-1)</f>
        <v>15</v>
      </c>
      <c r="R5107" s="176" t="s">
        <v>780</v>
      </c>
      <c r="S5107" s="150"/>
    </row>
    <row r="5108" spans="1:19" hidden="1">
      <c r="A5108" s="149" t="s">
        <v>7364</v>
      </c>
      <c r="B5108" s="150" t="str">
        <f>IFERROR(VLOOKUP(Proc[[#This Row],[App]],Table2[],3,0),"open")</f>
        <v>open</v>
      </c>
      <c r="C5108" s="149" t="s">
        <v>369</v>
      </c>
      <c r="D5108" t="s">
        <v>7363</v>
      </c>
      <c r="E5108" t="s">
        <v>426</v>
      </c>
      <c r="F5108" s="150" t="s">
        <v>426</v>
      </c>
      <c r="G5108" t="s">
        <v>406</v>
      </c>
      <c r="H5108" s="150" t="str">
        <f>IF(Proc[[#This Row],[type]]="LFF (MDG-F)",MID(Proc[[#This Row],[Obj]],13,10),"")</f>
        <v>TW02TPTA14</v>
      </c>
      <c r="I5108" s="149"/>
      <c r="J5108" s="150" t="b">
        <f>Proc[[#This Row],[Requested]]=Proc[[#This Row],[CurrentParent]]</f>
        <v>1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6435</v>
      </c>
      <c r="M5108" s="176">
        <v>46003</v>
      </c>
      <c r="N5108" s="176"/>
      <c r="O5108" s="176"/>
      <c r="P5108" s="176" t="str">
        <f ca="1">IF(Proc[[#This Row],[DaysAgeing]]&gt;5,"yep","on track")</f>
        <v>yep</v>
      </c>
      <c r="Q5108" s="3">
        <f ca="1">IF(Proc[[#This Row],[DateClosed]]="",ABS(NETWORKDAYS(Proc[[#This Row],[DateOpened]],TODAY()))-1,ABS(NETWORKDAYS(Proc[[#This Row],[DateOpened]],Proc[[#This Row],[DateClosed]]))-1)</f>
        <v>15</v>
      </c>
      <c r="R5108" s="176" t="s">
        <v>780</v>
      </c>
      <c r="S5108" s="150"/>
    </row>
    <row r="5109" spans="1:19" hidden="1">
      <c r="A5109" t="s">
        <v>7371</v>
      </c>
      <c r="B5109" s="150" t="str">
        <f>IFERROR(VLOOKUP(Proc[[#This Row],[App]],Table2[],3,0),"open")</f>
        <v>ok</v>
      </c>
      <c r="C5109" s="149" t="s">
        <v>369</v>
      </c>
      <c r="D5109" t="s">
        <v>7368</v>
      </c>
      <c r="E5109" t="s">
        <v>7372</v>
      </c>
      <c r="F5109" s="150" t="s">
        <v>7372</v>
      </c>
      <c r="G5109" t="s">
        <v>400</v>
      </c>
      <c r="H5109" s="150" t="str">
        <f>IF(Proc[[#This Row],[type]]="LFF (MDG-F)",MID(Proc[[#This Row],[Obj]],13,10),"")</f>
        <v/>
      </c>
      <c r="J5109" s="150" t="b">
        <f>Proc[[#This Row],[Requested]]=Proc[[#This Row],[CurrentParent]]</f>
        <v>1</v>
      </c>
      <c r="K5109" s="150" t="str">
        <f>IF(Proc[[#This Row],[Author]]="Marcela Urrego",VLOOKUP(LEFT(Proc[[#This Row],[Requested]],1),Table3[#All],2,0),VLOOKUP(Proc[[#This Row],[Author]],Table4[],2,0))</f>
        <v>LS</v>
      </c>
      <c r="L5109" s="150" t="s">
        <v>6435</v>
      </c>
      <c r="M5109" s="176">
        <v>46006</v>
      </c>
      <c r="N5109" s="177"/>
      <c r="O5109" s="177"/>
      <c r="P5109" s="177" t="str">
        <f ca="1">IF(Proc[[#This Row],[DaysAgeing]]&gt;5,"yep","on track")</f>
        <v>yep</v>
      </c>
      <c r="Q5109" s="3">
        <f ca="1">IF(Proc[[#This Row],[DateClosed]]="",ABS(NETWORKDAYS(Proc[[#This Row],[DateOpened]],TODAY()))-1,ABS(NETWORKDAYS(Proc[[#This Row],[DateOpened]],Proc[[#This Row],[DateClosed]]))-1)</f>
        <v>14</v>
      </c>
      <c r="R5109" s="177" t="s">
        <v>489</v>
      </c>
      <c r="S5109" s="150"/>
    </row>
    <row r="5110" spans="1:19" hidden="1">
      <c r="A5110" t="s">
        <v>7371</v>
      </c>
      <c r="B5110" s="150" t="str">
        <f>IFERROR(VLOOKUP(Proc[[#This Row],[App]],Table2[],3,0),"open")</f>
        <v>ok</v>
      </c>
      <c r="C5110" s="149" t="s">
        <v>369</v>
      </c>
      <c r="D5110" t="s">
        <v>3472</v>
      </c>
      <c r="E5110" t="s">
        <v>6956</v>
      </c>
      <c r="F5110" s="150" t="s">
        <v>6956</v>
      </c>
      <c r="G5110" t="s">
        <v>400</v>
      </c>
      <c r="H5110" s="150" t="str">
        <f>IF(Proc[[#This Row],[type]]="LFF (MDG-F)",MID(Proc[[#This Row],[Obj]],13,10),"")</f>
        <v/>
      </c>
      <c r="J5110" s="150" t="b">
        <f>Proc[[#This Row],[Requested]]=Proc[[#This Row],[CurrentParent]]</f>
        <v>1</v>
      </c>
      <c r="K5110" s="150" t="str">
        <f>IF(Proc[[#This Row],[Author]]="Marcela Urrego",VLOOKUP(LEFT(Proc[[#This Row],[Requested]],1),Table3[#All],2,0),VLOOKUP(Proc[[#This Row],[Author]],Table4[],2,0))</f>
        <v>LS</v>
      </c>
      <c r="L5110" s="150" t="s">
        <v>6435</v>
      </c>
      <c r="M5110" s="176">
        <v>46006</v>
      </c>
      <c r="N5110" s="177"/>
      <c r="O5110" s="177"/>
      <c r="P5110" s="177" t="str">
        <f ca="1">IF(Proc[[#This Row],[DaysAgeing]]&gt;5,"yep","on track")</f>
        <v>yep</v>
      </c>
      <c r="Q5110" s="3">
        <f ca="1">IF(Proc[[#This Row],[DateClosed]]="",ABS(NETWORKDAYS(Proc[[#This Row],[DateOpened]],TODAY()))-1,ABS(NETWORKDAYS(Proc[[#This Row],[DateOpened]],Proc[[#This Row],[DateClosed]]))-1)</f>
        <v>14</v>
      </c>
      <c r="R5110" s="177" t="s">
        <v>489</v>
      </c>
      <c r="S5110" s="150"/>
    </row>
    <row r="5111" spans="1:19" hidden="1">
      <c r="A5111" s="149" t="s">
        <v>7371</v>
      </c>
      <c r="B5111" s="150" t="str">
        <f>IFERROR(VLOOKUP(Proc[[#This Row],[App]],Table2[],3,0),"open")</f>
        <v>ok</v>
      </c>
      <c r="C5111" s="149" t="s">
        <v>369</v>
      </c>
      <c r="D5111" t="s">
        <v>3456</v>
      </c>
      <c r="E5111" t="s">
        <v>6956</v>
      </c>
      <c r="F5111" s="150" t="s">
        <v>6956</v>
      </c>
      <c r="G5111" s="149" t="s">
        <v>400</v>
      </c>
      <c r="H5111" s="150" t="str">
        <f>IF(Proc[[#This Row],[type]]="LFF (MDG-F)",MID(Proc[[#This Row],[Obj]],13,10),"")</f>
        <v/>
      </c>
      <c r="J5111" s="150" t="b">
        <f>Proc[[#This Row],[Requested]]=Proc[[#This Row],[CurrentParent]]</f>
        <v>1</v>
      </c>
      <c r="K5111" s="150" t="str">
        <f>IF(Proc[[#This Row],[Author]]="Marcela Urrego",VLOOKUP(LEFT(Proc[[#This Row],[Requested]],1),Table3[#All],2,0),VLOOKUP(Proc[[#This Row],[Author]],Table4[],2,0))</f>
        <v>LS</v>
      </c>
      <c r="L5111" s="150" t="s">
        <v>6435</v>
      </c>
      <c r="M5111" s="176">
        <v>46006</v>
      </c>
      <c r="N5111" s="177"/>
      <c r="O5111" s="177"/>
      <c r="P5111" s="177" t="str">
        <f ca="1">IF(Proc[[#This Row],[DaysAgeing]]&gt;5,"yep","on track")</f>
        <v>yep</v>
      </c>
      <c r="Q5111" s="3">
        <f ca="1">IF(Proc[[#This Row],[DateClosed]]="",ABS(NETWORKDAYS(Proc[[#This Row],[DateOpened]],TODAY()))-1,ABS(NETWORKDAYS(Proc[[#This Row],[DateOpened]],Proc[[#This Row],[DateClosed]]))-1)</f>
        <v>14</v>
      </c>
      <c r="R5111" s="177" t="s">
        <v>489</v>
      </c>
      <c r="S5111" s="150"/>
    </row>
    <row r="5112" spans="1:19" hidden="1">
      <c r="A5112" s="149" t="s">
        <v>7371</v>
      </c>
      <c r="B5112" s="150" t="str">
        <f>IFERROR(VLOOKUP(Proc[[#This Row],[App]],Table2[],3,0),"open")</f>
        <v>ok</v>
      </c>
      <c r="C5112" s="149" t="s">
        <v>369</v>
      </c>
      <c r="D5112" t="s">
        <v>7369</v>
      </c>
      <c r="E5112" t="s">
        <v>7373</v>
      </c>
      <c r="F5112" s="150" t="s">
        <v>7373</v>
      </c>
      <c r="G5112" s="149" t="s">
        <v>400</v>
      </c>
      <c r="H5112" s="150" t="str">
        <f>IF(Proc[[#This Row],[type]]="LFF (MDG-F)",MID(Proc[[#This Row],[Obj]],13,10),"")</f>
        <v/>
      </c>
      <c r="J5112" s="150" t="b">
        <f>Proc[[#This Row],[Requested]]=Proc[[#This Row],[CurrentParent]]</f>
        <v>1</v>
      </c>
      <c r="K5112" s="150" t="str">
        <f>IF(Proc[[#This Row],[Author]]="Marcela Urrego",VLOOKUP(LEFT(Proc[[#This Row],[Requested]],1),Table3[#All],2,0),VLOOKUP(Proc[[#This Row],[Author]],Table4[],2,0))</f>
        <v>LS</v>
      </c>
      <c r="L5112" s="150" t="s">
        <v>6435</v>
      </c>
      <c r="M5112" s="176">
        <v>46006</v>
      </c>
      <c r="N5112" s="177"/>
      <c r="O5112" s="177"/>
      <c r="P5112" s="177" t="str">
        <f ca="1">IF(Proc[[#This Row],[DaysAgeing]]&gt;5,"yep","on track")</f>
        <v>yep</v>
      </c>
      <c r="Q5112" s="3">
        <f ca="1">IF(Proc[[#This Row],[DateClosed]]="",ABS(NETWORKDAYS(Proc[[#This Row],[DateOpened]],TODAY()))-1,ABS(NETWORKDAYS(Proc[[#This Row],[DateOpened]],Proc[[#This Row],[DateClosed]]))-1)</f>
        <v>14</v>
      </c>
      <c r="R5112" s="177" t="s">
        <v>489</v>
      </c>
      <c r="S5112" s="150"/>
    </row>
    <row r="5113" spans="1:19" hidden="1">
      <c r="A5113" s="149" t="s">
        <v>7371</v>
      </c>
      <c r="B5113" s="150" t="str">
        <f>IFERROR(VLOOKUP(Proc[[#This Row],[App]],Table2[],3,0),"open")</f>
        <v>ok</v>
      </c>
      <c r="C5113" s="149" t="s">
        <v>369</v>
      </c>
      <c r="D5113" t="s">
        <v>7370</v>
      </c>
      <c r="E5113" t="s">
        <v>7374</v>
      </c>
      <c r="F5113" s="150" t="s">
        <v>7374</v>
      </c>
      <c r="G5113" s="149" t="s">
        <v>400</v>
      </c>
      <c r="H5113" s="150" t="str">
        <f>IF(Proc[[#This Row],[type]]="LFF (MDG-F)",MID(Proc[[#This Row],[Obj]],13,10),"")</f>
        <v/>
      </c>
      <c r="J5113" s="150" t="b">
        <f>Proc[[#This Row],[Requested]]=Proc[[#This Row],[CurrentParent]]</f>
        <v>1</v>
      </c>
      <c r="K5113" s="150" t="str">
        <f>IF(Proc[[#This Row],[Author]]="Marcela Urrego",VLOOKUP(LEFT(Proc[[#This Row],[Requested]],1),Table3[#All],2,0),VLOOKUP(Proc[[#This Row],[Author]],Table4[],2,0))</f>
        <v>LS</v>
      </c>
      <c r="L5113" s="150" t="s">
        <v>6435</v>
      </c>
      <c r="M5113" s="176">
        <v>46006</v>
      </c>
      <c r="N5113" s="177"/>
      <c r="O5113" s="177"/>
      <c r="P5113" s="177" t="str">
        <f ca="1">IF(Proc[[#This Row],[DaysAgeing]]&gt;5,"yep","on track")</f>
        <v>yep</v>
      </c>
      <c r="Q5113" s="3">
        <f ca="1">IF(Proc[[#This Row],[DateClosed]]="",ABS(NETWORKDAYS(Proc[[#This Row],[DateOpened]],TODAY()))-1,ABS(NETWORKDAYS(Proc[[#This Row],[DateOpened]],Proc[[#This Row],[DateClosed]]))-1)</f>
        <v>14</v>
      </c>
      <c r="R5113" s="177" t="s">
        <v>489</v>
      </c>
      <c r="S5113" s="150"/>
    </row>
    <row r="5114" spans="1:19" hidden="1">
      <c r="A5114" s="149" t="s">
        <v>7371</v>
      </c>
      <c r="B5114" s="150" t="str">
        <f>IFERROR(VLOOKUP(Proc[[#This Row],[App]],Table2[],3,0),"open")</f>
        <v>ok</v>
      </c>
      <c r="C5114" s="149" t="s">
        <v>369</v>
      </c>
      <c r="D5114" t="s">
        <v>3430</v>
      </c>
      <c r="E5114" t="s">
        <v>7375</v>
      </c>
      <c r="F5114" s="150" t="s">
        <v>7375</v>
      </c>
      <c r="G5114" t="s">
        <v>406</v>
      </c>
      <c r="H5114" s="150" t="str">
        <f>IF(Proc[[#This Row],[type]]="LFF (MDG-F)",MID(Proc[[#This Row],[Obj]],13,10),"")</f>
        <v>1756C00005</v>
      </c>
      <c r="J5114" s="150" t="b">
        <f>Proc[[#This Row],[Requested]]=Proc[[#This Row],[CurrentParent]]</f>
        <v>1</v>
      </c>
      <c r="K5114" s="150" t="str">
        <f>IF(Proc[[#This Row],[Author]]="Marcela Urrego",VLOOKUP(LEFT(Proc[[#This Row],[Requested]],1),Table3[#All],2,0),VLOOKUP(Proc[[#This Row],[Author]],Table4[],2,0))</f>
        <v>LS</v>
      </c>
      <c r="L5114" s="150" t="s">
        <v>6435</v>
      </c>
      <c r="M5114" s="176">
        <v>46006</v>
      </c>
      <c r="N5114" s="177"/>
      <c r="O5114" s="177"/>
      <c r="P5114" s="177" t="str">
        <f ca="1">IF(Proc[[#This Row],[DaysAgeing]]&gt;5,"yep","on track")</f>
        <v>yep</v>
      </c>
      <c r="Q5114" s="3">
        <f ca="1">IF(Proc[[#This Row],[DateClosed]]="",ABS(NETWORKDAYS(Proc[[#This Row],[DateOpened]],TODAY()))-1,ABS(NETWORKDAYS(Proc[[#This Row],[DateOpened]],Proc[[#This Row],[DateClosed]]))-1)</f>
        <v>14</v>
      </c>
      <c r="R5114" s="177" t="s">
        <v>489</v>
      </c>
      <c r="S5114" s="150"/>
    </row>
    <row r="5115" spans="1:19" hidden="1">
      <c r="A5115" t="s">
        <v>7376</v>
      </c>
      <c r="B5115" s="150" t="str">
        <f>IFERROR(VLOOKUP(Proc[[#This Row],[App]],Table2[],3,0),"open")</f>
        <v>open</v>
      </c>
      <c r="C5115" t="s">
        <v>405</v>
      </c>
      <c r="D5115" t="s">
        <v>7378</v>
      </c>
      <c r="E5115" t="s">
        <v>7377</v>
      </c>
      <c r="F5115" s="150" t="s">
        <v>7406</v>
      </c>
      <c r="G5115" t="s">
        <v>400</v>
      </c>
      <c r="H5115" s="150" t="str">
        <f>IF(Proc[[#This Row],[type]]="LFF (MDG-F)",MID(Proc[[#This Row],[Obj]],13,10),"")</f>
        <v/>
      </c>
      <c r="I5115" t="s">
        <v>7379</v>
      </c>
      <c r="J5115" s="150" t="b">
        <f>Proc[[#This Row],[Requested]]=Proc[[#This Row],[CurrentParent]]</f>
        <v>0</v>
      </c>
      <c r="K5115" s="150" t="str">
        <f>IF(Proc[[#This Row],[Author]]="Marcela Urrego",VLOOKUP(LEFT(Proc[[#This Row],[Requested]],1),Table3[#All],2,0),VLOOKUP(Proc[[#This Row],[Author]],Table4[],2,0))</f>
        <v>MGF</v>
      </c>
      <c r="L5115" s="150" t="s">
        <v>6435</v>
      </c>
      <c r="M5115" s="177">
        <v>46006</v>
      </c>
      <c r="N5115" s="177"/>
      <c r="O5115" s="177"/>
      <c r="P5115" s="177" t="str">
        <f ca="1">IF(Proc[[#This Row],[DaysAgeing]]&gt;5,"yep","on track")</f>
        <v>yep</v>
      </c>
      <c r="Q5115" s="3">
        <f ca="1">IF(Proc[[#This Row],[DateClosed]]="",ABS(NETWORKDAYS(Proc[[#This Row],[DateOpened]],TODAY()))-1,ABS(NETWORKDAYS(Proc[[#This Row],[DateOpened]],Proc[[#This Row],[DateClosed]]))-1)</f>
        <v>14</v>
      </c>
      <c r="R5115" s="177" t="s">
        <v>485</v>
      </c>
      <c r="S5115" s="150"/>
    </row>
    <row r="5116" spans="1:19" hidden="1">
      <c r="A5116" t="s">
        <v>7381</v>
      </c>
      <c r="B5116" s="150" t="str">
        <f>IFERROR(VLOOKUP(Proc[[#This Row],[App]],Table2[],3,0),"open")</f>
        <v>ok</v>
      </c>
      <c r="C5116" s="149" t="s">
        <v>369</v>
      </c>
      <c r="D5116" t="s">
        <v>2089</v>
      </c>
      <c r="E5116" t="s">
        <v>2092</v>
      </c>
      <c r="F5116" s="150" t="s">
        <v>2092</v>
      </c>
      <c r="G5116" s="149" t="s">
        <v>400</v>
      </c>
      <c r="H5116" s="150" t="str">
        <f>IF(Proc[[#This Row],[type]]="LFF (MDG-F)",MID(Proc[[#This Row],[Obj]],13,10),"")</f>
        <v/>
      </c>
      <c r="J5116" s="150" t="b">
        <f>Proc[[#This Row],[Requested]]=Proc[[#This Row],[CurrentParent]]</f>
        <v>1</v>
      </c>
      <c r="K5116" s="150" t="str">
        <f>IF(Proc[[#This Row],[Author]]="Marcela Urrego",VLOOKUP(LEFT(Proc[[#This Row],[Requested]],1),Table3[#All],2,0),VLOOKUP(Proc[[#This Row],[Author]],Table4[],2,0))</f>
        <v>MGF</v>
      </c>
      <c r="L5116" s="150" t="s">
        <v>6435</v>
      </c>
      <c r="M5116" s="177">
        <v>46009</v>
      </c>
      <c r="N5116" s="177"/>
      <c r="O5116" s="177"/>
      <c r="P5116" s="177" t="str">
        <f ca="1">IF(Proc[[#This Row],[DaysAgeing]]&gt;5,"yep","on track")</f>
        <v>yep</v>
      </c>
      <c r="Q5116" s="3">
        <f ca="1">IF(Proc[[#This Row],[DateClosed]]="",ABS(NETWORKDAYS(Proc[[#This Row],[DateOpened]],TODAY()))-1,ABS(NETWORKDAYS(Proc[[#This Row],[DateOpened]],Proc[[#This Row],[DateClosed]]))-1)</f>
        <v>11</v>
      </c>
      <c r="R5116" s="177" t="s">
        <v>481</v>
      </c>
      <c r="S5116" s="150"/>
    </row>
    <row r="5117" spans="1:19" hidden="1">
      <c r="A5117" s="149" t="s">
        <v>7381</v>
      </c>
      <c r="B5117" s="150" t="str">
        <f>IFERROR(VLOOKUP(Proc[[#This Row],[App]],Table2[],3,0),"open")</f>
        <v>ok</v>
      </c>
      <c r="C5117" s="149" t="s">
        <v>369</v>
      </c>
      <c r="D5117" t="s">
        <v>2090</v>
      </c>
      <c r="E5117" t="s">
        <v>2093</v>
      </c>
      <c r="F5117" s="150" t="s">
        <v>2093</v>
      </c>
      <c r="G5117" s="149" t="s">
        <v>400</v>
      </c>
      <c r="H5117" s="150" t="str">
        <f>IF(Proc[[#This Row],[type]]="LFF (MDG-F)",MID(Proc[[#This Row],[Obj]],13,10),"")</f>
        <v/>
      </c>
      <c r="J5117" s="150" t="b">
        <f>Proc[[#This Row],[Requested]]=Proc[[#This Row],[CurrentParent]]</f>
        <v>1</v>
      </c>
      <c r="K5117" s="150" t="str">
        <f>IF(Proc[[#This Row],[Author]]="Marcela Urrego",VLOOKUP(LEFT(Proc[[#This Row],[Requested]],1),Table3[#All],2,0),VLOOKUP(Proc[[#This Row],[Author]],Table4[],2,0))</f>
        <v>MGF</v>
      </c>
      <c r="L5117" s="150" t="s">
        <v>6435</v>
      </c>
      <c r="M5117" s="177">
        <v>46009</v>
      </c>
      <c r="N5117" s="177"/>
      <c r="O5117" s="177"/>
      <c r="P5117" s="177" t="str">
        <f ca="1">IF(Proc[[#This Row],[DaysAgeing]]&gt;5,"yep","on track")</f>
        <v>yep</v>
      </c>
      <c r="Q5117" s="3">
        <f ca="1">IF(Proc[[#This Row],[DateClosed]]="",ABS(NETWORKDAYS(Proc[[#This Row],[DateOpened]],TODAY()))-1,ABS(NETWORKDAYS(Proc[[#This Row],[DateOpened]],Proc[[#This Row],[DateClosed]]))-1)</f>
        <v>11</v>
      </c>
      <c r="R5117" s="177" t="s">
        <v>481</v>
      </c>
      <c r="S5117" s="150"/>
    </row>
    <row r="5118" spans="1:19" hidden="1">
      <c r="A5118" s="149" t="s">
        <v>7381</v>
      </c>
      <c r="B5118" s="150" t="str">
        <f>IFERROR(VLOOKUP(Proc[[#This Row],[App]],Table2[],3,0),"open")</f>
        <v>ok</v>
      </c>
      <c r="C5118" s="149" t="s">
        <v>369</v>
      </c>
      <c r="D5118" t="s">
        <v>7382</v>
      </c>
      <c r="E5118" t="s">
        <v>7380</v>
      </c>
      <c r="F5118" s="150" t="s">
        <v>7380</v>
      </c>
      <c r="G5118" t="s">
        <v>406</v>
      </c>
      <c r="H5118" s="150" t="str">
        <f>IF(Proc[[#This Row],[type]]="LFF (MDG-F)",MID(Proc[[#This Row],[Obj]],13,10),"")</f>
        <v>DE20529800</v>
      </c>
      <c r="J5118" s="150" t="b">
        <f>Proc[[#This Row],[Requested]]=Proc[[#This Row],[CurrentParent]]</f>
        <v>1</v>
      </c>
      <c r="K5118" s="150" t="str">
        <f>IF(Proc[[#This Row],[Author]]="Marcela Urrego",VLOOKUP(LEFT(Proc[[#This Row],[Requested]],1),Table3[#All],2,0),VLOOKUP(Proc[[#This Row],[Author]],Table4[],2,0))</f>
        <v>MGF</v>
      </c>
      <c r="L5118" s="150" t="s">
        <v>6435</v>
      </c>
      <c r="M5118" s="177">
        <v>46009</v>
      </c>
      <c r="N5118" s="177"/>
      <c r="O5118" s="177"/>
      <c r="P5118" s="177" t="str">
        <f ca="1">IF(Proc[[#This Row],[DaysAgeing]]&gt;5,"yep","on track")</f>
        <v>yep</v>
      </c>
      <c r="Q5118" s="3">
        <f ca="1">IF(Proc[[#This Row],[DateClosed]]="",ABS(NETWORKDAYS(Proc[[#This Row],[DateOpened]],TODAY()))-1,ABS(NETWORKDAYS(Proc[[#This Row],[DateOpened]],Proc[[#This Row],[DateClosed]]))-1)</f>
        <v>11</v>
      </c>
      <c r="R5118" s="177" t="s">
        <v>481</v>
      </c>
      <c r="S5118" s="150"/>
    </row>
    <row r="5119" spans="1:19" hidden="1">
      <c r="A5119" s="149" t="s">
        <v>7381</v>
      </c>
      <c r="B5119" s="150" t="str">
        <f>IFERROR(VLOOKUP(Proc[[#This Row],[App]],Table2[],3,0),"open")</f>
        <v>ok</v>
      </c>
      <c r="C5119" s="149" t="s">
        <v>369</v>
      </c>
      <c r="D5119" t="s">
        <v>7383</v>
      </c>
      <c r="E5119" t="s">
        <v>7380</v>
      </c>
      <c r="F5119" s="150" t="s">
        <v>7380</v>
      </c>
      <c r="G5119" s="149" t="s">
        <v>406</v>
      </c>
      <c r="H5119" s="150" t="str">
        <f>IF(Proc[[#This Row],[type]]="LFF (MDG-F)",MID(Proc[[#This Row],[Obj]],13,10),"")</f>
        <v>DE20529900</v>
      </c>
      <c r="J5119" s="150" t="b">
        <f>Proc[[#This Row],[Requested]]=Proc[[#This Row],[CurrentParent]]</f>
        <v>1</v>
      </c>
      <c r="K5119" s="150" t="str">
        <f>IF(Proc[[#This Row],[Author]]="Marcela Urrego",VLOOKUP(LEFT(Proc[[#This Row],[Requested]],1),Table3[#All],2,0),VLOOKUP(Proc[[#This Row],[Author]],Table4[],2,0))</f>
        <v>MGF</v>
      </c>
      <c r="L5119" s="150" t="s">
        <v>6435</v>
      </c>
      <c r="M5119" s="177">
        <v>46009</v>
      </c>
      <c r="N5119" s="177"/>
      <c r="O5119" s="177"/>
      <c r="P5119" s="177" t="str">
        <f ca="1">IF(Proc[[#This Row],[DaysAgeing]]&gt;5,"yep","on track")</f>
        <v>yep</v>
      </c>
      <c r="Q5119" s="3">
        <f ca="1">IF(Proc[[#This Row],[DateClosed]]="",ABS(NETWORKDAYS(Proc[[#This Row],[DateOpened]],TODAY()))-1,ABS(NETWORKDAYS(Proc[[#This Row],[DateOpened]],Proc[[#This Row],[DateClosed]]))-1)</f>
        <v>11</v>
      </c>
      <c r="R5119" s="177" t="s">
        <v>481</v>
      </c>
      <c r="S5119" s="150"/>
    </row>
    <row r="5120" spans="1:19" hidden="1">
      <c r="A5120" t="s">
        <v>7384</v>
      </c>
      <c r="B5120" s="150" t="str">
        <f>IFERROR(VLOOKUP(Proc[[#This Row],[App]],Table2[],3,0),"open")</f>
        <v>ok</v>
      </c>
      <c r="C5120" s="149" t="s">
        <v>369</v>
      </c>
      <c r="D5120" t="s">
        <v>7427</v>
      </c>
      <c r="E5120" t="s">
        <v>7392</v>
      </c>
      <c r="F5120" s="150" t="s">
        <v>7392</v>
      </c>
      <c r="G5120" s="149" t="s">
        <v>400</v>
      </c>
      <c r="H5120" s="150" t="str">
        <f>IF(Proc[[#This Row],[type]]="LFF (MDG-F)",MID(Proc[[#This Row],[Obj]],13,10),"")</f>
        <v/>
      </c>
      <c r="J5120" s="150" t="b">
        <f>Proc[[#This Row],[Requested]]=Proc[[#This Row],[CurrentParent]]</f>
        <v>1</v>
      </c>
      <c r="K5120" s="150" t="str">
        <f>IF(Proc[[#This Row],[Author]]="Marcela Urrego",VLOOKUP(LEFT(Proc[[#This Row],[Requested]],1),Table3[#All],2,0),VLOOKUP(Proc[[#This Row],[Author]],Table4[],2,0))</f>
        <v>LS</v>
      </c>
      <c r="L5120" s="150" t="s">
        <v>6435</v>
      </c>
      <c r="M5120" s="177">
        <v>46009</v>
      </c>
      <c r="N5120" s="177"/>
      <c r="O5120" s="177"/>
      <c r="P5120" s="177" t="str">
        <f ca="1">IF(Proc[[#This Row],[DaysAgeing]]&gt;5,"yep","on track")</f>
        <v>yep</v>
      </c>
      <c r="Q5120" s="3">
        <f ca="1">IF(Proc[[#This Row],[DateClosed]]="",ABS(NETWORKDAYS(Proc[[#This Row],[DateOpened]],TODAY()))-1,ABS(NETWORKDAYS(Proc[[#This Row],[DateOpened]],Proc[[#This Row],[DateClosed]]))-1)</f>
        <v>11</v>
      </c>
      <c r="R5120" s="177" t="s">
        <v>489</v>
      </c>
      <c r="S5120" s="150"/>
    </row>
    <row r="5121" spans="1:19" hidden="1">
      <c r="A5121" s="149" t="s">
        <v>7384</v>
      </c>
      <c r="B5121" s="150" t="str">
        <f>IFERROR(VLOOKUP(Proc[[#This Row],[App]],Table2[],3,0),"open")</f>
        <v>ok</v>
      </c>
      <c r="C5121" s="149" t="s">
        <v>369</v>
      </c>
      <c r="D5121" t="s">
        <v>7386</v>
      </c>
      <c r="E5121" t="s">
        <v>4100</v>
      </c>
      <c r="F5121" s="150" t="s">
        <v>4100</v>
      </c>
      <c r="G5121" s="149" t="s">
        <v>400</v>
      </c>
      <c r="H5121" s="150" t="str">
        <f>IF(Proc[[#This Row],[type]]="LFF (MDG-F)",MID(Proc[[#This Row],[Obj]],13,10),"")</f>
        <v/>
      </c>
      <c r="J5121" s="150" t="b">
        <f>Proc[[#This Row],[Requested]]=Proc[[#This Row],[CurrentParent]]</f>
        <v>1</v>
      </c>
      <c r="K5121" s="150" t="str">
        <f>IF(Proc[[#This Row],[Author]]="Marcela Urrego",VLOOKUP(LEFT(Proc[[#This Row],[Requested]],1),Table3[#All],2,0),VLOOKUP(Proc[[#This Row],[Author]],Table4[],2,0))</f>
        <v>LS</v>
      </c>
      <c r="L5121" s="150" t="s">
        <v>6435</v>
      </c>
      <c r="M5121" s="177">
        <v>46009</v>
      </c>
      <c r="N5121" s="177"/>
      <c r="O5121" s="177"/>
      <c r="P5121" s="177" t="str">
        <f ca="1">IF(Proc[[#This Row],[DaysAgeing]]&gt;5,"yep","on track")</f>
        <v>yep</v>
      </c>
      <c r="Q5121" s="3">
        <f ca="1">IF(Proc[[#This Row],[DateClosed]]="",ABS(NETWORKDAYS(Proc[[#This Row],[DateOpened]],TODAY()))-1,ABS(NETWORKDAYS(Proc[[#This Row],[DateOpened]],Proc[[#This Row],[DateClosed]]))-1)</f>
        <v>11</v>
      </c>
      <c r="R5121" s="177" t="s">
        <v>489</v>
      </c>
      <c r="S5121" s="150"/>
    </row>
    <row r="5122" spans="1:19" hidden="1">
      <c r="A5122" s="149" t="s">
        <v>7384</v>
      </c>
      <c r="B5122" s="150" t="str">
        <f>IFERROR(VLOOKUP(Proc[[#This Row],[App]],Table2[],3,0),"open")</f>
        <v>ok</v>
      </c>
      <c r="C5122" s="149" t="s">
        <v>369</v>
      </c>
      <c r="D5122" t="s">
        <v>7387</v>
      </c>
      <c r="E5122" t="s">
        <v>7393</v>
      </c>
      <c r="F5122" s="150" t="s">
        <v>7393</v>
      </c>
      <c r="G5122" s="149" t="s">
        <v>400</v>
      </c>
      <c r="H5122" s="150" t="str">
        <f>IF(Proc[[#This Row],[type]]="LFF (MDG-F)",MID(Proc[[#This Row],[Obj]],13,10),"")</f>
        <v/>
      </c>
      <c r="J5122" s="150" t="b">
        <f>Proc[[#This Row],[Requested]]=Proc[[#This Row],[CurrentParent]]</f>
        <v>1</v>
      </c>
      <c r="K5122" s="150" t="str">
        <f>IF(Proc[[#This Row],[Author]]="Marcela Urrego",VLOOKUP(LEFT(Proc[[#This Row],[Requested]],1),Table3[#All],2,0),VLOOKUP(Proc[[#This Row],[Author]],Table4[],2,0))</f>
        <v>LS</v>
      </c>
      <c r="L5122" s="150" t="s">
        <v>6435</v>
      </c>
      <c r="M5122" s="177">
        <v>46009</v>
      </c>
      <c r="N5122" s="177"/>
      <c r="O5122" s="177"/>
      <c r="P5122" s="177" t="str">
        <f ca="1">IF(Proc[[#This Row],[DaysAgeing]]&gt;5,"yep","on track")</f>
        <v>yep</v>
      </c>
      <c r="Q5122" s="3">
        <f ca="1">IF(Proc[[#This Row],[DateClosed]]="",ABS(NETWORKDAYS(Proc[[#This Row],[DateOpened]],TODAY()))-1,ABS(NETWORKDAYS(Proc[[#This Row],[DateOpened]],Proc[[#This Row],[DateClosed]]))-1)</f>
        <v>11</v>
      </c>
      <c r="R5122" s="177" t="s">
        <v>489</v>
      </c>
      <c r="S5122" s="150"/>
    </row>
    <row r="5123" spans="1:19" hidden="1">
      <c r="A5123" s="149" t="s">
        <v>7384</v>
      </c>
      <c r="B5123" s="150" t="str">
        <f>IFERROR(VLOOKUP(Proc[[#This Row],[App]],Table2[],3,0),"open")</f>
        <v>ok</v>
      </c>
      <c r="C5123" s="149" t="s">
        <v>369</v>
      </c>
      <c r="D5123" t="s">
        <v>7388</v>
      </c>
      <c r="E5123" t="s">
        <v>7394</v>
      </c>
      <c r="F5123" s="150" t="s">
        <v>7394</v>
      </c>
      <c r="G5123" s="149" t="s">
        <v>400</v>
      </c>
      <c r="H5123" s="150" t="str">
        <f>IF(Proc[[#This Row],[type]]="LFF (MDG-F)",MID(Proc[[#This Row],[Obj]],13,10),"")</f>
        <v/>
      </c>
      <c r="J5123" s="150" t="b">
        <f>Proc[[#This Row],[Requested]]=Proc[[#This Row],[CurrentParent]]</f>
        <v>1</v>
      </c>
      <c r="K5123" s="150" t="str">
        <f>IF(Proc[[#This Row],[Author]]="Marcela Urrego",VLOOKUP(LEFT(Proc[[#This Row],[Requested]],1),Table3[#All],2,0),VLOOKUP(Proc[[#This Row],[Author]],Table4[],2,0))</f>
        <v>LS</v>
      </c>
      <c r="L5123" s="150" t="s">
        <v>6435</v>
      </c>
      <c r="M5123" s="177">
        <v>46009</v>
      </c>
      <c r="N5123" s="177"/>
      <c r="O5123" s="177"/>
      <c r="P5123" s="177" t="str">
        <f ca="1">IF(Proc[[#This Row],[DaysAgeing]]&gt;5,"yep","on track")</f>
        <v>yep</v>
      </c>
      <c r="Q5123" s="3">
        <f ca="1">IF(Proc[[#This Row],[DateClosed]]="",ABS(NETWORKDAYS(Proc[[#This Row],[DateOpened]],TODAY()))-1,ABS(NETWORKDAYS(Proc[[#This Row],[DateOpened]],Proc[[#This Row],[DateClosed]]))-1)</f>
        <v>11</v>
      </c>
      <c r="R5123" s="177" t="s">
        <v>489</v>
      </c>
      <c r="S5123" s="150"/>
    </row>
    <row r="5124" spans="1:19" hidden="1">
      <c r="A5124" s="149" t="s">
        <v>7384</v>
      </c>
      <c r="B5124" s="150" t="str">
        <f>IFERROR(VLOOKUP(Proc[[#This Row],[App]],Table2[],3,0),"open")</f>
        <v>ok</v>
      </c>
      <c r="C5124" s="149" t="s">
        <v>369</v>
      </c>
      <c r="D5124" t="s">
        <v>7389</v>
      </c>
      <c r="E5124" t="s">
        <v>4100</v>
      </c>
      <c r="F5124" s="150" t="s">
        <v>4100</v>
      </c>
      <c r="G5124" s="149" t="s">
        <v>400</v>
      </c>
      <c r="H5124" s="150" t="str">
        <f>IF(Proc[[#This Row],[type]]="LFF (MDG-F)",MID(Proc[[#This Row],[Obj]],13,10),"")</f>
        <v/>
      </c>
      <c r="J5124" s="150" t="b">
        <f>Proc[[#This Row],[Requested]]=Proc[[#This Row],[CurrentParent]]</f>
        <v>1</v>
      </c>
      <c r="K5124" s="150" t="str">
        <f>IF(Proc[[#This Row],[Author]]="Marcela Urrego",VLOOKUP(LEFT(Proc[[#This Row],[Requested]],1),Table3[#All],2,0),VLOOKUP(Proc[[#This Row],[Author]],Table4[],2,0))</f>
        <v>LS</v>
      </c>
      <c r="L5124" s="150" t="s">
        <v>6435</v>
      </c>
      <c r="M5124" s="177">
        <v>46009</v>
      </c>
      <c r="N5124" s="177"/>
      <c r="O5124" s="177"/>
      <c r="P5124" s="177" t="str">
        <f ca="1">IF(Proc[[#This Row],[DaysAgeing]]&gt;5,"yep","on track")</f>
        <v>yep</v>
      </c>
      <c r="Q5124" s="3">
        <f ca="1">IF(Proc[[#This Row],[DateClosed]]="",ABS(NETWORKDAYS(Proc[[#This Row],[DateOpened]],TODAY()))-1,ABS(NETWORKDAYS(Proc[[#This Row],[DateOpened]],Proc[[#This Row],[DateClosed]]))-1)</f>
        <v>11</v>
      </c>
      <c r="R5124" s="177" t="s">
        <v>489</v>
      </c>
      <c r="S5124" s="150"/>
    </row>
    <row r="5125" spans="1:19" hidden="1">
      <c r="A5125" s="149" t="s">
        <v>7384</v>
      </c>
      <c r="B5125" s="150" t="str">
        <f>IFERROR(VLOOKUP(Proc[[#This Row],[App]],Table2[],3,0),"open")</f>
        <v>ok</v>
      </c>
      <c r="C5125" s="149" t="s">
        <v>369</v>
      </c>
      <c r="D5125" t="s">
        <v>7390</v>
      </c>
      <c r="E5125" t="s">
        <v>7395</v>
      </c>
      <c r="F5125" s="150" t="s">
        <v>7395</v>
      </c>
      <c r="G5125" s="149" t="s">
        <v>400</v>
      </c>
      <c r="H5125" s="150" t="str">
        <f>IF(Proc[[#This Row],[type]]="LFF (MDG-F)",MID(Proc[[#This Row],[Obj]],13,10),"")</f>
        <v/>
      </c>
      <c r="J5125" s="150" t="b">
        <f>Proc[[#This Row],[Requested]]=Proc[[#This Row],[CurrentParent]]</f>
        <v>1</v>
      </c>
      <c r="K5125" s="150" t="str">
        <f>IF(Proc[[#This Row],[Author]]="Marcela Urrego",VLOOKUP(LEFT(Proc[[#This Row],[Requested]],1),Table3[#All],2,0),VLOOKUP(Proc[[#This Row],[Author]],Table4[],2,0))</f>
        <v>LS</v>
      </c>
      <c r="L5125" s="150" t="s">
        <v>6435</v>
      </c>
      <c r="M5125" s="177">
        <v>46009</v>
      </c>
      <c r="N5125" s="177"/>
      <c r="O5125" s="177"/>
      <c r="P5125" s="177" t="str">
        <f ca="1">IF(Proc[[#This Row],[DaysAgeing]]&gt;5,"yep","on track")</f>
        <v>yep</v>
      </c>
      <c r="Q5125" s="3">
        <f ca="1">IF(Proc[[#This Row],[DateClosed]]="",ABS(NETWORKDAYS(Proc[[#This Row],[DateOpened]],TODAY()))-1,ABS(NETWORKDAYS(Proc[[#This Row],[DateOpened]],Proc[[#This Row],[DateClosed]]))-1)</f>
        <v>11</v>
      </c>
      <c r="R5125" s="177" t="s">
        <v>489</v>
      </c>
      <c r="S5125" s="150"/>
    </row>
    <row r="5126" spans="1:19" hidden="1">
      <c r="A5126" s="149" t="s">
        <v>7384</v>
      </c>
      <c r="B5126" s="150" t="str">
        <f>IFERROR(VLOOKUP(Proc[[#This Row],[App]],Table2[],3,0),"open")</f>
        <v>ok</v>
      </c>
      <c r="C5126" s="149" t="s">
        <v>369</v>
      </c>
      <c r="D5126" t="s">
        <v>7391</v>
      </c>
      <c r="E5126" t="s">
        <v>7396</v>
      </c>
      <c r="F5126" s="150" t="s">
        <v>7396</v>
      </c>
      <c r="G5126" s="149" t="s">
        <v>400</v>
      </c>
      <c r="H5126" s="150" t="str">
        <f>IF(Proc[[#This Row],[type]]="LFF (MDG-F)",MID(Proc[[#This Row],[Obj]],13,10),"")</f>
        <v/>
      </c>
      <c r="J5126" s="150" t="b">
        <f>Proc[[#This Row],[Requested]]=Proc[[#This Row],[CurrentParent]]</f>
        <v>1</v>
      </c>
      <c r="K5126" s="150" t="str">
        <f>IF(Proc[[#This Row],[Author]]="Marcela Urrego",VLOOKUP(LEFT(Proc[[#This Row],[Requested]],1),Table3[#All],2,0),VLOOKUP(Proc[[#This Row],[Author]],Table4[],2,0))</f>
        <v>LS</v>
      </c>
      <c r="L5126" s="150" t="s">
        <v>6435</v>
      </c>
      <c r="M5126" s="177">
        <v>46009</v>
      </c>
      <c r="N5126" s="177"/>
      <c r="O5126" s="177"/>
      <c r="P5126" s="177" t="str">
        <f ca="1">IF(Proc[[#This Row],[DaysAgeing]]&gt;5,"yep","on track")</f>
        <v>yep</v>
      </c>
      <c r="Q5126" s="3">
        <f ca="1">IF(Proc[[#This Row],[DateClosed]]="",ABS(NETWORKDAYS(Proc[[#This Row],[DateOpened]],TODAY()))-1,ABS(NETWORKDAYS(Proc[[#This Row],[DateOpened]],Proc[[#This Row],[DateClosed]]))-1)</f>
        <v>11</v>
      </c>
      <c r="R5126" s="177" t="s">
        <v>489</v>
      </c>
      <c r="S5126" s="150"/>
    </row>
    <row r="5127" spans="1:19" hidden="1">
      <c r="A5127" t="s">
        <v>7399</v>
      </c>
      <c r="B5127" s="150" t="str">
        <f>IFERROR(VLOOKUP(Proc[[#This Row],[App]],Table2[],3,0),"open")</f>
        <v>ok</v>
      </c>
      <c r="C5127" s="149" t="s">
        <v>369</v>
      </c>
      <c r="D5127" t="s">
        <v>2089</v>
      </c>
      <c r="E5127" t="s">
        <v>2092</v>
      </c>
      <c r="F5127" s="150" t="s">
        <v>2092</v>
      </c>
      <c r="G5127" s="149" t="s">
        <v>400</v>
      </c>
      <c r="H5127" s="150" t="str">
        <f>IF(Proc[[#This Row],[type]]="LFF (MDG-F)",MID(Proc[[#This Row],[Obj]],13,10),"")</f>
        <v/>
      </c>
      <c r="J5127" s="150" t="b">
        <f>Proc[[#This Row],[Requested]]=Proc[[#This Row],[CurrentParent]]</f>
        <v>1</v>
      </c>
      <c r="K5127" s="150" t="str">
        <f>IF(Proc[[#This Row],[Author]]="Marcela Urrego",VLOOKUP(LEFT(Proc[[#This Row],[Requested]],1),Table3[#All],2,0),VLOOKUP(Proc[[#This Row],[Author]],Table4[],2,0))</f>
        <v>MGF</v>
      </c>
      <c r="L5127" s="150" t="s">
        <v>6435</v>
      </c>
      <c r="M5127" s="177">
        <v>46009</v>
      </c>
      <c r="N5127" s="177"/>
      <c r="O5127" s="177"/>
      <c r="P5127" s="177" t="str">
        <f ca="1">IF(Proc[[#This Row],[DaysAgeing]]&gt;5,"yep","on track")</f>
        <v>yep</v>
      </c>
      <c r="Q5127" s="3">
        <f ca="1">IF(Proc[[#This Row],[DateClosed]]="",ABS(NETWORKDAYS(Proc[[#This Row],[DateOpened]],TODAY()))-1,ABS(NETWORKDAYS(Proc[[#This Row],[DateOpened]],Proc[[#This Row],[DateClosed]]))-1)</f>
        <v>11</v>
      </c>
      <c r="R5127" s="177" t="s">
        <v>481</v>
      </c>
      <c r="S5127" s="150"/>
    </row>
    <row r="5128" spans="1:19" hidden="1">
      <c r="A5128" s="149" t="s">
        <v>7399</v>
      </c>
      <c r="B5128" s="150" t="str">
        <f>IFERROR(VLOOKUP(Proc[[#This Row],[App]],Table2[],3,0),"open")</f>
        <v>ok</v>
      </c>
      <c r="C5128" s="149" t="s">
        <v>369</v>
      </c>
      <c r="D5128" t="s">
        <v>2090</v>
      </c>
      <c r="E5128" t="s">
        <v>2093</v>
      </c>
      <c r="F5128" s="150" t="s">
        <v>2093</v>
      </c>
      <c r="G5128" s="149" t="s">
        <v>400</v>
      </c>
      <c r="H5128" s="150" t="str">
        <f>IF(Proc[[#This Row],[type]]="LFF (MDG-F)",MID(Proc[[#This Row],[Obj]],13,10),"")</f>
        <v/>
      </c>
      <c r="J5128" s="150" t="b">
        <f>Proc[[#This Row],[Requested]]=Proc[[#This Row],[CurrentParent]]</f>
        <v>1</v>
      </c>
      <c r="K5128" s="150" t="str">
        <f>IF(Proc[[#This Row],[Author]]="Marcela Urrego",VLOOKUP(LEFT(Proc[[#This Row],[Requested]],1),Table3[#All],2,0),VLOOKUP(Proc[[#This Row],[Author]],Table4[],2,0))</f>
        <v>MGF</v>
      </c>
      <c r="L5128" s="150" t="s">
        <v>6435</v>
      </c>
      <c r="M5128" s="177">
        <v>46009</v>
      </c>
      <c r="N5128" s="177"/>
      <c r="O5128" s="177"/>
      <c r="P5128" s="177" t="str">
        <f ca="1">IF(Proc[[#This Row],[DaysAgeing]]&gt;5,"yep","on track")</f>
        <v>yep</v>
      </c>
      <c r="Q5128" s="3">
        <f ca="1">IF(Proc[[#This Row],[DateClosed]]="",ABS(NETWORKDAYS(Proc[[#This Row],[DateOpened]],TODAY()))-1,ABS(NETWORKDAYS(Proc[[#This Row],[DateOpened]],Proc[[#This Row],[DateClosed]]))-1)</f>
        <v>11</v>
      </c>
      <c r="R5128" s="177" t="s">
        <v>481</v>
      </c>
      <c r="S5128" s="150"/>
    </row>
    <row r="5129" spans="1:19" hidden="1">
      <c r="A5129" s="149" t="s">
        <v>7399</v>
      </c>
      <c r="B5129" s="150" t="str">
        <f>IFERROR(VLOOKUP(Proc[[#This Row],[App]],Table2[],3,0),"open")</f>
        <v>ok</v>
      </c>
      <c r="C5129" s="149" t="s">
        <v>369</v>
      </c>
      <c r="D5129" t="s">
        <v>7397</v>
      </c>
      <c r="E5129" t="s">
        <v>1362</v>
      </c>
      <c r="F5129" s="150" t="s">
        <v>1362</v>
      </c>
      <c r="G5129" s="149" t="s">
        <v>406</v>
      </c>
      <c r="H5129" s="150" t="str">
        <f>IF(Proc[[#This Row],[type]]="LFF (MDG-F)",MID(Proc[[#This Row],[Obj]],13,10),"")</f>
        <v>DE10538620</v>
      </c>
      <c r="J5129" s="150" t="b">
        <f>Proc[[#This Row],[Requested]]=Proc[[#This Row],[CurrentParent]]</f>
        <v>1</v>
      </c>
      <c r="K5129" s="150" t="str">
        <f>IF(Proc[[#This Row],[Author]]="Marcela Urrego",VLOOKUP(LEFT(Proc[[#This Row],[Requested]],1),Table3[#All],2,0),VLOOKUP(Proc[[#This Row],[Author]],Table4[],2,0))</f>
        <v>MGF</v>
      </c>
      <c r="L5129" s="150" t="s">
        <v>6435</v>
      </c>
      <c r="M5129" s="177">
        <v>46009</v>
      </c>
      <c r="N5129" s="177"/>
      <c r="O5129" s="177"/>
      <c r="P5129" s="177" t="str">
        <f ca="1">IF(Proc[[#This Row],[DaysAgeing]]&gt;5,"yep","on track")</f>
        <v>yep</v>
      </c>
      <c r="Q5129" s="3">
        <f ca="1">IF(Proc[[#This Row],[DateClosed]]="",ABS(NETWORKDAYS(Proc[[#This Row],[DateOpened]],TODAY()))-1,ABS(NETWORKDAYS(Proc[[#This Row],[DateOpened]],Proc[[#This Row],[DateClosed]]))-1)</f>
        <v>11</v>
      </c>
      <c r="R5129" s="177" t="s">
        <v>481</v>
      </c>
      <c r="S5129" s="150"/>
    </row>
    <row r="5130" spans="1:19" hidden="1">
      <c r="A5130" s="149" t="s">
        <v>7399</v>
      </c>
      <c r="B5130" s="150" t="str">
        <f>IFERROR(VLOOKUP(Proc[[#This Row],[App]],Table2[],3,0),"open")</f>
        <v>ok</v>
      </c>
      <c r="C5130" s="149" t="s">
        <v>369</v>
      </c>
      <c r="D5130" t="s">
        <v>7398</v>
      </c>
      <c r="E5130" t="s">
        <v>1362</v>
      </c>
      <c r="F5130" s="150" t="s">
        <v>1362</v>
      </c>
      <c r="G5130" s="149" t="s">
        <v>406</v>
      </c>
      <c r="H5130" s="150" t="str">
        <f>IF(Proc[[#This Row],[type]]="LFF (MDG-F)",MID(Proc[[#This Row],[Obj]],13,10),"")</f>
        <v>DE20538620</v>
      </c>
      <c r="J5130" s="150" t="b">
        <f>Proc[[#This Row],[Requested]]=Proc[[#This Row],[CurrentParent]]</f>
        <v>1</v>
      </c>
      <c r="K5130" s="150" t="str">
        <f>IF(Proc[[#This Row],[Author]]="Marcela Urrego",VLOOKUP(LEFT(Proc[[#This Row],[Requested]],1),Table3[#All],2,0),VLOOKUP(Proc[[#This Row],[Author]],Table4[],2,0))</f>
        <v>MGF</v>
      </c>
      <c r="L5130" s="150" t="s">
        <v>6435</v>
      </c>
      <c r="M5130" s="177">
        <v>46009</v>
      </c>
      <c r="N5130" s="177"/>
      <c r="O5130" s="177"/>
      <c r="P5130" s="177" t="str">
        <f ca="1">IF(Proc[[#This Row],[DaysAgeing]]&gt;5,"yep","on track")</f>
        <v>yep</v>
      </c>
      <c r="Q5130" s="3">
        <f ca="1">IF(Proc[[#This Row],[DateClosed]]="",ABS(NETWORKDAYS(Proc[[#This Row],[DateOpened]],TODAY()))-1,ABS(NETWORKDAYS(Proc[[#This Row],[DateOpened]],Proc[[#This Row],[DateClosed]]))-1)</f>
        <v>11</v>
      </c>
      <c r="R5130" s="177" t="s">
        <v>481</v>
      </c>
      <c r="S5130" s="150"/>
    </row>
    <row r="5131" spans="1:19" hidden="1">
      <c r="A5131" s="149" t="s">
        <v>7410</v>
      </c>
      <c r="B5131" s="150" t="str">
        <f>IFERROR(VLOOKUP(Proc[[#This Row],[App]],Table2[],3,0),"open")</f>
        <v>open</v>
      </c>
      <c r="C5131" s="149" t="s">
        <v>369</v>
      </c>
      <c r="D5131" t="s">
        <v>7412</v>
      </c>
      <c r="E5131" t="s">
        <v>7409</v>
      </c>
      <c r="F5131" s="150" t="s">
        <v>7409</v>
      </c>
      <c r="G5131" s="149" t="s">
        <v>400</v>
      </c>
      <c r="H5131" s="150" t="str">
        <f>IF(Proc[[#This Row],[type]]="LFF (MDG-F)",MID(Proc[[#This Row],[Obj]],13,10),"")</f>
        <v/>
      </c>
      <c r="J5131" s="150" t="b">
        <f>Proc[[#This Row],[Requested]]=Proc[[#This Row],[CurrentParent]]</f>
        <v>1</v>
      </c>
      <c r="K5131" s="150" t="str">
        <f>IF(Proc[[#This Row],[Author]]="Marcela Urrego",VLOOKUP(LEFT(Proc[[#This Row],[Requested]],1),Table3[#All],2,0),VLOOKUP(Proc[[#This Row],[Author]],Table4[],2,0))</f>
        <v>MGF</v>
      </c>
      <c r="L5131" s="150" t="s">
        <v>6435</v>
      </c>
      <c r="M5131" s="177">
        <v>46015</v>
      </c>
      <c r="N5131" s="177"/>
      <c r="O5131" s="177"/>
      <c r="P5131" s="177" t="str">
        <f ca="1">IF(Proc[[#This Row],[DaysAgeing]]&gt;5,"yep","on track")</f>
        <v>yep</v>
      </c>
      <c r="Q5131" s="3">
        <f ca="1">IF(Proc[[#This Row],[DateClosed]]="",ABS(NETWORKDAYS(Proc[[#This Row],[DateOpened]],TODAY()))-1,ABS(NETWORKDAYS(Proc[[#This Row],[DateOpened]],Proc[[#This Row],[DateClosed]]))-1)</f>
        <v>7</v>
      </c>
      <c r="R5131" s="177" t="s">
        <v>7411</v>
      </c>
      <c r="S5131" s="150"/>
    </row>
    <row r="5132" spans="1:19" hidden="1">
      <c r="A5132" s="149" t="s">
        <v>7410</v>
      </c>
      <c r="B5132" s="150" t="str">
        <f>IFERROR(VLOOKUP(Proc[[#This Row],[App]],Table2[],3,0),"open")</f>
        <v>open</v>
      </c>
      <c r="C5132" s="149" t="s">
        <v>369</v>
      </c>
      <c r="D5132" t="s">
        <v>7413</v>
      </c>
      <c r="E5132" t="s">
        <v>7409</v>
      </c>
      <c r="F5132" s="150" t="s">
        <v>7409</v>
      </c>
      <c r="G5132" s="149" t="s">
        <v>400</v>
      </c>
      <c r="H5132" s="150" t="str">
        <f>IF(Proc[[#This Row],[type]]="LFF (MDG-F)",MID(Proc[[#This Row],[Obj]],13,10),"")</f>
        <v/>
      </c>
      <c r="J5132" s="150" t="b">
        <f>Proc[[#This Row],[Requested]]=Proc[[#This Row],[CurrentParent]]</f>
        <v>1</v>
      </c>
      <c r="K5132" s="150" t="str">
        <f>IF(Proc[[#This Row],[Author]]="Marcela Urrego",VLOOKUP(LEFT(Proc[[#This Row],[Requested]],1),Table3[#All],2,0),VLOOKUP(Proc[[#This Row],[Author]],Table4[],2,0))</f>
        <v>MGF</v>
      </c>
      <c r="L5132" s="150" t="s">
        <v>6435</v>
      </c>
      <c r="M5132" s="177">
        <v>46015</v>
      </c>
      <c r="N5132" s="177"/>
      <c r="O5132" s="177"/>
      <c r="P5132" s="177" t="str">
        <f ca="1">IF(Proc[[#This Row],[DaysAgeing]]&gt;5,"yep","on track")</f>
        <v>yep</v>
      </c>
      <c r="Q5132" s="3">
        <f ca="1">IF(Proc[[#This Row],[DateClosed]]="",ABS(NETWORKDAYS(Proc[[#This Row],[DateOpened]],TODAY()))-1,ABS(NETWORKDAYS(Proc[[#This Row],[DateOpened]],Proc[[#This Row],[DateClosed]]))-1)</f>
        <v>7</v>
      </c>
      <c r="R5132" s="177" t="s">
        <v>7411</v>
      </c>
      <c r="S5132" s="150"/>
    </row>
    <row r="5133" spans="1:19" hidden="1">
      <c r="A5133" s="149" t="s">
        <v>7410</v>
      </c>
      <c r="B5133" s="150" t="str">
        <f>IFERROR(VLOOKUP(Proc[[#This Row],[App]],Table2[],3,0),"open")</f>
        <v>open</v>
      </c>
      <c r="C5133" s="149" t="s">
        <v>369</v>
      </c>
      <c r="D5133" t="s">
        <v>7414</v>
      </c>
      <c r="E5133" t="s">
        <v>7409</v>
      </c>
      <c r="F5133" s="150" t="s">
        <v>7409</v>
      </c>
      <c r="G5133" s="149" t="s">
        <v>400</v>
      </c>
      <c r="H5133" s="150" t="str">
        <f>IF(Proc[[#This Row],[type]]="LFF (MDG-F)",MID(Proc[[#This Row],[Obj]],13,10),"")</f>
        <v/>
      </c>
      <c r="J5133" s="150" t="b">
        <f>Proc[[#This Row],[Requested]]=Proc[[#This Row],[CurrentParent]]</f>
        <v>1</v>
      </c>
      <c r="K5133" s="150" t="str">
        <f>IF(Proc[[#This Row],[Author]]="Marcela Urrego",VLOOKUP(LEFT(Proc[[#This Row],[Requested]],1),Table3[#All],2,0),VLOOKUP(Proc[[#This Row],[Author]],Table4[],2,0))</f>
        <v>MGF</v>
      </c>
      <c r="L5133" s="150" t="s">
        <v>6435</v>
      </c>
      <c r="M5133" s="177">
        <v>46015</v>
      </c>
      <c r="N5133" s="177"/>
      <c r="O5133" s="177"/>
      <c r="P5133" s="177" t="str">
        <f ca="1">IF(Proc[[#This Row],[DaysAgeing]]&gt;5,"yep","on track")</f>
        <v>yep</v>
      </c>
      <c r="Q5133" s="3">
        <f ca="1">IF(Proc[[#This Row],[DateClosed]]="",ABS(NETWORKDAYS(Proc[[#This Row],[DateOpened]],TODAY()))-1,ABS(NETWORKDAYS(Proc[[#This Row],[DateOpened]],Proc[[#This Row],[DateClosed]]))-1)</f>
        <v>7</v>
      </c>
      <c r="R5133" s="177" t="s">
        <v>7411</v>
      </c>
      <c r="S5133" s="150"/>
    </row>
    <row r="5134" spans="1:19" hidden="1">
      <c r="A5134" s="149" t="s">
        <v>7410</v>
      </c>
      <c r="B5134" s="150" t="str">
        <f>IFERROR(VLOOKUP(Proc[[#This Row],[App]],Table2[],3,0),"open")</f>
        <v>open</v>
      </c>
      <c r="C5134" s="149" t="s">
        <v>369</v>
      </c>
      <c r="D5134" t="s">
        <v>7415</v>
      </c>
      <c r="E5134" t="s">
        <v>7409</v>
      </c>
      <c r="F5134" s="150" t="s">
        <v>7409</v>
      </c>
      <c r="G5134" s="149" t="s">
        <v>400</v>
      </c>
      <c r="H5134" s="150" t="str">
        <f>IF(Proc[[#This Row],[type]]="LFF (MDG-F)",MID(Proc[[#This Row],[Obj]],13,10),"")</f>
        <v/>
      </c>
      <c r="J5134" s="150" t="b">
        <f>Proc[[#This Row],[Requested]]=Proc[[#This Row],[CurrentParent]]</f>
        <v>1</v>
      </c>
      <c r="K5134" s="150" t="str">
        <f>IF(Proc[[#This Row],[Author]]="Marcela Urrego",VLOOKUP(LEFT(Proc[[#This Row],[Requested]],1),Table3[#All],2,0),VLOOKUP(Proc[[#This Row],[Author]],Table4[],2,0))</f>
        <v>MGF</v>
      </c>
      <c r="L5134" s="150" t="s">
        <v>6435</v>
      </c>
      <c r="M5134" s="177">
        <v>46015</v>
      </c>
      <c r="N5134" s="177"/>
      <c r="O5134" s="177"/>
      <c r="P5134" s="177" t="str">
        <f ca="1">IF(Proc[[#This Row],[DaysAgeing]]&gt;5,"yep","on track")</f>
        <v>yep</v>
      </c>
      <c r="Q5134" s="3">
        <f ca="1">IF(Proc[[#This Row],[DateClosed]]="",ABS(NETWORKDAYS(Proc[[#This Row],[DateOpened]],TODAY()))-1,ABS(NETWORKDAYS(Proc[[#This Row],[DateOpened]],Proc[[#This Row],[DateClosed]]))-1)</f>
        <v>7</v>
      </c>
      <c r="R5134" s="177" t="s">
        <v>7411</v>
      </c>
      <c r="S5134" s="150"/>
    </row>
    <row r="5135" spans="1:19" hidden="1">
      <c r="A5135" s="149" t="s">
        <v>7410</v>
      </c>
      <c r="B5135" s="150" t="str">
        <f>IFERROR(VLOOKUP(Proc[[#This Row],[App]],Table2[],3,0),"open")</f>
        <v>open</v>
      </c>
      <c r="C5135" s="149" t="s">
        <v>369</v>
      </c>
      <c r="D5135" t="s">
        <v>7416</v>
      </c>
      <c r="E5135" t="s">
        <v>7409</v>
      </c>
      <c r="F5135" s="150" t="s">
        <v>7409</v>
      </c>
      <c r="G5135" s="149" t="s">
        <v>400</v>
      </c>
      <c r="H5135" s="150" t="str">
        <f>IF(Proc[[#This Row],[type]]="LFF (MDG-F)",MID(Proc[[#This Row],[Obj]],13,10),"")</f>
        <v/>
      </c>
      <c r="J5135" s="150" t="b">
        <f>Proc[[#This Row],[Requested]]=Proc[[#This Row],[CurrentParent]]</f>
        <v>1</v>
      </c>
      <c r="K5135" s="150" t="str">
        <f>IF(Proc[[#This Row],[Author]]="Marcela Urrego",VLOOKUP(LEFT(Proc[[#This Row],[Requested]],1),Table3[#All],2,0),VLOOKUP(Proc[[#This Row],[Author]],Table4[],2,0))</f>
        <v>MGF</v>
      </c>
      <c r="L5135" s="150" t="s">
        <v>6435</v>
      </c>
      <c r="M5135" s="177">
        <v>46015</v>
      </c>
      <c r="N5135" s="177"/>
      <c r="O5135" s="177"/>
      <c r="P5135" s="177" t="str">
        <f ca="1">IF(Proc[[#This Row],[DaysAgeing]]&gt;5,"yep","on track")</f>
        <v>yep</v>
      </c>
      <c r="Q5135" s="3">
        <f ca="1">IF(Proc[[#This Row],[DateClosed]]="",ABS(NETWORKDAYS(Proc[[#This Row],[DateOpened]],TODAY()))-1,ABS(NETWORKDAYS(Proc[[#This Row],[DateOpened]],Proc[[#This Row],[DateClosed]]))-1)</f>
        <v>7</v>
      </c>
      <c r="R5135" s="177" t="s">
        <v>7411</v>
      </c>
      <c r="S5135" s="150"/>
    </row>
    <row r="5136" spans="1:19" hidden="1">
      <c r="A5136" s="149" t="s">
        <v>7410</v>
      </c>
      <c r="B5136" s="150" t="str">
        <f>IFERROR(VLOOKUP(Proc[[#This Row],[App]],Table2[],3,0),"open")</f>
        <v>open</v>
      </c>
      <c r="C5136" s="149" t="s">
        <v>369</v>
      </c>
      <c r="D5136" t="s">
        <v>7414</v>
      </c>
      <c r="E5136" t="s">
        <v>7409</v>
      </c>
      <c r="F5136" s="150" t="s">
        <v>7409</v>
      </c>
      <c r="G5136" s="149" t="s">
        <v>400</v>
      </c>
      <c r="H5136" s="150" t="str">
        <f>IF(Proc[[#This Row],[type]]="LFF (MDG-F)",MID(Proc[[#This Row],[Obj]],13,10),"")</f>
        <v/>
      </c>
      <c r="J5136" s="150" t="b">
        <f>Proc[[#This Row],[Requested]]=Proc[[#This Row],[CurrentParent]]</f>
        <v>1</v>
      </c>
      <c r="K5136" s="150" t="str">
        <f>IF(Proc[[#This Row],[Author]]="Marcela Urrego",VLOOKUP(LEFT(Proc[[#This Row],[Requested]],1),Table3[#All],2,0),VLOOKUP(Proc[[#This Row],[Author]],Table4[],2,0))</f>
        <v>MGF</v>
      </c>
      <c r="L5136" s="150" t="s">
        <v>6435</v>
      </c>
      <c r="M5136" s="177">
        <v>46015</v>
      </c>
      <c r="N5136" s="177"/>
      <c r="O5136" s="177"/>
      <c r="P5136" s="177" t="str">
        <f ca="1">IF(Proc[[#This Row],[DaysAgeing]]&gt;5,"yep","on track")</f>
        <v>yep</v>
      </c>
      <c r="Q5136" s="3">
        <f ca="1">IF(Proc[[#This Row],[DateClosed]]="",ABS(NETWORKDAYS(Proc[[#This Row],[DateOpened]],TODAY()))-1,ABS(NETWORKDAYS(Proc[[#This Row],[DateOpened]],Proc[[#This Row],[DateClosed]]))-1)</f>
        <v>7</v>
      </c>
      <c r="R5136" s="177" t="s">
        <v>7411</v>
      </c>
      <c r="S5136" s="150"/>
    </row>
    <row r="5137" spans="1:19" hidden="1">
      <c r="A5137" s="149" t="s">
        <v>7410</v>
      </c>
      <c r="B5137" s="150" t="str">
        <f>IFERROR(VLOOKUP(Proc[[#This Row],[App]],Table2[],3,0),"open")</f>
        <v>open</v>
      </c>
      <c r="C5137" s="149" t="s">
        <v>369</v>
      </c>
      <c r="D5137" t="s">
        <v>7417</v>
      </c>
      <c r="E5137" t="s">
        <v>7409</v>
      </c>
      <c r="F5137" s="150" t="s">
        <v>7409</v>
      </c>
      <c r="G5137" s="149" t="s">
        <v>400</v>
      </c>
      <c r="H5137" s="150" t="str">
        <f>IF(Proc[[#This Row],[type]]="LFF (MDG-F)",MID(Proc[[#This Row],[Obj]],13,10),"")</f>
        <v/>
      </c>
      <c r="J5137" s="150" t="b">
        <f>Proc[[#This Row],[Requested]]=Proc[[#This Row],[CurrentParent]]</f>
        <v>1</v>
      </c>
      <c r="K5137" s="150" t="str">
        <f>IF(Proc[[#This Row],[Author]]="Marcela Urrego",VLOOKUP(LEFT(Proc[[#This Row],[Requested]],1),Table3[#All],2,0),VLOOKUP(Proc[[#This Row],[Author]],Table4[],2,0))</f>
        <v>MGF</v>
      </c>
      <c r="L5137" s="150" t="s">
        <v>6435</v>
      </c>
      <c r="M5137" s="177">
        <v>46015</v>
      </c>
      <c r="N5137" s="177"/>
      <c r="O5137" s="177"/>
      <c r="P5137" s="177" t="str">
        <f ca="1">IF(Proc[[#This Row],[DaysAgeing]]&gt;5,"yep","on track")</f>
        <v>yep</v>
      </c>
      <c r="Q5137" s="3">
        <f ca="1">IF(Proc[[#This Row],[DateClosed]]="",ABS(NETWORKDAYS(Proc[[#This Row],[DateOpened]],TODAY()))-1,ABS(NETWORKDAYS(Proc[[#This Row],[DateOpened]],Proc[[#This Row],[DateClosed]]))-1)</f>
        <v>7</v>
      </c>
      <c r="R5137" s="177" t="s">
        <v>7411</v>
      </c>
      <c r="S5137" s="150"/>
    </row>
    <row r="5138" spans="1:19" hidden="1">
      <c r="A5138" s="149" t="s">
        <v>7410</v>
      </c>
      <c r="B5138" s="150" t="str">
        <f>IFERROR(VLOOKUP(Proc[[#This Row],[App]],Table2[],3,0),"open")</f>
        <v>open</v>
      </c>
      <c r="C5138" s="149" t="s">
        <v>369</v>
      </c>
      <c r="D5138" t="s">
        <v>7418</v>
      </c>
      <c r="E5138" t="s">
        <v>7409</v>
      </c>
      <c r="F5138" s="150" t="s">
        <v>7409</v>
      </c>
      <c r="G5138" s="149" t="s">
        <v>400</v>
      </c>
      <c r="H5138" s="150" t="str">
        <f>IF(Proc[[#This Row],[type]]="LFF (MDG-F)",MID(Proc[[#This Row],[Obj]],13,10),"")</f>
        <v/>
      </c>
      <c r="J5138" s="150" t="b">
        <f>Proc[[#This Row],[Requested]]=Proc[[#This Row],[CurrentParent]]</f>
        <v>1</v>
      </c>
      <c r="K5138" s="150" t="str">
        <f>IF(Proc[[#This Row],[Author]]="Marcela Urrego",VLOOKUP(LEFT(Proc[[#This Row],[Requested]],1),Table3[#All],2,0),VLOOKUP(Proc[[#This Row],[Author]],Table4[],2,0))</f>
        <v>MGF</v>
      </c>
      <c r="L5138" s="150" t="s">
        <v>6435</v>
      </c>
      <c r="M5138" s="177">
        <v>46015</v>
      </c>
      <c r="N5138" s="177"/>
      <c r="O5138" s="177"/>
      <c r="P5138" s="177" t="str">
        <f ca="1">IF(Proc[[#This Row],[DaysAgeing]]&gt;5,"yep","on track")</f>
        <v>yep</v>
      </c>
      <c r="Q5138" s="3">
        <f ca="1">IF(Proc[[#This Row],[DateClosed]]="",ABS(NETWORKDAYS(Proc[[#This Row],[DateOpened]],TODAY()))-1,ABS(NETWORKDAYS(Proc[[#This Row],[DateOpened]],Proc[[#This Row],[DateClosed]]))-1)</f>
        <v>7</v>
      </c>
      <c r="R5138" s="177" t="s">
        <v>7411</v>
      </c>
      <c r="S5138" s="150"/>
    </row>
    <row r="5139" spans="1:19" hidden="1">
      <c r="A5139" s="149" t="s">
        <v>7410</v>
      </c>
      <c r="B5139" s="150" t="str">
        <f>IFERROR(VLOOKUP(Proc[[#This Row],[App]],Table2[],3,0),"open")</f>
        <v>open</v>
      </c>
      <c r="C5139" s="149" t="s">
        <v>369</v>
      </c>
      <c r="D5139" t="s">
        <v>7419</v>
      </c>
      <c r="E5139" t="s">
        <v>7409</v>
      </c>
      <c r="F5139" s="150" t="s">
        <v>7409</v>
      </c>
      <c r="G5139" s="149" t="s">
        <v>400</v>
      </c>
      <c r="H5139" s="150" t="str">
        <f>IF(Proc[[#This Row],[type]]="LFF (MDG-F)",MID(Proc[[#This Row],[Obj]],13,10),"")</f>
        <v/>
      </c>
      <c r="J5139" s="150" t="b">
        <f>Proc[[#This Row],[Requested]]=Proc[[#This Row],[CurrentParent]]</f>
        <v>1</v>
      </c>
      <c r="K5139" s="150" t="str">
        <f>IF(Proc[[#This Row],[Author]]="Marcela Urrego",VLOOKUP(LEFT(Proc[[#This Row],[Requested]],1),Table3[#All],2,0),VLOOKUP(Proc[[#This Row],[Author]],Table4[],2,0))</f>
        <v>MGF</v>
      </c>
      <c r="L5139" s="150" t="s">
        <v>6435</v>
      </c>
      <c r="M5139" s="177">
        <v>46015</v>
      </c>
      <c r="N5139" s="177"/>
      <c r="O5139" s="177"/>
      <c r="P5139" s="177" t="str">
        <f ca="1">IF(Proc[[#This Row],[DaysAgeing]]&gt;5,"yep","on track")</f>
        <v>yep</v>
      </c>
      <c r="Q5139" s="3">
        <f ca="1">IF(Proc[[#This Row],[DateClosed]]="",ABS(NETWORKDAYS(Proc[[#This Row],[DateOpened]],TODAY()))-1,ABS(NETWORKDAYS(Proc[[#This Row],[DateOpened]],Proc[[#This Row],[DateClosed]]))-1)</f>
        <v>7</v>
      </c>
      <c r="R5139" s="177" t="s">
        <v>7411</v>
      </c>
      <c r="S5139" s="150"/>
    </row>
    <row r="5140" spans="1:19" hidden="1">
      <c r="A5140" s="149" t="s">
        <v>7410</v>
      </c>
      <c r="B5140" s="150" t="str">
        <f>IFERROR(VLOOKUP(Proc[[#This Row],[App]],Table2[],3,0),"open")</f>
        <v>open</v>
      </c>
      <c r="C5140" s="149" t="s">
        <v>369</v>
      </c>
      <c r="D5140" t="s">
        <v>7420</v>
      </c>
      <c r="E5140" t="s">
        <v>7409</v>
      </c>
      <c r="F5140" s="150" t="s">
        <v>7409</v>
      </c>
      <c r="G5140" s="149" t="s">
        <v>400</v>
      </c>
      <c r="H5140" s="150" t="str">
        <f>IF(Proc[[#This Row],[type]]="LFF (MDG-F)",MID(Proc[[#This Row],[Obj]],13,10),"")</f>
        <v/>
      </c>
      <c r="J5140" s="150" t="b">
        <f>Proc[[#This Row],[Requested]]=Proc[[#This Row],[CurrentParent]]</f>
        <v>1</v>
      </c>
      <c r="K5140" s="150" t="str">
        <f>IF(Proc[[#This Row],[Author]]="Marcela Urrego",VLOOKUP(LEFT(Proc[[#This Row],[Requested]],1),Table3[#All],2,0),VLOOKUP(Proc[[#This Row],[Author]],Table4[],2,0))</f>
        <v>MGF</v>
      </c>
      <c r="L5140" s="150" t="s">
        <v>6435</v>
      </c>
      <c r="M5140" s="177">
        <v>46015</v>
      </c>
      <c r="N5140" s="177"/>
      <c r="O5140" s="177"/>
      <c r="P5140" s="177" t="str">
        <f ca="1">IF(Proc[[#This Row],[DaysAgeing]]&gt;5,"yep","on track")</f>
        <v>yep</v>
      </c>
      <c r="Q5140" s="3">
        <f ca="1">IF(Proc[[#This Row],[DateClosed]]="",ABS(NETWORKDAYS(Proc[[#This Row],[DateOpened]],TODAY()))-1,ABS(NETWORKDAYS(Proc[[#This Row],[DateOpened]],Proc[[#This Row],[DateClosed]]))-1)</f>
        <v>7</v>
      </c>
      <c r="R5140" s="177" t="s">
        <v>7411</v>
      </c>
      <c r="S5140" s="150"/>
    </row>
    <row r="5141" spans="1:19" hidden="1">
      <c r="A5141" s="149" t="s">
        <v>7410</v>
      </c>
      <c r="B5141" s="150" t="str">
        <f>IFERROR(VLOOKUP(Proc[[#This Row],[App]],Table2[],3,0),"open")</f>
        <v>open</v>
      </c>
      <c r="C5141" s="149" t="s">
        <v>369</v>
      </c>
      <c r="D5141" t="s">
        <v>7421</v>
      </c>
      <c r="E5141" t="s">
        <v>7409</v>
      </c>
      <c r="F5141" s="150" t="s">
        <v>7409</v>
      </c>
      <c r="G5141" s="149" t="s">
        <v>400</v>
      </c>
      <c r="H5141" s="150" t="str">
        <f>IF(Proc[[#This Row],[type]]="LFF (MDG-F)",MID(Proc[[#This Row],[Obj]],13,10),"")</f>
        <v/>
      </c>
      <c r="J5141" s="150" t="b">
        <f>Proc[[#This Row],[Requested]]=Proc[[#This Row],[CurrentParent]]</f>
        <v>1</v>
      </c>
      <c r="K5141" s="150" t="str">
        <f>IF(Proc[[#This Row],[Author]]="Marcela Urrego",VLOOKUP(LEFT(Proc[[#This Row],[Requested]],1),Table3[#All],2,0),VLOOKUP(Proc[[#This Row],[Author]],Table4[],2,0))</f>
        <v>MGF</v>
      </c>
      <c r="L5141" s="150" t="s">
        <v>6435</v>
      </c>
      <c r="M5141" s="177">
        <v>46015</v>
      </c>
      <c r="N5141" s="177"/>
      <c r="O5141" s="177"/>
      <c r="P5141" s="177" t="str">
        <f ca="1">IF(Proc[[#This Row],[DaysAgeing]]&gt;5,"yep","on track")</f>
        <v>yep</v>
      </c>
      <c r="Q5141" s="3">
        <f ca="1">IF(Proc[[#This Row],[DateClosed]]="",ABS(NETWORKDAYS(Proc[[#This Row],[DateOpened]],TODAY()))-1,ABS(NETWORKDAYS(Proc[[#This Row],[DateOpened]],Proc[[#This Row],[DateClosed]]))-1)</f>
        <v>7</v>
      </c>
      <c r="R5141" s="177" t="s">
        <v>7411</v>
      </c>
      <c r="S5141" s="150"/>
    </row>
    <row r="5142" spans="1:19" hidden="1">
      <c r="A5142" s="149" t="s">
        <v>7410</v>
      </c>
      <c r="B5142" s="150" t="str">
        <f>IFERROR(VLOOKUP(Proc[[#This Row],[App]],Table2[],3,0),"open")</f>
        <v>open</v>
      </c>
      <c r="C5142" s="149" t="s">
        <v>369</v>
      </c>
      <c r="D5142" t="s">
        <v>7422</v>
      </c>
      <c r="E5142" t="s">
        <v>7409</v>
      </c>
      <c r="F5142" s="150" t="s">
        <v>7409</v>
      </c>
      <c r="G5142" s="149" t="s">
        <v>400</v>
      </c>
      <c r="H5142" s="150" t="str">
        <f>IF(Proc[[#This Row],[type]]="LFF (MDG-F)",MID(Proc[[#This Row],[Obj]],13,10),"")</f>
        <v/>
      </c>
      <c r="J5142" s="150" t="b">
        <f>Proc[[#This Row],[Requested]]=Proc[[#This Row],[CurrentParent]]</f>
        <v>1</v>
      </c>
      <c r="K5142" s="150" t="str">
        <f>IF(Proc[[#This Row],[Author]]="Marcela Urrego",VLOOKUP(LEFT(Proc[[#This Row],[Requested]],1),Table3[#All],2,0),VLOOKUP(Proc[[#This Row],[Author]],Table4[],2,0))</f>
        <v>MGF</v>
      </c>
      <c r="L5142" s="150" t="s">
        <v>6435</v>
      </c>
      <c r="M5142" s="177">
        <v>46015</v>
      </c>
      <c r="N5142" s="177"/>
      <c r="O5142" s="177"/>
      <c r="P5142" s="177" t="str">
        <f ca="1">IF(Proc[[#This Row],[DaysAgeing]]&gt;5,"yep","on track")</f>
        <v>yep</v>
      </c>
      <c r="Q5142" s="3">
        <f ca="1">IF(Proc[[#This Row],[DateClosed]]="",ABS(NETWORKDAYS(Proc[[#This Row],[DateOpened]],TODAY()))-1,ABS(NETWORKDAYS(Proc[[#This Row],[DateOpened]],Proc[[#This Row],[DateClosed]]))-1)</f>
        <v>7</v>
      </c>
      <c r="R5142" s="177" t="s">
        <v>7411</v>
      </c>
      <c r="S5142" s="150"/>
    </row>
    <row r="5143" spans="1:19" hidden="1">
      <c r="A5143" s="149" t="s">
        <v>7410</v>
      </c>
      <c r="B5143" s="150" t="str">
        <f>IFERROR(VLOOKUP(Proc[[#This Row],[App]],Table2[],3,0),"open")</f>
        <v>open</v>
      </c>
      <c r="C5143" s="149" t="s">
        <v>369</v>
      </c>
      <c r="D5143" t="s">
        <v>7423</v>
      </c>
      <c r="E5143" t="s">
        <v>7409</v>
      </c>
      <c r="F5143" s="150" t="s">
        <v>7409</v>
      </c>
      <c r="G5143" s="149" t="s">
        <v>400</v>
      </c>
      <c r="H5143" s="150" t="str">
        <f>IF(Proc[[#This Row],[type]]="LFF (MDG-F)",MID(Proc[[#This Row],[Obj]],13,10),"")</f>
        <v/>
      </c>
      <c r="J5143" s="150" t="b">
        <f>Proc[[#This Row],[Requested]]=Proc[[#This Row],[CurrentParent]]</f>
        <v>1</v>
      </c>
      <c r="K5143" s="150" t="str">
        <f>IF(Proc[[#This Row],[Author]]="Marcela Urrego",VLOOKUP(LEFT(Proc[[#This Row],[Requested]],1),Table3[#All],2,0),VLOOKUP(Proc[[#This Row],[Author]],Table4[],2,0))</f>
        <v>MGF</v>
      </c>
      <c r="L5143" s="150" t="s">
        <v>6435</v>
      </c>
      <c r="M5143" s="177">
        <v>46015</v>
      </c>
      <c r="N5143" s="177"/>
      <c r="O5143" s="177"/>
      <c r="P5143" s="177" t="str">
        <f ca="1">IF(Proc[[#This Row],[DaysAgeing]]&gt;5,"yep","on track")</f>
        <v>yep</v>
      </c>
      <c r="Q5143" s="3">
        <f ca="1">IF(Proc[[#This Row],[DateClosed]]="",ABS(NETWORKDAYS(Proc[[#This Row],[DateOpened]],TODAY()))-1,ABS(NETWORKDAYS(Proc[[#This Row],[DateOpened]],Proc[[#This Row],[DateClosed]]))-1)</f>
        <v>7</v>
      </c>
      <c r="R5143" s="177" t="s">
        <v>7411</v>
      </c>
      <c r="S5143" s="150"/>
    </row>
    <row r="5144" spans="1:19" hidden="1">
      <c r="A5144" s="149" t="s">
        <v>7410</v>
      </c>
      <c r="B5144" s="150" t="str">
        <f>IFERROR(VLOOKUP(Proc[[#This Row],[App]],Table2[],3,0),"open")</f>
        <v>open</v>
      </c>
      <c r="C5144" s="149" t="s">
        <v>369</v>
      </c>
      <c r="D5144" t="s">
        <v>7424</v>
      </c>
      <c r="E5144" t="s">
        <v>7409</v>
      </c>
      <c r="F5144" s="150" t="s">
        <v>7409</v>
      </c>
      <c r="G5144" s="149" t="s">
        <v>400</v>
      </c>
      <c r="H5144" s="150" t="str">
        <f>IF(Proc[[#This Row],[type]]="LFF (MDG-F)",MID(Proc[[#This Row],[Obj]],13,10),"")</f>
        <v/>
      </c>
      <c r="J5144" s="150" t="b">
        <f>Proc[[#This Row],[Requested]]=Proc[[#This Row],[CurrentParent]]</f>
        <v>1</v>
      </c>
      <c r="K5144" s="150" t="str">
        <f>IF(Proc[[#This Row],[Author]]="Marcela Urrego",VLOOKUP(LEFT(Proc[[#This Row],[Requested]],1),Table3[#All],2,0),VLOOKUP(Proc[[#This Row],[Author]],Table4[],2,0))</f>
        <v>MGF</v>
      </c>
      <c r="L5144" s="150" t="s">
        <v>6435</v>
      </c>
      <c r="M5144" s="177">
        <v>46015</v>
      </c>
      <c r="N5144" s="177"/>
      <c r="O5144" s="177"/>
      <c r="P5144" s="177" t="str">
        <f ca="1">IF(Proc[[#This Row],[DaysAgeing]]&gt;5,"yep","on track")</f>
        <v>yep</v>
      </c>
      <c r="Q5144" s="3">
        <f ca="1">IF(Proc[[#This Row],[DateClosed]]="",ABS(NETWORKDAYS(Proc[[#This Row],[DateOpened]],TODAY()))-1,ABS(NETWORKDAYS(Proc[[#This Row],[DateOpened]],Proc[[#This Row],[DateClosed]]))-1)</f>
        <v>7</v>
      </c>
      <c r="R5144" s="177" t="s">
        <v>7411</v>
      </c>
      <c r="S5144" s="150"/>
    </row>
    <row r="5145" spans="1:19" hidden="1">
      <c r="A5145" s="149" t="s">
        <v>7410</v>
      </c>
      <c r="B5145" s="150" t="str">
        <f>IFERROR(VLOOKUP(Proc[[#This Row],[App]],Table2[],3,0),"open")</f>
        <v>open</v>
      </c>
      <c r="C5145" s="149" t="s">
        <v>369</v>
      </c>
      <c r="D5145" t="s">
        <v>7425</v>
      </c>
      <c r="E5145" t="s">
        <v>7409</v>
      </c>
      <c r="F5145" s="150" t="s">
        <v>7409</v>
      </c>
      <c r="G5145" s="149" t="s">
        <v>400</v>
      </c>
      <c r="H5145" s="150" t="str">
        <f>IF(Proc[[#This Row],[type]]="LFF (MDG-F)",MID(Proc[[#This Row],[Obj]],13,10),"")</f>
        <v/>
      </c>
      <c r="J5145" s="150" t="b">
        <f>Proc[[#This Row],[Requested]]=Proc[[#This Row],[CurrentParent]]</f>
        <v>1</v>
      </c>
      <c r="K5145" s="150" t="str">
        <f>IF(Proc[[#This Row],[Author]]="Marcela Urrego",VLOOKUP(LEFT(Proc[[#This Row],[Requested]],1),Table3[#All],2,0),VLOOKUP(Proc[[#This Row],[Author]],Table4[],2,0))</f>
        <v>MGF</v>
      </c>
      <c r="L5145" s="150" t="s">
        <v>6435</v>
      </c>
      <c r="M5145" s="177">
        <v>46015</v>
      </c>
      <c r="N5145" s="177"/>
      <c r="O5145" s="177"/>
      <c r="P5145" s="177" t="str">
        <f ca="1">IF(Proc[[#This Row],[DaysAgeing]]&gt;5,"yep","on track")</f>
        <v>yep</v>
      </c>
      <c r="Q5145" s="3">
        <f ca="1">IF(Proc[[#This Row],[DateClosed]]="",ABS(NETWORKDAYS(Proc[[#This Row],[DateOpened]],TODAY()))-1,ABS(NETWORKDAYS(Proc[[#This Row],[DateOpened]],Proc[[#This Row],[DateClosed]]))-1)</f>
        <v>7</v>
      </c>
      <c r="R5145" s="177" t="s">
        <v>7411</v>
      </c>
      <c r="S5145" s="150"/>
    </row>
    <row r="5146" spans="1:19" hidden="1">
      <c r="A5146" s="149" t="s">
        <v>7410</v>
      </c>
      <c r="B5146" s="150" t="str">
        <f>IFERROR(VLOOKUP(Proc[[#This Row],[App]],Table2[],3,0),"open")</f>
        <v>open</v>
      </c>
      <c r="C5146" s="149" t="s">
        <v>369</v>
      </c>
      <c r="D5146" t="s">
        <v>7426</v>
      </c>
      <c r="E5146" t="s">
        <v>7409</v>
      </c>
      <c r="F5146" s="150" t="s">
        <v>7409</v>
      </c>
      <c r="G5146" s="149" t="s">
        <v>400</v>
      </c>
      <c r="H5146" s="150" t="str">
        <f>IF(Proc[[#This Row],[type]]="LFF (MDG-F)",MID(Proc[[#This Row],[Obj]],13,10),"")</f>
        <v/>
      </c>
      <c r="J5146" s="150" t="b">
        <f>Proc[[#This Row],[Requested]]=Proc[[#This Row],[CurrentParent]]</f>
        <v>1</v>
      </c>
      <c r="K5146" s="150" t="str">
        <f>IF(Proc[[#This Row],[Author]]="Marcela Urrego",VLOOKUP(LEFT(Proc[[#This Row],[Requested]],1),Table3[#All],2,0),VLOOKUP(Proc[[#This Row],[Author]],Table4[],2,0))</f>
        <v>MGF</v>
      </c>
      <c r="L5146" s="150" t="s">
        <v>6435</v>
      </c>
      <c r="M5146" s="177">
        <v>46015</v>
      </c>
      <c r="N5146" s="177"/>
      <c r="O5146" s="177"/>
      <c r="P5146" s="177" t="str">
        <f ca="1">IF(Proc[[#This Row],[DaysAgeing]]&gt;5,"yep","on track")</f>
        <v>yep</v>
      </c>
      <c r="Q5146" s="3">
        <f ca="1">IF(Proc[[#This Row],[DateClosed]]="",ABS(NETWORKDAYS(Proc[[#This Row],[DateOpened]],TODAY()))-1,ABS(NETWORKDAYS(Proc[[#This Row],[DateOpened]],Proc[[#This Row],[DateClosed]]))-1)</f>
        <v>7</v>
      </c>
      <c r="R5146" s="177" t="s">
        <v>7411</v>
      </c>
      <c r="S5146" s="150"/>
    </row>
    <row r="5147" spans="1:19" hidden="1">
      <c r="A5147" t="s">
        <v>7433</v>
      </c>
      <c r="B5147" s="150" t="str">
        <f>IFERROR(VLOOKUP(Proc[[#This Row],[App]],Table2[],3,0),"open")</f>
        <v>open</v>
      </c>
      <c r="C5147" t="s">
        <v>369</v>
      </c>
      <c r="D5147" t="s">
        <v>7428</v>
      </c>
      <c r="E5147" t="s">
        <v>4929</v>
      </c>
      <c r="F5147" s="150" t="str">
        <f>VLOOKUP(Proc[[#This Row],[Obj]],Sheet5!A:B,2,0)</f>
        <v>L000013436</v>
      </c>
      <c r="G5147" s="149" t="s">
        <v>400</v>
      </c>
      <c r="H5147" s="150" t="str">
        <f>IF(Proc[[#This Row],[type]]="LFF (MDG-F)",MID(Proc[[#This Row],[Obj]],13,10),"")</f>
        <v/>
      </c>
      <c r="J5147" s="150" t="b">
        <f>Proc[[#This Row],[Requested]]=Proc[[#This Row],[CurrentParent]]</f>
        <v>1</v>
      </c>
      <c r="K5147" s="150" t="str">
        <f>IF(Proc[[#This Row],[Author]]="Marcela Urrego",VLOOKUP(LEFT(Proc[[#This Row],[Requested]],1),Table3[#All],2,0),VLOOKUP(Proc[[#This Row],[Author]],Table4[],2,0))</f>
        <v>LS</v>
      </c>
      <c r="L5147" s="150" t="s">
        <v>6435</v>
      </c>
      <c r="M5147" s="177">
        <v>46020</v>
      </c>
      <c r="N5147" s="178"/>
      <c r="O5147" s="178"/>
      <c r="P5147" s="178" t="str">
        <f ca="1">IF(Proc[[#This Row],[DaysAgeing]]&gt;5,"yep","on track")</f>
        <v>on track</v>
      </c>
      <c r="Q5147" s="3">
        <f ca="1">IF(Proc[[#This Row],[DateClosed]]="",ABS(NETWORKDAYS(Proc[[#This Row],[DateOpened]],TODAY()))-1,ABS(NETWORKDAYS(Proc[[#This Row],[DateOpened]],Proc[[#This Row],[DateClosed]]))-1)</f>
        <v>4</v>
      </c>
      <c r="R5147" s="178" t="s">
        <v>489</v>
      </c>
      <c r="S5147" s="150"/>
    </row>
    <row r="5148" spans="1:19" hidden="1">
      <c r="A5148" t="s">
        <v>7433</v>
      </c>
      <c r="B5148" s="150" t="str">
        <f>IFERROR(VLOOKUP(Proc[[#This Row],[App]],Table2[],3,0),"open")</f>
        <v>open</v>
      </c>
      <c r="C5148" s="149" t="s">
        <v>369</v>
      </c>
      <c r="D5148" t="s">
        <v>7429</v>
      </c>
      <c r="E5148" t="s">
        <v>4929</v>
      </c>
      <c r="F5148" s="150" t="str">
        <f>VLOOKUP(Proc[[#This Row],[Obj]],Sheet5!A:B,2,0)</f>
        <v>L000013436</v>
      </c>
      <c r="G5148" s="149" t="s">
        <v>400</v>
      </c>
      <c r="H5148" s="150" t="str">
        <f>IF(Proc[[#This Row],[type]]="LFF (MDG-F)",MID(Proc[[#This Row],[Obj]],13,10),"")</f>
        <v/>
      </c>
      <c r="J5148" s="150" t="b">
        <f>Proc[[#This Row],[Requested]]=Proc[[#This Row],[CurrentParent]]</f>
        <v>1</v>
      </c>
      <c r="K5148" s="150" t="str">
        <f>IF(Proc[[#This Row],[Author]]="Marcela Urrego",VLOOKUP(LEFT(Proc[[#This Row],[Requested]],1),Table3[#All],2,0),VLOOKUP(Proc[[#This Row],[Author]],Table4[],2,0))</f>
        <v>LS</v>
      </c>
      <c r="L5148" s="150" t="s">
        <v>6435</v>
      </c>
      <c r="M5148" s="177">
        <v>46020</v>
      </c>
      <c r="N5148" s="178"/>
      <c r="O5148" s="178"/>
      <c r="P5148" s="178" t="str">
        <f ca="1">IF(Proc[[#This Row],[DaysAgeing]]&gt;5,"yep","on track")</f>
        <v>on track</v>
      </c>
      <c r="Q5148" s="3">
        <f ca="1">IF(Proc[[#This Row],[DateClosed]]="",ABS(NETWORKDAYS(Proc[[#This Row],[DateOpened]],TODAY()))-1,ABS(NETWORKDAYS(Proc[[#This Row],[DateOpened]],Proc[[#This Row],[DateClosed]]))-1)</f>
        <v>4</v>
      </c>
      <c r="R5148" s="178" t="s">
        <v>489</v>
      </c>
      <c r="S5148" s="150"/>
    </row>
    <row r="5149" spans="1:19" hidden="1">
      <c r="A5149" t="s">
        <v>7433</v>
      </c>
      <c r="B5149" s="150" t="str">
        <f>IFERROR(VLOOKUP(Proc[[#This Row],[App]],Table2[],3,0),"open")</f>
        <v>open</v>
      </c>
      <c r="C5149" s="149" t="s">
        <v>369</v>
      </c>
      <c r="D5149" t="s">
        <v>7430</v>
      </c>
      <c r="E5149" t="s">
        <v>3535</v>
      </c>
      <c r="F5149" s="150" t="str">
        <f>VLOOKUP(Proc[[#This Row],[Obj]],Sheet5!A:B,2,0)</f>
        <v>L000010057</v>
      </c>
      <c r="G5149" s="149" t="s">
        <v>400</v>
      </c>
      <c r="H5149" s="150" t="str">
        <f>IF(Proc[[#This Row],[type]]="LFF (MDG-F)",MID(Proc[[#This Row],[Obj]],13,10),"")</f>
        <v/>
      </c>
      <c r="J5149" s="150" t="b">
        <f>Proc[[#This Row],[Requested]]=Proc[[#This Row],[CurrentParent]]</f>
        <v>1</v>
      </c>
      <c r="K5149" s="150" t="str">
        <f>IF(Proc[[#This Row],[Author]]="Marcela Urrego",VLOOKUP(LEFT(Proc[[#This Row],[Requested]],1),Table3[#All],2,0),VLOOKUP(Proc[[#This Row],[Author]],Table4[],2,0))</f>
        <v>LS</v>
      </c>
      <c r="L5149" s="150" t="s">
        <v>6435</v>
      </c>
      <c r="M5149" s="177">
        <v>46020</v>
      </c>
      <c r="N5149" s="178"/>
      <c r="O5149" s="178"/>
      <c r="P5149" s="178" t="str">
        <f ca="1">IF(Proc[[#This Row],[DaysAgeing]]&gt;5,"yep","on track")</f>
        <v>on track</v>
      </c>
      <c r="Q5149" s="3">
        <f ca="1">IF(Proc[[#This Row],[DateClosed]]="",ABS(NETWORKDAYS(Proc[[#This Row],[DateOpened]],TODAY()))-1,ABS(NETWORKDAYS(Proc[[#This Row],[DateOpened]],Proc[[#This Row],[DateClosed]]))-1)</f>
        <v>4</v>
      </c>
      <c r="R5149" s="178" t="s">
        <v>489</v>
      </c>
      <c r="S5149" s="150"/>
    </row>
    <row r="5150" spans="1:19" hidden="1">
      <c r="A5150" t="s">
        <v>7434</v>
      </c>
      <c r="B5150" s="150" t="str">
        <f>IFERROR(VLOOKUP(Proc[[#This Row],[App]],Table2[],3,0),"open")</f>
        <v>open</v>
      </c>
      <c r="C5150" t="s">
        <v>370</v>
      </c>
      <c r="D5150" t="s">
        <v>7435</v>
      </c>
      <c r="E5150" t="s">
        <v>7459</v>
      </c>
      <c r="F5150" s="150" t="str">
        <f>VLOOKUP(Proc[[#This Row],[Obj]],Sheet5!A:B,2,0)</f>
        <v>DFLTPGCOH_002106</v>
      </c>
      <c r="G5150" t="s">
        <v>400</v>
      </c>
      <c r="H5150" s="150" t="str">
        <f>IF(Proc[[#This Row],[type]]="LFF (MDG-F)",MID(Proc[[#This Row],[Obj]],13,10),"")</f>
        <v/>
      </c>
      <c r="J5150" s="150" t="b">
        <f>Proc[[#This Row],[Requested]]=Proc[[#This Row],[CurrentParent]]</f>
        <v>0</v>
      </c>
      <c r="K5150" s="150" t="str">
        <f>IF(Proc[[#This Row],[Author]]="Marcela Urrego",VLOOKUP(LEFT(Proc[[#This Row],[Requested]],1),Table3[#All],2,0),VLOOKUP(Proc[[#This Row],[Author]],Table4[],2,0))</f>
        <v>LS</v>
      </c>
      <c r="L5150" s="150" t="s">
        <v>6435</v>
      </c>
      <c r="M5150" s="178">
        <v>46024</v>
      </c>
      <c r="N5150" s="178"/>
      <c r="O5150" s="178"/>
      <c r="P5150" s="178" t="str">
        <f ca="1">IF(Proc[[#This Row],[DaysAgeing]]&gt;5,"yep","on track")</f>
        <v>on track</v>
      </c>
      <c r="Q5150" s="3">
        <f ca="1">IF(Proc[[#This Row],[DateClosed]]="",ABS(NETWORKDAYS(Proc[[#This Row],[DateOpened]],TODAY()))-1,ABS(NETWORKDAYS(Proc[[#This Row],[DateOpened]],Proc[[#This Row],[DateClosed]]))-1)</f>
        <v>0</v>
      </c>
      <c r="R5150" s="178" t="s">
        <v>489</v>
      </c>
      <c r="S5150" s="150"/>
    </row>
    <row r="5151" spans="1:19" hidden="1">
      <c r="A5151" s="149" t="s">
        <v>7434</v>
      </c>
      <c r="B5151" s="150" t="str">
        <f>IFERROR(VLOOKUP(Proc[[#This Row],[App]],Table2[],3,0),"open")</f>
        <v>open</v>
      </c>
      <c r="C5151" s="149" t="s">
        <v>370</v>
      </c>
      <c r="D5151" t="s">
        <v>7436</v>
      </c>
      <c r="E5151" t="s">
        <v>524</v>
      </c>
      <c r="F5151" s="150" t="str">
        <f>VLOOKUP(Proc[[#This Row],[Obj]],Sheet5!A:B,2,0)</f>
        <v>DFLTPGCOH_002097</v>
      </c>
      <c r="G5151" s="149" t="s">
        <v>400</v>
      </c>
      <c r="H5151" s="150" t="str">
        <f>IF(Proc[[#This Row],[type]]="LFF (MDG-F)",MID(Proc[[#This Row],[Obj]],13,10),"")</f>
        <v/>
      </c>
      <c r="J5151" s="150" t="b">
        <f>Proc[[#This Row],[Requested]]=Proc[[#This Row],[CurrentParent]]</f>
        <v>0</v>
      </c>
      <c r="K5151" s="150" t="str">
        <f>IF(Proc[[#This Row],[Author]]="Marcela Urrego",VLOOKUP(LEFT(Proc[[#This Row],[Requested]],1),Table3[#All],2,0),VLOOKUP(Proc[[#This Row],[Author]],Table4[],2,0))</f>
        <v>LS</v>
      </c>
      <c r="L5151" s="150" t="s">
        <v>6435</v>
      </c>
      <c r="M5151" s="178">
        <v>46024</v>
      </c>
      <c r="N5151" s="178"/>
      <c r="O5151" s="178"/>
      <c r="P5151" s="178" t="str">
        <f ca="1">IF(Proc[[#This Row],[DaysAgeing]]&gt;5,"yep","on track")</f>
        <v>on track</v>
      </c>
      <c r="Q5151" s="3">
        <f ca="1">IF(Proc[[#This Row],[DateClosed]]="",ABS(NETWORKDAYS(Proc[[#This Row],[DateOpened]],TODAY()))-1,ABS(NETWORKDAYS(Proc[[#This Row],[DateOpened]],Proc[[#This Row],[DateClosed]]))-1)</f>
        <v>0</v>
      </c>
      <c r="R5151" s="178" t="s">
        <v>489</v>
      </c>
      <c r="S5151" s="150"/>
    </row>
    <row r="5152" spans="1:19" hidden="1">
      <c r="A5152" s="149" t="s">
        <v>7434</v>
      </c>
      <c r="B5152" s="150" t="str">
        <f>IFERROR(VLOOKUP(Proc[[#This Row],[App]],Table2[],3,0),"open")</f>
        <v>open</v>
      </c>
      <c r="C5152" s="149" t="s">
        <v>370</v>
      </c>
      <c r="D5152" t="s">
        <v>7437</v>
      </c>
      <c r="E5152" t="s">
        <v>524</v>
      </c>
      <c r="F5152" s="150" t="str">
        <f>VLOOKUP(Proc[[#This Row],[Obj]],Sheet5!A:B,2,0)</f>
        <v>DFLTPGCOH_002002</v>
      </c>
      <c r="G5152" s="149" t="s">
        <v>400</v>
      </c>
      <c r="H5152" s="150" t="str">
        <f>IF(Proc[[#This Row],[type]]="LFF (MDG-F)",MID(Proc[[#This Row],[Obj]],13,10),"")</f>
        <v/>
      </c>
      <c r="J5152" s="150" t="b">
        <f>Proc[[#This Row],[Requested]]=Proc[[#This Row],[CurrentParent]]</f>
        <v>0</v>
      </c>
      <c r="K5152" s="150" t="str">
        <f>IF(Proc[[#This Row],[Author]]="Marcela Urrego",VLOOKUP(LEFT(Proc[[#This Row],[Requested]],1),Table3[#All],2,0),VLOOKUP(Proc[[#This Row],[Author]],Table4[],2,0))</f>
        <v>LS</v>
      </c>
      <c r="L5152" s="150" t="s">
        <v>6435</v>
      </c>
      <c r="M5152" s="178">
        <v>46024</v>
      </c>
      <c r="N5152" s="178"/>
      <c r="O5152" s="178"/>
      <c r="P5152" s="178" t="str">
        <f ca="1">IF(Proc[[#This Row],[DaysAgeing]]&gt;5,"yep","on track")</f>
        <v>on track</v>
      </c>
      <c r="Q5152" s="3">
        <f ca="1">IF(Proc[[#This Row],[DateClosed]]="",ABS(NETWORKDAYS(Proc[[#This Row],[DateOpened]],TODAY()))-1,ABS(NETWORKDAYS(Proc[[#This Row],[DateOpened]],Proc[[#This Row],[DateClosed]]))-1)</f>
        <v>0</v>
      </c>
      <c r="R5152" s="178" t="s">
        <v>489</v>
      </c>
      <c r="S5152" s="150"/>
    </row>
    <row r="5153" spans="1:19" hidden="1">
      <c r="A5153" s="149" t="s">
        <v>7434</v>
      </c>
      <c r="B5153" s="150" t="str">
        <f>IFERROR(VLOOKUP(Proc[[#This Row],[App]],Table2[],3,0),"open")</f>
        <v>open</v>
      </c>
      <c r="C5153" s="149" t="s">
        <v>370</v>
      </c>
      <c r="D5153" t="s">
        <v>7438</v>
      </c>
      <c r="E5153" t="s">
        <v>497</v>
      </c>
      <c r="F5153" s="150" t="str">
        <f>VLOOKUP(Proc[[#This Row],[Obj]],Sheet5!A:B,2,0)</f>
        <v>DFLTPGCOH_002116</v>
      </c>
      <c r="G5153" s="149" t="s">
        <v>400</v>
      </c>
      <c r="H5153" s="150" t="str">
        <f>IF(Proc[[#This Row],[type]]="LFF (MDG-F)",MID(Proc[[#This Row],[Obj]],13,10),"")</f>
        <v/>
      </c>
      <c r="J5153" s="150" t="b">
        <f>Proc[[#This Row],[Requested]]=Proc[[#This Row],[CurrentParent]]</f>
        <v>0</v>
      </c>
      <c r="K5153" s="150" t="str">
        <f>IF(Proc[[#This Row],[Author]]="Marcela Urrego",VLOOKUP(LEFT(Proc[[#This Row],[Requested]],1),Table3[#All],2,0),VLOOKUP(Proc[[#This Row],[Author]],Table4[],2,0))</f>
        <v>LS</v>
      </c>
      <c r="L5153" s="150" t="s">
        <v>6435</v>
      </c>
      <c r="M5153" s="178">
        <v>46024</v>
      </c>
      <c r="N5153" s="178"/>
      <c r="O5153" s="178"/>
      <c r="P5153" s="178" t="str">
        <f ca="1">IF(Proc[[#This Row],[DaysAgeing]]&gt;5,"yep","on track")</f>
        <v>on track</v>
      </c>
      <c r="Q5153" s="3">
        <f ca="1">IF(Proc[[#This Row],[DateClosed]]="",ABS(NETWORKDAYS(Proc[[#This Row],[DateOpened]],TODAY()))-1,ABS(NETWORKDAYS(Proc[[#This Row],[DateOpened]],Proc[[#This Row],[DateClosed]]))-1)</f>
        <v>0</v>
      </c>
      <c r="R5153" s="178" t="s">
        <v>489</v>
      </c>
      <c r="S5153" s="150"/>
    </row>
    <row r="5154" spans="1:19" hidden="1">
      <c r="A5154" s="149" t="s">
        <v>7434</v>
      </c>
      <c r="B5154" s="150" t="str">
        <f>IFERROR(VLOOKUP(Proc[[#This Row],[App]],Table2[],3,0),"open")</f>
        <v>open</v>
      </c>
      <c r="C5154" s="149" t="s">
        <v>370</v>
      </c>
      <c r="D5154" t="s">
        <v>7439</v>
      </c>
      <c r="E5154" t="s">
        <v>497</v>
      </c>
      <c r="F5154" s="150" t="str">
        <f>VLOOKUP(Proc[[#This Row],[Obj]],Sheet5!A:B,2,0)</f>
        <v>DFLTPGCOH_002113</v>
      </c>
      <c r="G5154" s="149" t="s">
        <v>400</v>
      </c>
      <c r="H5154" s="150" t="str">
        <f>IF(Proc[[#This Row],[type]]="LFF (MDG-F)",MID(Proc[[#This Row],[Obj]],13,10),"")</f>
        <v/>
      </c>
      <c r="J5154" s="150" t="b">
        <f>Proc[[#This Row],[Requested]]=Proc[[#This Row],[CurrentParent]]</f>
        <v>0</v>
      </c>
      <c r="K5154" s="150" t="str">
        <f>IF(Proc[[#This Row],[Author]]="Marcela Urrego",VLOOKUP(LEFT(Proc[[#This Row],[Requested]],1),Table3[#All],2,0),VLOOKUP(Proc[[#This Row],[Author]],Table4[],2,0))</f>
        <v>LS</v>
      </c>
      <c r="L5154" s="150" t="s">
        <v>6435</v>
      </c>
      <c r="M5154" s="178">
        <v>46024</v>
      </c>
      <c r="N5154" s="178"/>
      <c r="O5154" s="178"/>
      <c r="P5154" s="178" t="str">
        <f ca="1">IF(Proc[[#This Row],[DaysAgeing]]&gt;5,"yep","on track")</f>
        <v>on track</v>
      </c>
      <c r="Q5154" s="3">
        <f ca="1">IF(Proc[[#This Row],[DateClosed]]="",ABS(NETWORKDAYS(Proc[[#This Row],[DateOpened]],TODAY()))-1,ABS(NETWORKDAYS(Proc[[#This Row],[DateOpened]],Proc[[#This Row],[DateClosed]]))-1)</f>
        <v>0</v>
      </c>
      <c r="R5154" s="178" t="s">
        <v>489</v>
      </c>
      <c r="S5154" s="150"/>
    </row>
    <row r="5155" spans="1:19" hidden="1">
      <c r="A5155" s="149" t="s">
        <v>7434</v>
      </c>
      <c r="B5155" s="150" t="str">
        <f>IFERROR(VLOOKUP(Proc[[#This Row],[App]],Table2[],3,0),"open")</f>
        <v>open</v>
      </c>
      <c r="C5155" s="149" t="s">
        <v>370</v>
      </c>
      <c r="D5155" t="s">
        <v>7440</v>
      </c>
      <c r="E5155" t="s">
        <v>7460</v>
      </c>
      <c r="F5155" s="150" t="str">
        <f>VLOOKUP(Proc[[#This Row],[Obj]],Sheet5!A:B,2,0)</f>
        <v>DFLTPGCOH_002072</v>
      </c>
      <c r="G5155" s="149" t="s">
        <v>400</v>
      </c>
      <c r="H5155" s="150" t="str">
        <f>IF(Proc[[#This Row],[type]]="LFF (MDG-F)",MID(Proc[[#This Row],[Obj]],13,10),"")</f>
        <v/>
      </c>
      <c r="J5155" s="150" t="b">
        <f>Proc[[#This Row],[Requested]]=Proc[[#This Row],[CurrentParent]]</f>
        <v>0</v>
      </c>
      <c r="K5155" s="150" t="str">
        <f>IF(Proc[[#This Row],[Author]]="Marcela Urrego",VLOOKUP(LEFT(Proc[[#This Row],[Requested]],1),Table3[#All],2,0),VLOOKUP(Proc[[#This Row],[Author]],Table4[],2,0))</f>
        <v>LS</v>
      </c>
      <c r="L5155" s="150" t="s">
        <v>6435</v>
      </c>
      <c r="M5155" s="178">
        <v>46024</v>
      </c>
      <c r="N5155" s="178"/>
      <c r="O5155" s="178"/>
      <c r="P5155" s="178" t="str">
        <f ca="1">IF(Proc[[#This Row],[DaysAgeing]]&gt;5,"yep","on track")</f>
        <v>on track</v>
      </c>
      <c r="Q5155" s="3">
        <f ca="1">IF(Proc[[#This Row],[DateClosed]]="",ABS(NETWORKDAYS(Proc[[#This Row],[DateOpened]],TODAY()))-1,ABS(NETWORKDAYS(Proc[[#This Row],[DateOpened]],Proc[[#This Row],[DateClosed]]))-1)</f>
        <v>0</v>
      </c>
      <c r="R5155" s="178" t="s">
        <v>489</v>
      </c>
      <c r="S5155" s="150"/>
    </row>
    <row r="5156" spans="1:19" hidden="1">
      <c r="A5156" s="149" t="s">
        <v>7434</v>
      </c>
      <c r="B5156" s="150" t="str">
        <f>IFERROR(VLOOKUP(Proc[[#This Row],[App]],Table2[],3,0),"open")</f>
        <v>open</v>
      </c>
      <c r="C5156" s="149" t="s">
        <v>370</v>
      </c>
      <c r="D5156" t="s">
        <v>7441</v>
      </c>
      <c r="E5156" t="s">
        <v>7461</v>
      </c>
      <c r="F5156" s="150" t="str">
        <f>VLOOKUP(Proc[[#This Row],[Obj]],Sheet5!A:B,2,0)</f>
        <v>DFLTPGCOH_002001</v>
      </c>
      <c r="G5156" s="149" t="s">
        <v>400</v>
      </c>
      <c r="H5156" s="150" t="str">
        <f>IF(Proc[[#This Row],[type]]="LFF (MDG-F)",MID(Proc[[#This Row],[Obj]],13,10),"")</f>
        <v/>
      </c>
      <c r="J5156" s="150" t="b">
        <f>Proc[[#This Row],[Requested]]=Proc[[#This Row],[CurrentParent]]</f>
        <v>0</v>
      </c>
      <c r="K5156" s="150" t="str">
        <f>IF(Proc[[#This Row],[Author]]="Marcela Urrego",VLOOKUP(LEFT(Proc[[#This Row],[Requested]],1),Table3[#All],2,0),VLOOKUP(Proc[[#This Row],[Author]],Table4[],2,0))</f>
        <v>LS</v>
      </c>
      <c r="L5156" s="150" t="s">
        <v>6435</v>
      </c>
      <c r="M5156" s="178">
        <v>46024</v>
      </c>
      <c r="N5156" s="178"/>
      <c r="O5156" s="178"/>
      <c r="P5156" s="178" t="str">
        <f ca="1">IF(Proc[[#This Row],[DaysAgeing]]&gt;5,"yep","on track")</f>
        <v>on track</v>
      </c>
      <c r="Q5156" s="3">
        <f ca="1">IF(Proc[[#This Row],[DateClosed]]="",ABS(NETWORKDAYS(Proc[[#This Row],[DateOpened]],TODAY()))-1,ABS(NETWORKDAYS(Proc[[#This Row],[DateOpened]],Proc[[#This Row],[DateClosed]]))-1)</f>
        <v>0</v>
      </c>
      <c r="R5156" s="178" t="s">
        <v>489</v>
      </c>
      <c r="S5156" s="150"/>
    </row>
    <row r="5157" spans="1:19" hidden="1">
      <c r="A5157" s="149" t="s">
        <v>7434</v>
      </c>
      <c r="B5157" s="150" t="str">
        <f>IFERROR(VLOOKUP(Proc[[#This Row],[App]],Table2[],3,0),"open")</f>
        <v>open</v>
      </c>
      <c r="C5157" s="149" t="s">
        <v>370</v>
      </c>
      <c r="D5157" t="s">
        <v>7442</v>
      </c>
      <c r="E5157" t="s">
        <v>7461</v>
      </c>
      <c r="F5157" s="150" t="str">
        <f>VLOOKUP(Proc[[#This Row],[Obj]],Sheet5!A:B,2,0)</f>
        <v>DFLTPGCOH_002001</v>
      </c>
      <c r="G5157" s="149" t="s">
        <v>400</v>
      </c>
      <c r="H5157" s="150" t="str">
        <f>IF(Proc[[#This Row],[type]]="LFF (MDG-F)",MID(Proc[[#This Row],[Obj]],13,10),"")</f>
        <v/>
      </c>
      <c r="J5157" s="150" t="b">
        <f>Proc[[#This Row],[Requested]]=Proc[[#This Row],[CurrentParent]]</f>
        <v>0</v>
      </c>
      <c r="K5157" s="150" t="str">
        <f>IF(Proc[[#This Row],[Author]]="Marcela Urrego",VLOOKUP(LEFT(Proc[[#This Row],[Requested]],1),Table3[#All],2,0),VLOOKUP(Proc[[#This Row],[Author]],Table4[],2,0))</f>
        <v>LS</v>
      </c>
      <c r="L5157" s="150" t="s">
        <v>6435</v>
      </c>
      <c r="M5157" s="178">
        <v>46024</v>
      </c>
      <c r="N5157" s="178"/>
      <c r="O5157" s="178"/>
      <c r="P5157" s="178" t="str">
        <f ca="1">IF(Proc[[#This Row],[DaysAgeing]]&gt;5,"yep","on track")</f>
        <v>on track</v>
      </c>
      <c r="Q5157" s="3">
        <f ca="1">IF(Proc[[#This Row],[DateClosed]]="",ABS(NETWORKDAYS(Proc[[#This Row],[DateOpened]],TODAY()))-1,ABS(NETWORKDAYS(Proc[[#This Row],[DateOpened]],Proc[[#This Row],[DateClosed]]))-1)</f>
        <v>0</v>
      </c>
      <c r="R5157" s="178" t="s">
        <v>489</v>
      </c>
      <c r="S5157" s="150"/>
    </row>
    <row r="5158" spans="1:19" hidden="1">
      <c r="A5158" s="149" t="s">
        <v>7434</v>
      </c>
      <c r="B5158" s="150" t="str">
        <f>IFERROR(VLOOKUP(Proc[[#This Row],[App]],Table2[],3,0),"open")</f>
        <v>open</v>
      </c>
      <c r="C5158" s="149" t="s">
        <v>370</v>
      </c>
      <c r="D5158" t="s">
        <v>7443</v>
      </c>
      <c r="E5158" t="s">
        <v>7461</v>
      </c>
      <c r="F5158" s="150" t="str">
        <f>VLOOKUP(Proc[[#This Row],[Obj]],Sheet5!A:B,2,0)</f>
        <v>DFLTPGCOH_002001</v>
      </c>
      <c r="G5158" s="149" t="s">
        <v>400</v>
      </c>
      <c r="H5158" s="150" t="str">
        <f>IF(Proc[[#This Row],[type]]="LFF (MDG-F)",MID(Proc[[#This Row],[Obj]],13,10),"")</f>
        <v/>
      </c>
      <c r="J5158" s="150" t="b">
        <f>Proc[[#This Row],[Requested]]=Proc[[#This Row],[CurrentParent]]</f>
        <v>0</v>
      </c>
      <c r="K5158" s="150" t="str">
        <f>IF(Proc[[#This Row],[Author]]="Marcela Urrego",VLOOKUP(LEFT(Proc[[#This Row],[Requested]],1),Table3[#All],2,0),VLOOKUP(Proc[[#This Row],[Author]],Table4[],2,0))</f>
        <v>LS</v>
      </c>
      <c r="L5158" s="150" t="s">
        <v>6435</v>
      </c>
      <c r="M5158" s="178">
        <v>46024</v>
      </c>
      <c r="N5158" s="178"/>
      <c r="O5158" s="178"/>
      <c r="P5158" s="178" t="str">
        <f ca="1">IF(Proc[[#This Row],[DaysAgeing]]&gt;5,"yep","on track")</f>
        <v>on track</v>
      </c>
      <c r="Q5158" s="3">
        <f ca="1">IF(Proc[[#This Row],[DateClosed]]="",ABS(NETWORKDAYS(Proc[[#This Row],[DateOpened]],TODAY()))-1,ABS(NETWORKDAYS(Proc[[#This Row],[DateOpened]],Proc[[#This Row],[DateClosed]]))-1)</f>
        <v>0</v>
      </c>
      <c r="R5158" s="178" t="s">
        <v>489</v>
      </c>
      <c r="S5158" s="150"/>
    </row>
    <row r="5159" spans="1:19" hidden="1">
      <c r="A5159" s="149" t="s">
        <v>7434</v>
      </c>
      <c r="B5159" s="150" t="str">
        <f>IFERROR(VLOOKUP(Proc[[#This Row],[App]],Table2[],3,0),"open")</f>
        <v>open</v>
      </c>
      <c r="C5159" s="149" t="s">
        <v>370</v>
      </c>
      <c r="D5159" t="s">
        <v>7444</v>
      </c>
      <c r="E5159" t="s">
        <v>524</v>
      </c>
      <c r="F5159" s="150" t="str">
        <f>VLOOKUP(Proc[[#This Row],[Obj]],Sheet5!A:B,2,0)</f>
        <v>DFLTPGCOH_002061</v>
      </c>
      <c r="G5159" s="149" t="s">
        <v>400</v>
      </c>
      <c r="H5159" s="150" t="str">
        <f>IF(Proc[[#This Row],[type]]="LFF (MDG-F)",MID(Proc[[#This Row],[Obj]],13,10),"")</f>
        <v/>
      </c>
      <c r="J5159" s="150" t="b">
        <f>Proc[[#This Row],[Requested]]=Proc[[#This Row],[CurrentParent]]</f>
        <v>0</v>
      </c>
      <c r="K5159" s="150" t="str">
        <f>IF(Proc[[#This Row],[Author]]="Marcela Urrego",VLOOKUP(LEFT(Proc[[#This Row],[Requested]],1),Table3[#All],2,0),VLOOKUP(Proc[[#This Row],[Author]],Table4[],2,0))</f>
        <v>LS</v>
      </c>
      <c r="L5159" s="150" t="s">
        <v>6435</v>
      </c>
      <c r="M5159" s="178">
        <v>46024</v>
      </c>
      <c r="N5159" s="178"/>
      <c r="O5159" s="178"/>
      <c r="P5159" s="178" t="str">
        <f ca="1">IF(Proc[[#This Row],[DaysAgeing]]&gt;5,"yep","on track")</f>
        <v>on track</v>
      </c>
      <c r="Q5159" s="3">
        <f ca="1">IF(Proc[[#This Row],[DateClosed]]="",ABS(NETWORKDAYS(Proc[[#This Row],[DateOpened]],TODAY()))-1,ABS(NETWORKDAYS(Proc[[#This Row],[DateOpened]],Proc[[#This Row],[DateClosed]]))-1)</f>
        <v>0</v>
      </c>
      <c r="R5159" s="178" t="s">
        <v>489</v>
      </c>
      <c r="S5159" s="150"/>
    </row>
    <row r="5160" spans="1:19" hidden="1">
      <c r="A5160" s="149" t="s">
        <v>7434</v>
      </c>
      <c r="B5160" s="150" t="str">
        <f>IFERROR(VLOOKUP(Proc[[#This Row],[App]],Table2[],3,0),"open")</f>
        <v>open</v>
      </c>
      <c r="C5160" s="149" t="s">
        <v>370</v>
      </c>
      <c r="D5160" t="s">
        <v>7445</v>
      </c>
      <c r="E5160" t="s">
        <v>524</v>
      </c>
      <c r="F5160" s="150" t="str">
        <f>VLOOKUP(Proc[[#This Row],[Obj]],Sheet5!A:B,2,0)</f>
        <v>DFLTPGCOH_002097</v>
      </c>
      <c r="G5160" s="149" t="s">
        <v>400</v>
      </c>
      <c r="H5160" s="150" t="str">
        <f>IF(Proc[[#This Row],[type]]="LFF (MDG-F)",MID(Proc[[#This Row],[Obj]],13,10),"")</f>
        <v/>
      </c>
      <c r="J5160" s="150" t="b">
        <f>Proc[[#This Row],[Requested]]=Proc[[#This Row],[CurrentParent]]</f>
        <v>0</v>
      </c>
      <c r="K5160" s="150" t="str">
        <f>IF(Proc[[#This Row],[Author]]="Marcela Urrego",VLOOKUP(LEFT(Proc[[#This Row],[Requested]],1),Table3[#All],2,0),VLOOKUP(Proc[[#This Row],[Author]],Table4[],2,0))</f>
        <v>LS</v>
      </c>
      <c r="L5160" s="150" t="s">
        <v>6435</v>
      </c>
      <c r="M5160" s="178">
        <v>46024</v>
      </c>
      <c r="N5160" s="178"/>
      <c r="O5160" s="178"/>
      <c r="P5160" s="178" t="str">
        <f ca="1">IF(Proc[[#This Row],[DaysAgeing]]&gt;5,"yep","on track")</f>
        <v>on track</v>
      </c>
      <c r="Q5160" s="3">
        <f ca="1">IF(Proc[[#This Row],[DateClosed]]="",ABS(NETWORKDAYS(Proc[[#This Row],[DateOpened]],TODAY()))-1,ABS(NETWORKDAYS(Proc[[#This Row],[DateOpened]],Proc[[#This Row],[DateClosed]]))-1)</f>
        <v>0</v>
      </c>
      <c r="R5160" s="178" t="s">
        <v>489</v>
      </c>
      <c r="S5160" s="150"/>
    </row>
    <row r="5161" spans="1:19" hidden="1">
      <c r="A5161" s="149" t="s">
        <v>7434</v>
      </c>
      <c r="B5161" s="150" t="str">
        <f>IFERROR(VLOOKUP(Proc[[#This Row],[App]],Table2[],3,0),"open")</f>
        <v>open</v>
      </c>
      <c r="C5161" s="149" t="s">
        <v>370</v>
      </c>
      <c r="D5161" t="s">
        <v>7446</v>
      </c>
      <c r="E5161" t="s">
        <v>7350</v>
      </c>
      <c r="F5161" s="150" t="str">
        <f>VLOOKUP(Proc[[#This Row],[Obj]],Sheet5!A:B,2,0)</f>
        <v>DFLTPGCOH_002097</v>
      </c>
      <c r="G5161" s="149" t="s">
        <v>400</v>
      </c>
      <c r="H5161" s="150" t="str">
        <f>IF(Proc[[#This Row],[type]]="LFF (MDG-F)",MID(Proc[[#This Row],[Obj]],13,10),"")</f>
        <v/>
      </c>
      <c r="J5161" s="150" t="b">
        <f>Proc[[#This Row],[Requested]]=Proc[[#This Row],[CurrentParent]]</f>
        <v>0</v>
      </c>
      <c r="K5161" s="150" t="str">
        <f>IF(Proc[[#This Row],[Author]]="Marcela Urrego",VLOOKUP(LEFT(Proc[[#This Row],[Requested]],1),Table3[#All],2,0),VLOOKUP(Proc[[#This Row],[Author]],Table4[],2,0))</f>
        <v>LS</v>
      </c>
      <c r="L5161" s="150" t="s">
        <v>6435</v>
      </c>
      <c r="M5161" s="178">
        <v>46024</v>
      </c>
      <c r="N5161" s="178"/>
      <c r="O5161" s="178"/>
      <c r="P5161" s="178" t="str">
        <f ca="1">IF(Proc[[#This Row],[DaysAgeing]]&gt;5,"yep","on track")</f>
        <v>on track</v>
      </c>
      <c r="Q5161" s="3">
        <f ca="1">IF(Proc[[#This Row],[DateClosed]]="",ABS(NETWORKDAYS(Proc[[#This Row],[DateOpened]],TODAY()))-1,ABS(NETWORKDAYS(Proc[[#This Row],[DateOpened]],Proc[[#This Row],[DateClosed]]))-1)</f>
        <v>0</v>
      </c>
      <c r="R5161" s="178" t="s">
        <v>489</v>
      </c>
      <c r="S5161" s="150"/>
    </row>
    <row r="5162" spans="1:19" hidden="1">
      <c r="A5162" s="149" t="s">
        <v>7434</v>
      </c>
      <c r="B5162" s="150" t="str">
        <f>IFERROR(VLOOKUP(Proc[[#This Row],[App]],Table2[],3,0),"open")</f>
        <v>open</v>
      </c>
      <c r="C5162" s="149" t="s">
        <v>370</v>
      </c>
      <c r="D5162" t="s">
        <v>7447</v>
      </c>
      <c r="E5162" t="s">
        <v>7462</v>
      </c>
      <c r="F5162" s="150" t="str">
        <f>VLOOKUP(Proc[[#This Row],[Obj]],Sheet5!A:B,2,0)</f>
        <v>DFLTPGCOH_002047</v>
      </c>
      <c r="G5162" s="149" t="s">
        <v>400</v>
      </c>
      <c r="H5162" s="150" t="str">
        <f>IF(Proc[[#This Row],[type]]="LFF (MDG-F)",MID(Proc[[#This Row],[Obj]],13,10),"")</f>
        <v/>
      </c>
      <c r="J5162" s="150" t="b">
        <f>Proc[[#This Row],[Requested]]=Proc[[#This Row],[CurrentParent]]</f>
        <v>0</v>
      </c>
      <c r="K5162" s="150" t="str">
        <f>IF(Proc[[#This Row],[Author]]="Marcela Urrego",VLOOKUP(LEFT(Proc[[#This Row],[Requested]],1),Table3[#All],2,0),VLOOKUP(Proc[[#This Row],[Author]],Table4[],2,0))</f>
        <v>LS</v>
      </c>
      <c r="L5162" s="150" t="s">
        <v>6435</v>
      </c>
      <c r="M5162" s="178">
        <v>46024</v>
      </c>
      <c r="N5162" s="178"/>
      <c r="O5162" s="178"/>
      <c r="P5162" s="178" t="str">
        <f ca="1">IF(Proc[[#This Row],[DaysAgeing]]&gt;5,"yep","on track")</f>
        <v>on track</v>
      </c>
      <c r="Q5162" s="3">
        <f ca="1">IF(Proc[[#This Row],[DateClosed]]="",ABS(NETWORKDAYS(Proc[[#This Row],[DateOpened]],TODAY()))-1,ABS(NETWORKDAYS(Proc[[#This Row],[DateOpened]],Proc[[#This Row],[DateClosed]]))-1)</f>
        <v>0</v>
      </c>
      <c r="R5162" s="178" t="s">
        <v>489</v>
      </c>
      <c r="S5162" s="150"/>
    </row>
    <row r="5163" spans="1:19" hidden="1">
      <c r="A5163" s="149" t="s">
        <v>7434</v>
      </c>
      <c r="B5163" s="150" t="str">
        <f>IFERROR(VLOOKUP(Proc[[#This Row],[App]],Table2[],3,0),"open")</f>
        <v>open</v>
      </c>
      <c r="C5163" s="149" t="s">
        <v>370</v>
      </c>
      <c r="D5163" t="s">
        <v>7448</v>
      </c>
      <c r="E5163" t="s">
        <v>7338</v>
      </c>
      <c r="F5163" s="150" t="str">
        <f>VLOOKUP(Proc[[#This Row],[Obj]],Sheet5!A:B,2,0)</f>
        <v>DFLTPGCOH_002047</v>
      </c>
      <c r="G5163" s="149" t="s">
        <v>400</v>
      </c>
      <c r="H5163" s="150" t="str">
        <f>IF(Proc[[#This Row],[type]]="LFF (MDG-F)",MID(Proc[[#This Row],[Obj]],13,10),"")</f>
        <v/>
      </c>
      <c r="J5163" s="150" t="b">
        <f>Proc[[#This Row],[Requested]]=Proc[[#This Row],[CurrentParent]]</f>
        <v>0</v>
      </c>
      <c r="K5163" s="150" t="str">
        <f>IF(Proc[[#This Row],[Author]]="Marcela Urrego",VLOOKUP(LEFT(Proc[[#This Row],[Requested]],1),Table3[#All],2,0),VLOOKUP(Proc[[#This Row],[Author]],Table4[],2,0))</f>
        <v>LS</v>
      </c>
      <c r="L5163" s="150" t="s">
        <v>6435</v>
      </c>
      <c r="M5163" s="178">
        <v>46024</v>
      </c>
      <c r="N5163" s="178"/>
      <c r="O5163" s="178"/>
      <c r="P5163" s="178" t="str">
        <f ca="1">IF(Proc[[#This Row],[DaysAgeing]]&gt;5,"yep","on track")</f>
        <v>on track</v>
      </c>
      <c r="Q5163" s="3">
        <f ca="1">IF(Proc[[#This Row],[DateClosed]]="",ABS(NETWORKDAYS(Proc[[#This Row],[DateOpened]],TODAY()))-1,ABS(NETWORKDAYS(Proc[[#This Row],[DateOpened]],Proc[[#This Row],[DateClosed]]))-1)</f>
        <v>0</v>
      </c>
      <c r="R5163" s="178" t="s">
        <v>489</v>
      </c>
      <c r="S5163" s="150"/>
    </row>
    <row r="5164" spans="1:19" hidden="1">
      <c r="A5164" s="149" t="s">
        <v>7434</v>
      </c>
      <c r="B5164" s="150" t="str">
        <f>IFERROR(VLOOKUP(Proc[[#This Row],[App]],Table2[],3,0),"open")</f>
        <v>open</v>
      </c>
      <c r="C5164" s="149" t="s">
        <v>370</v>
      </c>
      <c r="D5164" t="s">
        <v>7449</v>
      </c>
      <c r="E5164" t="s">
        <v>7338</v>
      </c>
      <c r="F5164" s="150" t="str">
        <f>VLOOKUP(Proc[[#This Row],[Obj]],Sheet5!A:B,2,0)</f>
        <v>DFLTPGCOH_002085</v>
      </c>
      <c r="G5164" s="149" t="s">
        <v>400</v>
      </c>
      <c r="H5164" s="150" t="str">
        <f>IF(Proc[[#This Row],[type]]="LFF (MDG-F)",MID(Proc[[#This Row],[Obj]],13,10),"")</f>
        <v/>
      </c>
      <c r="J5164" s="150" t="b">
        <f>Proc[[#This Row],[Requested]]=Proc[[#This Row],[CurrentParent]]</f>
        <v>0</v>
      </c>
      <c r="K5164" s="150" t="str">
        <f>IF(Proc[[#This Row],[Author]]="Marcela Urrego",VLOOKUP(LEFT(Proc[[#This Row],[Requested]],1),Table3[#All],2,0),VLOOKUP(Proc[[#This Row],[Author]],Table4[],2,0))</f>
        <v>LS</v>
      </c>
      <c r="L5164" s="150" t="s">
        <v>6435</v>
      </c>
      <c r="M5164" s="178">
        <v>46024</v>
      </c>
      <c r="N5164" s="178"/>
      <c r="O5164" s="178"/>
      <c r="P5164" s="178" t="str">
        <f ca="1">IF(Proc[[#This Row],[DaysAgeing]]&gt;5,"yep","on track")</f>
        <v>on track</v>
      </c>
      <c r="Q5164" s="3">
        <f ca="1">IF(Proc[[#This Row],[DateClosed]]="",ABS(NETWORKDAYS(Proc[[#This Row],[DateOpened]],TODAY()))-1,ABS(NETWORKDAYS(Proc[[#This Row],[DateOpened]],Proc[[#This Row],[DateClosed]]))-1)</f>
        <v>0</v>
      </c>
      <c r="R5164" s="178" t="s">
        <v>489</v>
      </c>
      <c r="S5164" s="150"/>
    </row>
    <row r="5165" spans="1:19" hidden="1">
      <c r="A5165" s="149" t="s">
        <v>7434</v>
      </c>
      <c r="B5165" s="150" t="str">
        <f>IFERROR(VLOOKUP(Proc[[#This Row],[App]],Table2[],3,0),"open")</f>
        <v>open</v>
      </c>
      <c r="C5165" s="149" t="s">
        <v>370</v>
      </c>
      <c r="D5165" t="s">
        <v>7450</v>
      </c>
      <c r="E5165" t="s">
        <v>7338</v>
      </c>
      <c r="F5165" s="150" t="str">
        <f>VLOOKUP(Proc[[#This Row],[Obj]],Sheet5!A:B,2,0)</f>
        <v>DFLTPGCOH_002142</v>
      </c>
      <c r="G5165" s="149" t="s">
        <v>400</v>
      </c>
      <c r="H5165" s="150" t="str">
        <f>IF(Proc[[#This Row],[type]]="LFF (MDG-F)",MID(Proc[[#This Row],[Obj]],13,10),"")</f>
        <v/>
      </c>
      <c r="J5165" s="150" t="b">
        <f>Proc[[#This Row],[Requested]]=Proc[[#This Row],[CurrentParent]]</f>
        <v>0</v>
      </c>
      <c r="K5165" s="150" t="str">
        <f>IF(Proc[[#This Row],[Author]]="Marcela Urrego",VLOOKUP(LEFT(Proc[[#This Row],[Requested]],1),Table3[#All],2,0),VLOOKUP(Proc[[#This Row],[Author]],Table4[],2,0))</f>
        <v>LS</v>
      </c>
      <c r="L5165" s="150" t="s">
        <v>6435</v>
      </c>
      <c r="M5165" s="178">
        <v>46024</v>
      </c>
      <c r="N5165" s="178"/>
      <c r="O5165" s="178"/>
      <c r="P5165" s="178" t="str">
        <f ca="1">IF(Proc[[#This Row],[DaysAgeing]]&gt;5,"yep","on track")</f>
        <v>on track</v>
      </c>
      <c r="Q5165" s="3">
        <f ca="1">IF(Proc[[#This Row],[DateClosed]]="",ABS(NETWORKDAYS(Proc[[#This Row],[DateOpened]],TODAY()))-1,ABS(NETWORKDAYS(Proc[[#This Row],[DateOpened]],Proc[[#This Row],[DateClosed]]))-1)</f>
        <v>0</v>
      </c>
      <c r="R5165" s="178" t="s">
        <v>489</v>
      </c>
      <c r="S5165" s="150"/>
    </row>
    <row r="5166" spans="1:19" hidden="1">
      <c r="A5166" s="149" t="s">
        <v>7434</v>
      </c>
      <c r="B5166" s="150" t="str">
        <f>IFERROR(VLOOKUP(Proc[[#This Row],[App]],Table2[],3,0),"open")</f>
        <v>open</v>
      </c>
      <c r="C5166" s="149" t="s">
        <v>370</v>
      </c>
      <c r="D5166" t="s">
        <v>7451</v>
      </c>
      <c r="E5166" t="s">
        <v>524</v>
      </c>
      <c r="F5166" s="150" t="str">
        <f>VLOOKUP(Proc[[#This Row],[Obj]],Sheet5!A:B,2,0)</f>
        <v>DFLTPGCOH_002136</v>
      </c>
      <c r="G5166" s="149" t="s">
        <v>400</v>
      </c>
      <c r="H5166" s="150" t="str">
        <f>IF(Proc[[#This Row],[type]]="LFF (MDG-F)",MID(Proc[[#This Row],[Obj]],13,10),"")</f>
        <v/>
      </c>
      <c r="J5166" s="150" t="b">
        <f>Proc[[#This Row],[Requested]]=Proc[[#This Row],[CurrentParent]]</f>
        <v>0</v>
      </c>
      <c r="K5166" s="150" t="str">
        <f>IF(Proc[[#This Row],[Author]]="Marcela Urrego",VLOOKUP(LEFT(Proc[[#This Row],[Requested]],1),Table3[#All],2,0),VLOOKUP(Proc[[#This Row],[Author]],Table4[],2,0))</f>
        <v>LS</v>
      </c>
      <c r="L5166" s="150" t="s">
        <v>6435</v>
      </c>
      <c r="M5166" s="178">
        <v>46024</v>
      </c>
      <c r="N5166" s="178"/>
      <c r="O5166" s="178"/>
      <c r="P5166" s="178" t="str">
        <f ca="1">IF(Proc[[#This Row],[DaysAgeing]]&gt;5,"yep","on track")</f>
        <v>on track</v>
      </c>
      <c r="Q5166" s="3">
        <f ca="1">IF(Proc[[#This Row],[DateClosed]]="",ABS(NETWORKDAYS(Proc[[#This Row],[DateOpened]],TODAY()))-1,ABS(NETWORKDAYS(Proc[[#This Row],[DateOpened]],Proc[[#This Row],[DateClosed]]))-1)</f>
        <v>0</v>
      </c>
      <c r="R5166" s="178" t="s">
        <v>489</v>
      </c>
      <c r="S5166" s="150"/>
    </row>
    <row r="5167" spans="1:19" hidden="1">
      <c r="A5167" s="149" t="s">
        <v>7434</v>
      </c>
      <c r="B5167" s="150" t="str">
        <f>IFERROR(VLOOKUP(Proc[[#This Row],[App]],Table2[],3,0),"open")</f>
        <v>open</v>
      </c>
      <c r="C5167" s="149" t="s">
        <v>370</v>
      </c>
      <c r="D5167" t="s">
        <v>7452</v>
      </c>
      <c r="E5167" t="s">
        <v>2862</v>
      </c>
      <c r="F5167" s="150" t="str">
        <f>VLOOKUP(Proc[[#This Row],[Obj]],Sheet5!A:B,2,0)</f>
        <v>DFLTPGCOH_002097</v>
      </c>
      <c r="G5167" s="149" t="s">
        <v>400</v>
      </c>
      <c r="H5167" s="150" t="str">
        <f>IF(Proc[[#This Row],[type]]="LFF (MDG-F)",MID(Proc[[#This Row],[Obj]],13,10),"")</f>
        <v/>
      </c>
      <c r="J5167" s="150" t="b">
        <f>Proc[[#This Row],[Requested]]=Proc[[#This Row],[CurrentParent]]</f>
        <v>0</v>
      </c>
      <c r="K5167" s="150" t="str">
        <f>IF(Proc[[#This Row],[Author]]="Marcela Urrego",VLOOKUP(LEFT(Proc[[#This Row],[Requested]],1),Table3[#All],2,0),VLOOKUP(Proc[[#This Row],[Author]],Table4[],2,0))</f>
        <v>LS</v>
      </c>
      <c r="L5167" s="150" t="s">
        <v>6435</v>
      </c>
      <c r="M5167" s="178">
        <v>46024</v>
      </c>
      <c r="N5167" s="178"/>
      <c r="O5167" s="178"/>
      <c r="P5167" s="178" t="str">
        <f ca="1">IF(Proc[[#This Row],[DaysAgeing]]&gt;5,"yep","on track")</f>
        <v>on track</v>
      </c>
      <c r="Q5167" s="3">
        <f ca="1">IF(Proc[[#This Row],[DateClosed]]="",ABS(NETWORKDAYS(Proc[[#This Row],[DateOpened]],TODAY()))-1,ABS(NETWORKDAYS(Proc[[#This Row],[DateOpened]],Proc[[#This Row],[DateClosed]]))-1)</f>
        <v>0</v>
      </c>
      <c r="R5167" s="178" t="s">
        <v>489</v>
      </c>
      <c r="S5167" s="150"/>
    </row>
    <row r="5168" spans="1:19" hidden="1">
      <c r="A5168" s="149" t="s">
        <v>7434</v>
      </c>
      <c r="B5168" s="150" t="str">
        <f>IFERROR(VLOOKUP(Proc[[#This Row],[App]],Table2[],3,0),"open")</f>
        <v>open</v>
      </c>
      <c r="C5168" s="149" t="s">
        <v>370</v>
      </c>
      <c r="D5168" t="s">
        <v>7453</v>
      </c>
      <c r="E5168" t="s">
        <v>524</v>
      </c>
      <c r="F5168" s="150" t="str">
        <f>VLOOKUP(Proc[[#This Row],[Obj]],Sheet5!A:B,2,0)</f>
        <v>DFLTPGCOH_002061</v>
      </c>
      <c r="G5168" s="149" t="s">
        <v>400</v>
      </c>
      <c r="H5168" s="150" t="str">
        <f>IF(Proc[[#This Row],[type]]="LFF (MDG-F)",MID(Proc[[#This Row],[Obj]],13,10),"")</f>
        <v/>
      </c>
      <c r="J5168" s="150" t="b">
        <f>Proc[[#This Row],[Requested]]=Proc[[#This Row],[CurrentParent]]</f>
        <v>0</v>
      </c>
      <c r="K5168" s="150" t="str">
        <f>IF(Proc[[#This Row],[Author]]="Marcela Urrego",VLOOKUP(LEFT(Proc[[#This Row],[Requested]],1),Table3[#All],2,0),VLOOKUP(Proc[[#This Row],[Author]],Table4[],2,0))</f>
        <v>LS</v>
      </c>
      <c r="L5168" s="150" t="s">
        <v>6435</v>
      </c>
      <c r="M5168" s="178">
        <v>46024</v>
      </c>
      <c r="N5168" s="178"/>
      <c r="O5168" s="178"/>
      <c r="P5168" s="178" t="str">
        <f ca="1">IF(Proc[[#This Row],[DaysAgeing]]&gt;5,"yep","on track")</f>
        <v>on track</v>
      </c>
      <c r="Q5168" s="3">
        <f ca="1">IF(Proc[[#This Row],[DateClosed]]="",ABS(NETWORKDAYS(Proc[[#This Row],[DateOpened]],TODAY()))-1,ABS(NETWORKDAYS(Proc[[#This Row],[DateOpened]],Proc[[#This Row],[DateClosed]]))-1)</f>
        <v>0</v>
      </c>
      <c r="R5168" s="178" t="s">
        <v>489</v>
      </c>
      <c r="S5168" s="150"/>
    </row>
    <row r="5169" spans="1:19" hidden="1">
      <c r="A5169" s="149" t="s">
        <v>7434</v>
      </c>
      <c r="B5169" s="150" t="str">
        <f>IFERROR(VLOOKUP(Proc[[#This Row],[App]],Table2[],3,0),"open")</f>
        <v>open</v>
      </c>
      <c r="C5169" s="149" t="s">
        <v>370</v>
      </c>
      <c r="D5169" t="s">
        <v>7454</v>
      </c>
      <c r="E5169" t="s">
        <v>524</v>
      </c>
      <c r="F5169" s="150" t="str">
        <f>VLOOKUP(Proc[[#This Row],[Obj]],Sheet5!A:B,2,0)</f>
        <v>DFLTPGCOH_002047</v>
      </c>
      <c r="G5169" s="149" t="s">
        <v>400</v>
      </c>
      <c r="H5169" s="150" t="str">
        <f>IF(Proc[[#This Row],[type]]="LFF (MDG-F)",MID(Proc[[#This Row],[Obj]],13,10),"")</f>
        <v/>
      </c>
      <c r="J5169" s="150" t="b">
        <f>Proc[[#This Row],[Requested]]=Proc[[#This Row],[CurrentParent]]</f>
        <v>0</v>
      </c>
      <c r="K5169" s="150" t="str">
        <f>IF(Proc[[#This Row],[Author]]="Marcela Urrego",VLOOKUP(LEFT(Proc[[#This Row],[Requested]],1),Table3[#All],2,0),VLOOKUP(Proc[[#This Row],[Author]],Table4[],2,0))</f>
        <v>LS</v>
      </c>
      <c r="L5169" s="150" t="s">
        <v>6435</v>
      </c>
      <c r="M5169" s="178">
        <v>46024</v>
      </c>
      <c r="N5169" s="178"/>
      <c r="O5169" s="178"/>
      <c r="P5169" s="178" t="str">
        <f ca="1">IF(Proc[[#This Row],[DaysAgeing]]&gt;5,"yep","on track")</f>
        <v>on track</v>
      </c>
      <c r="Q5169" s="3">
        <f ca="1">IF(Proc[[#This Row],[DateClosed]]="",ABS(NETWORKDAYS(Proc[[#This Row],[DateOpened]],TODAY()))-1,ABS(NETWORKDAYS(Proc[[#This Row],[DateOpened]],Proc[[#This Row],[DateClosed]]))-1)</f>
        <v>0</v>
      </c>
      <c r="R5169" s="178" t="s">
        <v>489</v>
      </c>
      <c r="S5169" s="150"/>
    </row>
    <row r="5170" spans="1:19" hidden="1">
      <c r="A5170" s="149" t="s">
        <v>7434</v>
      </c>
      <c r="B5170" s="150" t="str">
        <f>IFERROR(VLOOKUP(Proc[[#This Row],[App]],Table2[],3,0),"open")</f>
        <v>open</v>
      </c>
      <c r="C5170" s="149" t="s">
        <v>370</v>
      </c>
      <c r="D5170" t="s">
        <v>7455</v>
      </c>
      <c r="E5170" t="s">
        <v>524</v>
      </c>
      <c r="F5170" s="150" t="str">
        <f>VLOOKUP(Proc[[#This Row],[Obj]],Sheet5!A:B,2,0)</f>
        <v>DFLTPGCOH_002047</v>
      </c>
      <c r="G5170" s="149" t="s">
        <v>400</v>
      </c>
      <c r="H5170" s="150" t="str">
        <f>IF(Proc[[#This Row],[type]]="LFF (MDG-F)",MID(Proc[[#This Row],[Obj]],13,10),"")</f>
        <v/>
      </c>
      <c r="J5170" s="150" t="b">
        <f>Proc[[#This Row],[Requested]]=Proc[[#This Row],[CurrentParent]]</f>
        <v>0</v>
      </c>
      <c r="K5170" s="150" t="str">
        <f>IF(Proc[[#This Row],[Author]]="Marcela Urrego",VLOOKUP(LEFT(Proc[[#This Row],[Requested]],1),Table3[#All],2,0),VLOOKUP(Proc[[#This Row],[Author]],Table4[],2,0))</f>
        <v>LS</v>
      </c>
      <c r="L5170" s="150" t="s">
        <v>6435</v>
      </c>
      <c r="M5170" s="178">
        <v>46024</v>
      </c>
      <c r="N5170" s="178"/>
      <c r="O5170" s="178"/>
      <c r="P5170" s="178" t="str">
        <f ca="1">IF(Proc[[#This Row],[DaysAgeing]]&gt;5,"yep","on track")</f>
        <v>on track</v>
      </c>
      <c r="Q5170" s="3">
        <f ca="1">IF(Proc[[#This Row],[DateClosed]]="",ABS(NETWORKDAYS(Proc[[#This Row],[DateOpened]],TODAY()))-1,ABS(NETWORKDAYS(Proc[[#This Row],[DateOpened]],Proc[[#This Row],[DateClosed]]))-1)</f>
        <v>0</v>
      </c>
      <c r="R5170" s="178" t="s">
        <v>489</v>
      </c>
      <c r="S5170" s="150"/>
    </row>
    <row r="5171" spans="1:19" hidden="1">
      <c r="A5171" s="149" t="s">
        <v>7434</v>
      </c>
      <c r="B5171" s="150" t="str">
        <f>IFERROR(VLOOKUP(Proc[[#This Row],[App]],Table2[],3,0),"open")</f>
        <v>open</v>
      </c>
      <c r="C5171" s="149" t="s">
        <v>370</v>
      </c>
      <c r="D5171" t="s">
        <v>7456</v>
      </c>
      <c r="E5171" t="s">
        <v>7463</v>
      </c>
      <c r="F5171" s="150" t="str">
        <f>VLOOKUP(Proc[[#This Row],[Obj]],Sheet5!A:B,2,0)</f>
        <v>DFLTPGCOH_002142</v>
      </c>
      <c r="G5171" s="149" t="s">
        <v>400</v>
      </c>
      <c r="H5171" s="150" t="str">
        <f>IF(Proc[[#This Row],[type]]="LFF (MDG-F)",MID(Proc[[#This Row],[Obj]],13,10),"")</f>
        <v/>
      </c>
      <c r="J5171" s="150" t="b">
        <f>Proc[[#This Row],[Requested]]=Proc[[#This Row],[CurrentParent]]</f>
        <v>0</v>
      </c>
      <c r="K5171" s="150" t="str">
        <f>IF(Proc[[#This Row],[Author]]="Marcela Urrego",VLOOKUP(LEFT(Proc[[#This Row],[Requested]],1),Table3[#All],2,0),VLOOKUP(Proc[[#This Row],[Author]],Table4[],2,0))</f>
        <v>LS</v>
      </c>
      <c r="L5171" s="150" t="s">
        <v>6435</v>
      </c>
      <c r="M5171" s="178">
        <v>46024</v>
      </c>
      <c r="N5171" s="178"/>
      <c r="O5171" s="178"/>
      <c r="P5171" s="178" t="str">
        <f ca="1">IF(Proc[[#This Row],[DaysAgeing]]&gt;5,"yep","on track")</f>
        <v>on track</v>
      </c>
      <c r="Q5171" s="3">
        <f ca="1">IF(Proc[[#This Row],[DateClosed]]="",ABS(NETWORKDAYS(Proc[[#This Row],[DateOpened]],TODAY()))-1,ABS(NETWORKDAYS(Proc[[#This Row],[DateOpened]],Proc[[#This Row],[DateClosed]]))-1)</f>
        <v>0</v>
      </c>
      <c r="R5171" s="178" t="s">
        <v>489</v>
      </c>
      <c r="S5171" s="150"/>
    </row>
    <row r="5172" spans="1:19" hidden="1">
      <c r="A5172" s="149" t="s">
        <v>7434</v>
      </c>
      <c r="B5172" s="150" t="str">
        <f>IFERROR(VLOOKUP(Proc[[#This Row],[App]],Table2[],3,0),"open")</f>
        <v>open</v>
      </c>
      <c r="C5172" s="149" t="s">
        <v>370</v>
      </c>
      <c r="D5172" t="s">
        <v>7457</v>
      </c>
      <c r="E5172" t="s">
        <v>7350</v>
      </c>
      <c r="F5172" s="150" t="str">
        <f>VLOOKUP(Proc[[#This Row],[Obj]],Sheet5!A:B,2,0)</f>
        <v>DFLTPGCOH_BF-Y6_001945</v>
      </c>
      <c r="G5172" s="149" t="s">
        <v>400</v>
      </c>
      <c r="H5172" s="150" t="str">
        <f>IF(Proc[[#This Row],[type]]="LFF (MDG-F)",MID(Proc[[#This Row],[Obj]],13,10),"")</f>
        <v/>
      </c>
      <c r="J5172" s="150" t="b">
        <f>Proc[[#This Row],[Requested]]=Proc[[#This Row],[CurrentParent]]</f>
        <v>0</v>
      </c>
      <c r="K5172" s="150" t="str">
        <f>IF(Proc[[#This Row],[Author]]="Marcela Urrego",VLOOKUP(LEFT(Proc[[#This Row],[Requested]],1),Table3[#All],2,0),VLOOKUP(Proc[[#This Row],[Author]],Table4[],2,0))</f>
        <v>LS</v>
      </c>
      <c r="L5172" s="150" t="s">
        <v>6435</v>
      </c>
      <c r="M5172" s="178">
        <v>46024</v>
      </c>
      <c r="N5172" s="178"/>
      <c r="O5172" s="178"/>
      <c r="P5172" s="178" t="str">
        <f ca="1">IF(Proc[[#This Row],[DaysAgeing]]&gt;5,"yep","on track")</f>
        <v>on track</v>
      </c>
      <c r="Q5172" s="3">
        <f ca="1">IF(Proc[[#This Row],[DateClosed]]="",ABS(NETWORKDAYS(Proc[[#This Row],[DateOpened]],TODAY()))-1,ABS(NETWORKDAYS(Proc[[#This Row],[DateOpened]],Proc[[#This Row],[DateClosed]]))-1)</f>
        <v>0</v>
      </c>
      <c r="R5172" s="178" t="s">
        <v>489</v>
      </c>
      <c r="S5172" s="150"/>
    </row>
    <row r="5173" spans="1:19" hidden="1">
      <c r="A5173" s="149" t="s">
        <v>7434</v>
      </c>
      <c r="B5173" s="150" t="str">
        <f>IFERROR(VLOOKUP(Proc[[#This Row],[App]],Table2[],3,0),"open")</f>
        <v>open</v>
      </c>
      <c r="C5173" s="149" t="s">
        <v>370</v>
      </c>
      <c r="D5173" t="s">
        <v>7458</v>
      </c>
      <c r="E5173" t="s">
        <v>524</v>
      </c>
      <c r="F5173" s="150" t="str">
        <f>VLOOKUP(Proc[[#This Row],[Obj]],Sheet5!A:B,2,0)</f>
        <v>DFLTPGCOH_BF-C4_002177</v>
      </c>
      <c r="G5173" s="149" t="s">
        <v>400</v>
      </c>
      <c r="H5173" s="150" t="str">
        <f>IF(Proc[[#This Row],[type]]="LFF (MDG-F)",MID(Proc[[#This Row],[Obj]],13,10),"")</f>
        <v/>
      </c>
      <c r="J5173" s="150" t="b">
        <f>Proc[[#This Row],[Requested]]=Proc[[#This Row],[CurrentParent]]</f>
        <v>0</v>
      </c>
      <c r="K5173" s="150" t="str">
        <f>IF(Proc[[#This Row],[Author]]="Marcela Urrego",VLOOKUP(LEFT(Proc[[#This Row],[Requested]],1),Table3[#All],2,0),VLOOKUP(Proc[[#This Row],[Author]],Table4[],2,0))</f>
        <v>LS</v>
      </c>
      <c r="L5173" s="150" t="s">
        <v>6435</v>
      </c>
      <c r="M5173" s="178">
        <v>46024</v>
      </c>
      <c r="N5173" s="178"/>
      <c r="O5173" s="178"/>
      <c r="P5173" s="178" t="str">
        <f ca="1">IF(Proc[[#This Row],[DaysAgeing]]&gt;5,"yep","on track")</f>
        <v>on track</v>
      </c>
      <c r="Q5173" s="3">
        <f ca="1">IF(Proc[[#This Row],[DateClosed]]="",ABS(NETWORKDAYS(Proc[[#This Row],[DateOpened]],TODAY()))-1,ABS(NETWORKDAYS(Proc[[#This Row],[DateOpened]],Proc[[#This Row],[DateClosed]]))-1)</f>
        <v>0</v>
      </c>
      <c r="R5173" s="178" t="s">
        <v>489</v>
      </c>
      <c r="S5173" s="150"/>
    </row>
    <row r="5174" spans="1:19" hidden="1">
      <c r="A5174" t="s">
        <v>7464</v>
      </c>
      <c r="B5174" s="150" t="str">
        <f>IFERROR(VLOOKUP(Proc[[#This Row],[App]],Table2[],3,0),"open")</f>
        <v>open</v>
      </c>
      <c r="C5174" s="149" t="s">
        <v>370</v>
      </c>
      <c r="D5174" s="99" t="s">
        <v>7465</v>
      </c>
      <c r="E5174" t="s">
        <v>7466</v>
      </c>
      <c r="F5174" s="150" t="str">
        <f>VLOOKUP(Proc[[#This Row],[Obj]],Sheet5!A:B,2,0)</f>
        <v>L000006422</v>
      </c>
      <c r="G5174" s="149" t="s">
        <v>400</v>
      </c>
      <c r="H5174" s="150" t="str">
        <f>IF(Proc[[#This Row],[type]]="LFF (MDG-F)",MID(Proc[[#This Row],[Obj]],13,10),"")</f>
        <v/>
      </c>
      <c r="J5174" s="150" t="b">
        <f>Proc[[#This Row],[Requested]]=Proc[[#This Row],[CurrentParent]]</f>
        <v>0</v>
      </c>
      <c r="K5174" s="150" t="str">
        <f>IF(Proc[[#This Row],[Author]]="Marcela Urrego",VLOOKUP(LEFT(Proc[[#This Row],[Requested]],1),Table3[#All],2,0),VLOOKUP(Proc[[#This Row],[Author]],Table4[],2,0))</f>
        <v>LS</v>
      </c>
      <c r="L5174" s="150" t="s">
        <v>6435</v>
      </c>
      <c r="M5174" s="178">
        <v>46024</v>
      </c>
      <c r="N5174" s="178"/>
      <c r="O5174" s="178"/>
      <c r="P5174" s="178" t="str">
        <f ca="1">IF(Proc[[#This Row],[DaysAgeing]]&gt;5,"yep","on track")</f>
        <v>on track</v>
      </c>
      <c r="Q5174" s="3">
        <f ca="1">IF(Proc[[#This Row],[DateClosed]]="",ABS(NETWORKDAYS(Proc[[#This Row],[DateOpened]],TODAY()))-1,ABS(NETWORKDAYS(Proc[[#This Row],[DateOpened]],Proc[[#This Row],[DateClosed]]))-1)</f>
        <v>0</v>
      </c>
      <c r="R5174" s="178" t="s">
        <v>489</v>
      </c>
      <c r="S5174" s="150"/>
    </row>
    <row r="5175" spans="1:19">
      <c r="A5175" t="s">
        <v>7467</v>
      </c>
      <c r="B5175" s="150" t="str">
        <f>IFERROR(VLOOKUP(Proc[[#This Row],[App]],Table2[],3,0),"open")</f>
        <v>open</v>
      </c>
      <c r="C5175" s="149" t="s">
        <v>404</v>
      </c>
      <c r="D5175" t="s">
        <v>7468</v>
      </c>
      <c r="E5175" t="s">
        <v>2593</v>
      </c>
      <c r="F5175" s="150"/>
      <c r="G5175" t="s">
        <v>406</v>
      </c>
      <c r="H5175" s="150" t="str">
        <f>IF(Proc[[#This Row],[type]]="LFF (MDG-F)",MID(Proc[[#This Row],[Obj]],13,10),"")</f>
        <v>2123TAJQ01</v>
      </c>
      <c r="I5175" t="s">
        <v>7541</v>
      </c>
      <c r="J5175" s="150" t="b">
        <f>Proc[[#This Row],[Requested]]=Proc[[#This Row],[CurrentParent]]</f>
        <v>0</v>
      </c>
      <c r="K5175" s="150" t="str">
        <f>IF(Proc[[#This Row],[Author]]="Marcela Urrego",VLOOKUP(LEFT(Proc[[#This Row],[Requested]],1),Table3[#All],2,0),VLOOKUP(Proc[[#This Row],[Author]],Table4[],2,0))</f>
        <v>LS</v>
      </c>
      <c r="L5175" s="150" t="s">
        <v>6435</v>
      </c>
      <c r="M5175" s="178">
        <v>46024</v>
      </c>
      <c r="N5175" s="178"/>
      <c r="O5175" s="178"/>
      <c r="P5175" s="178" t="str">
        <f ca="1">IF(Proc[[#This Row],[DaysAgeing]]&gt;5,"yep","on track")</f>
        <v>on track</v>
      </c>
      <c r="Q5175" s="3">
        <f ca="1">IF(Proc[[#This Row],[DateClosed]]="",ABS(NETWORKDAYS(Proc[[#This Row],[DateOpened]],TODAY()))-1,ABS(NETWORKDAYS(Proc[[#This Row],[DateOpened]],Proc[[#This Row],[DateClosed]]))-1)</f>
        <v>0</v>
      </c>
      <c r="R5175" s="178" t="s">
        <v>489</v>
      </c>
      <c r="S5175" s="150"/>
    </row>
    <row r="5176" spans="1:19" hidden="1">
      <c r="A5176" s="149" t="s">
        <v>7467</v>
      </c>
      <c r="B5176" s="150" t="str">
        <f>IFERROR(VLOOKUP(Proc[[#This Row],[App]],Table2[],3,0),"open")</f>
        <v>open</v>
      </c>
      <c r="C5176" s="149" t="s">
        <v>370</v>
      </c>
      <c r="D5176" t="s">
        <v>7469</v>
      </c>
      <c r="E5176" t="s">
        <v>2593</v>
      </c>
      <c r="F5176" s="150" t="str">
        <f>VLOOKUP(Proc[[#This Row],[Obj]],Sheet5!A:B,2,0)</f>
        <v>LFF_7210$$$2123TAJQ01</v>
      </c>
      <c r="G5176" s="149" t="s">
        <v>400</v>
      </c>
      <c r="H5176" s="150" t="str">
        <f>IF(Proc[[#This Row],[type]]="LFF (MDG-F)",MID(Proc[[#This Row],[Obj]],13,10),"")</f>
        <v/>
      </c>
      <c r="J5176" s="150" t="b">
        <f>Proc[[#This Row],[Requested]]=Proc[[#This Row],[CurrentParent]]</f>
        <v>0</v>
      </c>
      <c r="K5176" s="150" t="str">
        <f>IF(Proc[[#This Row],[Author]]="Marcela Urrego",VLOOKUP(LEFT(Proc[[#This Row],[Requested]],1),Table3[#All],2,0),VLOOKUP(Proc[[#This Row],[Author]],Table4[],2,0))</f>
        <v>LS</v>
      </c>
      <c r="L5176" s="150" t="s">
        <v>6435</v>
      </c>
      <c r="M5176" s="178">
        <v>46024</v>
      </c>
      <c r="N5176" s="178"/>
      <c r="O5176" s="178"/>
      <c r="P5176" s="178" t="str">
        <f ca="1">IF(Proc[[#This Row],[DaysAgeing]]&gt;5,"yep","on track")</f>
        <v>on track</v>
      </c>
      <c r="Q5176" s="3">
        <f ca="1">IF(Proc[[#This Row],[DateClosed]]="",ABS(NETWORKDAYS(Proc[[#This Row],[DateOpened]],TODAY()))-1,ABS(NETWORKDAYS(Proc[[#This Row],[DateOpened]],Proc[[#This Row],[DateClosed]]))-1)</f>
        <v>0</v>
      </c>
      <c r="R5176" s="178" t="s">
        <v>489</v>
      </c>
      <c r="S5176" s="150"/>
    </row>
    <row r="5177" spans="1:19" hidden="1">
      <c r="A5177" s="149" t="s">
        <v>7467</v>
      </c>
      <c r="B5177" s="150" t="str">
        <f>IFERROR(VLOOKUP(Proc[[#This Row],[App]],Table2[],3,0),"open")</f>
        <v>open</v>
      </c>
      <c r="C5177" s="149" t="s">
        <v>370</v>
      </c>
      <c r="D5177" t="s">
        <v>7470</v>
      </c>
      <c r="E5177" t="s">
        <v>4100</v>
      </c>
      <c r="F5177" s="150" t="str">
        <f>VLOOKUP(Proc[[#This Row],[Obj]],Sheet5!A:B,2,0)</f>
        <v>TEMPEU_1000FR60635000</v>
      </c>
      <c r="G5177" s="149" t="s">
        <v>400</v>
      </c>
      <c r="H5177" s="150" t="str">
        <f>IF(Proc[[#This Row],[type]]="LFF (MDG-F)",MID(Proc[[#This Row],[Obj]],13,10),"")</f>
        <v/>
      </c>
      <c r="J5177" s="150" t="b">
        <f>Proc[[#This Row],[Requested]]=Proc[[#This Row],[CurrentParent]]</f>
        <v>0</v>
      </c>
      <c r="K5177" s="150" t="str">
        <f>IF(Proc[[#This Row],[Author]]="Marcela Urrego",VLOOKUP(LEFT(Proc[[#This Row],[Requested]],1),Table3[#All],2,0),VLOOKUP(Proc[[#This Row],[Author]],Table4[],2,0))</f>
        <v>LS</v>
      </c>
      <c r="L5177" s="150" t="s">
        <v>6435</v>
      </c>
      <c r="M5177" s="178">
        <v>46024</v>
      </c>
      <c r="N5177" s="178"/>
      <c r="O5177" s="178"/>
      <c r="P5177" s="178" t="str">
        <f ca="1">IF(Proc[[#This Row],[DaysAgeing]]&gt;5,"yep","on track")</f>
        <v>on track</v>
      </c>
      <c r="Q5177" s="3">
        <f ca="1">IF(Proc[[#This Row],[DateClosed]]="",ABS(NETWORKDAYS(Proc[[#This Row],[DateOpened]],TODAY()))-1,ABS(NETWORKDAYS(Proc[[#This Row],[DateOpened]],Proc[[#This Row],[DateClosed]]))-1)</f>
        <v>0</v>
      </c>
      <c r="R5177" s="178" t="s">
        <v>489</v>
      </c>
      <c r="S5177" s="150"/>
    </row>
    <row r="5178" spans="1:19" hidden="1">
      <c r="A5178" s="149" t="s">
        <v>7467</v>
      </c>
      <c r="B5178" s="150" t="str">
        <f>IFERROR(VLOOKUP(Proc[[#This Row],[App]],Table2[],3,0),"open")</f>
        <v>open</v>
      </c>
      <c r="C5178" s="149" t="s">
        <v>377</v>
      </c>
      <c r="D5178" t="s">
        <v>7471</v>
      </c>
      <c r="E5178" t="s">
        <v>4100</v>
      </c>
      <c r="F5178" s="150"/>
      <c r="G5178" s="149" t="s">
        <v>400</v>
      </c>
      <c r="H5178" s="150" t="str">
        <f>IF(Proc[[#This Row],[type]]="LFF (MDG-F)",MID(Proc[[#This Row],[Obj]],13,10),"")</f>
        <v/>
      </c>
      <c r="J5178" s="150" t="b">
        <f>Proc[[#This Row],[Requested]]=Proc[[#This Row],[CurrentParent]]</f>
        <v>0</v>
      </c>
      <c r="K5178" s="150" t="str">
        <f>IF(Proc[[#This Row],[Author]]="Marcela Urrego",VLOOKUP(LEFT(Proc[[#This Row],[Requested]],1),Table3[#All],2,0),VLOOKUP(Proc[[#This Row],[Author]],Table4[],2,0))</f>
        <v>LS</v>
      </c>
      <c r="L5178" s="150" t="s">
        <v>6435</v>
      </c>
      <c r="M5178" s="178">
        <v>46024</v>
      </c>
      <c r="N5178" s="178"/>
      <c r="O5178" s="178"/>
      <c r="P5178" s="178" t="str">
        <f ca="1">IF(Proc[[#This Row],[DaysAgeing]]&gt;5,"yep","on track")</f>
        <v>on track</v>
      </c>
      <c r="Q5178" s="3">
        <f ca="1">IF(Proc[[#This Row],[DateClosed]]="",ABS(NETWORKDAYS(Proc[[#This Row],[DateOpened]],TODAY()))-1,ABS(NETWORKDAYS(Proc[[#This Row],[DateOpened]],Proc[[#This Row],[DateClosed]]))-1)</f>
        <v>0</v>
      </c>
      <c r="R5178" s="178" t="s">
        <v>489</v>
      </c>
      <c r="S5178" s="150"/>
    </row>
    <row r="5179" spans="1:19" hidden="1">
      <c r="A5179" s="149" t="s">
        <v>7467</v>
      </c>
      <c r="B5179" s="150" t="str">
        <f>IFERROR(VLOOKUP(Proc[[#This Row],[App]],Table2[],3,0),"open")</f>
        <v>open</v>
      </c>
      <c r="C5179" s="149" t="s">
        <v>370</v>
      </c>
      <c r="D5179" t="s">
        <v>7472</v>
      </c>
      <c r="E5179" t="s">
        <v>4100</v>
      </c>
      <c r="F5179" s="150" t="str">
        <f>VLOOKUP(Proc[[#This Row],[Obj]],Sheet5!A:B,2,0)</f>
        <v>TEMPEU_1000FR60635000</v>
      </c>
      <c r="G5179" s="149" t="s">
        <v>400</v>
      </c>
      <c r="H5179" s="150" t="str">
        <f>IF(Proc[[#This Row],[type]]="LFF (MDG-F)",MID(Proc[[#This Row],[Obj]],13,10),"")</f>
        <v/>
      </c>
      <c r="J5179" s="150" t="b">
        <f>Proc[[#This Row],[Requested]]=Proc[[#This Row],[CurrentParent]]</f>
        <v>0</v>
      </c>
      <c r="K5179" s="150" t="str">
        <f>IF(Proc[[#This Row],[Author]]="Marcela Urrego",VLOOKUP(LEFT(Proc[[#This Row],[Requested]],1),Table3[#All],2,0),VLOOKUP(Proc[[#This Row],[Author]],Table4[],2,0))</f>
        <v>LS</v>
      </c>
      <c r="L5179" s="150" t="s">
        <v>6435</v>
      </c>
      <c r="M5179" s="178">
        <v>46024</v>
      </c>
      <c r="N5179" s="178"/>
      <c r="O5179" s="178"/>
      <c r="P5179" s="178" t="str">
        <f ca="1">IF(Proc[[#This Row],[DaysAgeing]]&gt;5,"yep","on track")</f>
        <v>on track</v>
      </c>
      <c r="Q5179" s="3">
        <f ca="1">IF(Proc[[#This Row],[DateClosed]]="",ABS(NETWORKDAYS(Proc[[#This Row],[DateOpened]],TODAY()))-1,ABS(NETWORKDAYS(Proc[[#This Row],[DateOpened]],Proc[[#This Row],[DateClosed]]))-1)</f>
        <v>0</v>
      </c>
      <c r="R5179" s="178" t="s">
        <v>489</v>
      </c>
      <c r="S5179" s="150"/>
    </row>
    <row r="5180" spans="1:19" hidden="1">
      <c r="A5180" s="149" t="s">
        <v>7467</v>
      </c>
      <c r="B5180" s="150" t="str">
        <f>IFERROR(VLOOKUP(Proc[[#This Row],[App]],Table2[],3,0),"open")</f>
        <v>open</v>
      </c>
      <c r="C5180" s="149" t="s">
        <v>369</v>
      </c>
      <c r="D5180" t="s">
        <v>7473</v>
      </c>
      <c r="E5180" t="s">
        <v>4100</v>
      </c>
      <c r="F5180" s="150" t="str">
        <f>VLOOKUP(Proc[[#This Row],[Obj]],Sheet5!A:B,2,0)</f>
        <v>L000011451</v>
      </c>
      <c r="G5180" s="149" t="s">
        <v>400</v>
      </c>
      <c r="H5180" s="150" t="str">
        <f>IF(Proc[[#This Row],[type]]="LFF (MDG-F)",MID(Proc[[#This Row],[Obj]],13,10),"")</f>
        <v/>
      </c>
      <c r="J5180" s="150" t="b">
        <f>Proc[[#This Row],[Requested]]=Proc[[#This Row],[CurrentParent]]</f>
        <v>1</v>
      </c>
      <c r="K5180" s="150" t="str">
        <f>IF(Proc[[#This Row],[Author]]="Marcela Urrego",VLOOKUP(LEFT(Proc[[#This Row],[Requested]],1),Table3[#All],2,0),VLOOKUP(Proc[[#This Row],[Author]],Table4[],2,0))</f>
        <v>LS</v>
      </c>
      <c r="L5180" s="150" t="s">
        <v>6435</v>
      </c>
      <c r="M5180" s="178">
        <v>46024</v>
      </c>
      <c r="N5180" s="178"/>
      <c r="O5180" s="178"/>
      <c r="P5180" s="178" t="str">
        <f ca="1">IF(Proc[[#This Row],[DaysAgeing]]&gt;5,"yep","on track")</f>
        <v>on track</v>
      </c>
      <c r="Q5180" s="3">
        <f ca="1">IF(Proc[[#This Row],[DateClosed]]="",ABS(NETWORKDAYS(Proc[[#This Row],[DateOpened]],TODAY()))-1,ABS(NETWORKDAYS(Proc[[#This Row],[DateOpened]],Proc[[#This Row],[DateClosed]]))-1)</f>
        <v>0</v>
      </c>
      <c r="R5180" s="178" t="s">
        <v>489</v>
      </c>
      <c r="S5180" s="150"/>
    </row>
    <row r="5181" spans="1:19" hidden="1">
      <c r="A5181" s="149" t="s">
        <v>7467</v>
      </c>
      <c r="B5181" s="150" t="str">
        <f>IFERROR(VLOOKUP(Proc[[#This Row],[App]],Table2[],3,0),"open")</f>
        <v>open</v>
      </c>
      <c r="C5181" s="149" t="s">
        <v>370</v>
      </c>
      <c r="D5181" t="s">
        <v>7474</v>
      </c>
      <c r="E5181" t="s">
        <v>2592</v>
      </c>
      <c r="F5181" s="150" t="str">
        <f>VLOOKUP(Proc[[#This Row],[Obj]],Sheet5!A:B,2,0)</f>
        <v>TEMPEU_1000CH70RD1107</v>
      </c>
      <c r="G5181" s="149" t="s">
        <v>400</v>
      </c>
      <c r="H5181" s="150" t="str">
        <f>IF(Proc[[#This Row],[type]]="LFF (MDG-F)",MID(Proc[[#This Row],[Obj]],13,10),"")</f>
        <v/>
      </c>
      <c r="J5181" s="150" t="b">
        <f>Proc[[#This Row],[Requested]]=Proc[[#This Row],[CurrentParent]]</f>
        <v>0</v>
      </c>
      <c r="K5181" s="150" t="str">
        <f>IF(Proc[[#This Row],[Author]]="Marcela Urrego",VLOOKUP(LEFT(Proc[[#This Row],[Requested]],1),Table3[#All],2,0),VLOOKUP(Proc[[#This Row],[Author]],Table4[],2,0))</f>
        <v>LS</v>
      </c>
      <c r="L5181" s="150" t="s">
        <v>6435</v>
      </c>
      <c r="M5181" s="178">
        <v>46024</v>
      </c>
      <c r="N5181" s="178"/>
      <c r="O5181" s="178"/>
      <c r="P5181" s="178" t="str">
        <f ca="1">IF(Proc[[#This Row],[DaysAgeing]]&gt;5,"yep","on track")</f>
        <v>on track</v>
      </c>
      <c r="Q5181" s="3">
        <f ca="1">IF(Proc[[#This Row],[DateClosed]]="",ABS(NETWORKDAYS(Proc[[#This Row],[DateOpened]],TODAY()))-1,ABS(NETWORKDAYS(Proc[[#This Row],[DateOpened]],Proc[[#This Row],[DateClosed]]))-1)</f>
        <v>0</v>
      </c>
      <c r="R5181" s="178" t="s">
        <v>489</v>
      </c>
      <c r="S5181" s="150"/>
    </row>
    <row r="5182" spans="1:19" hidden="1">
      <c r="A5182" s="149" t="s">
        <v>7467</v>
      </c>
      <c r="B5182" s="150" t="str">
        <f>IFERROR(VLOOKUP(Proc[[#This Row],[App]],Table2[],3,0),"open")</f>
        <v>open</v>
      </c>
      <c r="C5182" s="149" t="s">
        <v>370</v>
      </c>
      <c r="D5182" t="s">
        <v>7475</v>
      </c>
      <c r="E5182" t="s">
        <v>2592</v>
      </c>
      <c r="F5182" s="150" t="str">
        <f>VLOOKUP(Proc[[#This Row],[Obj]],Sheet5!A:B,2,0)</f>
        <v>TEMPEU_1000CH70RD1107</v>
      </c>
      <c r="G5182" s="149" t="s">
        <v>400</v>
      </c>
      <c r="H5182" s="150" t="str">
        <f>IF(Proc[[#This Row],[type]]="LFF (MDG-F)",MID(Proc[[#This Row],[Obj]],13,10),"")</f>
        <v/>
      </c>
      <c r="J5182" s="150" t="b">
        <f>Proc[[#This Row],[Requested]]=Proc[[#This Row],[CurrentParent]]</f>
        <v>0</v>
      </c>
      <c r="K5182" s="150" t="str">
        <f>IF(Proc[[#This Row],[Author]]="Marcela Urrego",VLOOKUP(LEFT(Proc[[#This Row],[Requested]],1),Table3[#All],2,0),VLOOKUP(Proc[[#This Row],[Author]],Table4[],2,0))</f>
        <v>LS</v>
      </c>
      <c r="L5182" s="150" t="s">
        <v>6435</v>
      </c>
      <c r="M5182" s="178">
        <v>46024</v>
      </c>
      <c r="N5182" s="178"/>
      <c r="O5182" s="178"/>
      <c r="P5182" s="178" t="str">
        <f ca="1">IF(Proc[[#This Row],[DaysAgeing]]&gt;5,"yep","on track")</f>
        <v>on track</v>
      </c>
      <c r="Q5182" s="3">
        <f ca="1">IF(Proc[[#This Row],[DateClosed]]="",ABS(NETWORKDAYS(Proc[[#This Row],[DateOpened]],TODAY()))-1,ABS(NETWORKDAYS(Proc[[#This Row],[DateOpened]],Proc[[#This Row],[DateClosed]]))-1)</f>
        <v>0</v>
      </c>
      <c r="R5182" s="178" t="s">
        <v>489</v>
      </c>
      <c r="S5182" s="150"/>
    </row>
    <row r="5183" spans="1:19" hidden="1">
      <c r="A5183" s="149" t="s">
        <v>7467</v>
      </c>
      <c r="B5183" s="150" t="str">
        <f>IFERROR(VLOOKUP(Proc[[#This Row],[App]],Table2[],3,0),"open")</f>
        <v>open</v>
      </c>
      <c r="C5183" s="149" t="s">
        <v>370</v>
      </c>
      <c r="D5183" t="s">
        <v>7476</v>
      </c>
      <c r="E5183" t="s">
        <v>2592</v>
      </c>
      <c r="F5183" s="150" t="str">
        <f>VLOOKUP(Proc[[#This Row],[Obj]],Sheet5!A:B,2,0)</f>
        <v>TEMPEU_1000CH70RD1107</v>
      </c>
      <c r="G5183" s="149" t="s">
        <v>400</v>
      </c>
      <c r="H5183" s="150" t="str">
        <f>IF(Proc[[#This Row],[type]]="LFF (MDG-F)",MID(Proc[[#This Row],[Obj]],13,10),"")</f>
        <v/>
      </c>
      <c r="J5183" s="150" t="b">
        <f>Proc[[#This Row],[Requested]]=Proc[[#This Row],[CurrentParent]]</f>
        <v>0</v>
      </c>
      <c r="K5183" s="150" t="str">
        <f>IF(Proc[[#This Row],[Author]]="Marcela Urrego",VLOOKUP(LEFT(Proc[[#This Row],[Requested]],1),Table3[#All],2,0),VLOOKUP(Proc[[#This Row],[Author]],Table4[],2,0))</f>
        <v>LS</v>
      </c>
      <c r="L5183" s="150" t="s">
        <v>6435</v>
      </c>
      <c r="M5183" s="178">
        <v>46024</v>
      </c>
      <c r="N5183" s="178"/>
      <c r="O5183" s="178"/>
      <c r="P5183" s="178" t="str">
        <f ca="1">IF(Proc[[#This Row],[DaysAgeing]]&gt;5,"yep","on track")</f>
        <v>on track</v>
      </c>
      <c r="Q5183" s="3">
        <f ca="1">IF(Proc[[#This Row],[DateClosed]]="",ABS(NETWORKDAYS(Proc[[#This Row],[DateOpened]],TODAY()))-1,ABS(NETWORKDAYS(Proc[[#This Row],[DateOpened]],Proc[[#This Row],[DateClosed]]))-1)</f>
        <v>0</v>
      </c>
      <c r="R5183" s="178" t="s">
        <v>489</v>
      </c>
      <c r="S5183" s="150"/>
    </row>
    <row r="5184" spans="1:19" hidden="1">
      <c r="A5184" s="149" t="s">
        <v>7467</v>
      </c>
      <c r="B5184" s="150" t="str">
        <f>IFERROR(VLOOKUP(Proc[[#This Row],[App]],Table2[],3,0),"open")</f>
        <v>open</v>
      </c>
      <c r="C5184" s="149" t="s">
        <v>370</v>
      </c>
      <c r="D5184" t="s">
        <v>7477</v>
      </c>
      <c r="E5184" t="s">
        <v>2463</v>
      </c>
      <c r="F5184" s="150" t="str">
        <f>VLOOKUP(Proc[[#This Row],[Obj]],Sheet5!A:B,2,0)</f>
        <v>PHOENX_01010000629700</v>
      </c>
      <c r="G5184" s="149" t="s">
        <v>400</v>
      </c>
      <c r="H5184" s="150" t="str">
        <f>IF(Proc[[#This Row],[type]]="LFF (MDG-F)",MID(Proc[[#This Row],[Obj]],13,10),"")</f>
        <v/>
      </c>
      <c r="J5184" s="150" t="b">
        <f>Proc[[#This Row],[Requested]]=Proc[[#This Row],[CurrentParent]]</f>
        <v>0</v>
      </c>
      <c r="K5184" s="150" t="str">
        <f>IF(Proc[[#This Row],[Author]]="Marcela Urrego",VLOOKUP(LEFT(Proc[[#This Row],[Requested]],1),Table3[#All],2,0),VLOOKUP(Proc[[#This Row],[Author]],Table4[],2,0))</f>
        <v>LS</v>
      </c>
      <c r="L5184" s="150" t="s">
        <v>6435</v>
      </c>
      <c r="M5184" s="178">
        <v>46024</v>
      </c>
      <c r="N5184" s="178"/>
      <c r="O5184" s="178"/>
      <c r="P5184" s="178" t="str">
        <f ca="1">IF(Proc[[#This Row],[DaysAgeing]]&gt;5,"yep","on track")</f>
        <v>on track</v>
      </c>
      <c r="Q5184" s="3">
        <f ca="1">IF(Proc[[#This Row],[DateClosed]]="",ABS(NETWORKDAYS(Proc[[#This Row],[DateOpened]],TODAY()))-1,ABS(NETWORKDAYS(Proc[[#This Row],[DateOpened]],Proc[[#This Row],[DateClosed]]))-1)</f>
        <v>0</v>
      </c>
      <c r="R5184" s="178" t="s">
        <v>489</v>
      </c>
      <c r="S5184" s="150"/>
    </row>
    <row r="5185" spans="1:19" hidden="1">
      <c r="A5185" s="149" t="s">
        <v>7467</v>
      </c>
      <c r="B5185" s="150" t="str">
        <f>IFERROR(VLOOKUP(Proc[[#This Row],[App]],Table2[],3,0),"open")</f>
        <v>open</v>
      </c>
      <c r="C5185" s="149" t="s">
        <v>370</v>
      </c>
      <c r="D5185" t="s">
        <v>7478</v>
      </c>
      <c r="E5185" t="s">
        <v>2463</v>
      </c>
      <c r="F5185" s="150" t="str">
        <f>VLOOKUP(Proc[[#This Row],[Obj]],Sheet5!A:B,2,0)</f>
        <v>PHOENX_01010000629700</v>
      </c>
      <c r="G5185" s="149" t="s">
        <v>400</v>
      </c>
      <c r="H5185" s="150" t="str">
        <f>IF(Proc[[#This Row],[type]]="LFF (MDG-F)",MID(Proc[[#This Row],[Obj]],13,10),"")</f>
        <v/>
      </c>
      <c r="J5185" s="150" t="b">
        <f>Proc[[#This Row],[Requested]]=Proc[[#This Row],[CurrentParent]]</f>
        <v>0</v>
      </c>
      <c r="K5185" s="150" t="str">
        <f>IF(Proc[[#This Row],[Author]]="Marcela Urrego",VLOOKUP(LEFT(Proc[[#This Row],[Requested]],1),Table3[#All],2,0),VLOOKUP(Proc[[#This Row],[Author]],Table4[],2,0))</f>
        <v>LS</v>
      </c>
      <c r="L5185" s="150" t="s">
        <v>6435</v>
      </c>
      <c r="M5185" s="178">
        <v>46024</v>
      </c>
      <c r="N5185" s="178"/>
      <c r="O5185" s="178"/>
      <c r="P5185" s="178" t="str">
        <f ca="1">IF(Proc[[#This Row],[DaysAgeing]]&gt;5,"yep","on track")</f>
        <v>on track</v>
      </c>
      <c r="Q5185" s="3">
        <f ca="1">IF(Proc[[#This Row],[DateClosed]]="",ABS(NETWORKDAYS(Proc[[#This Row],[DateOpened]],TODAY()))-1,ABS(NETWORKDAYS(Proc[[#This Row],[DateOpened]],Proc[[#This Row],[DateClosed]]))-1)</f>
        <v>0</v>
      </c>
      <c r="R5185" s="178" t="s">
        <v>489</v>
      </c>
      <c r="S5185" s="150"/>
    </row>
    <row r="5186" spans="1:19" hidden="1">
      <c r="A5186" s="149" t="s">
        <v>7467</v>
      </c>
      <c r="B5186" s="150" t="str">
        <f>IFERROR(VLOOKUP(Proc[[#This Row],[App]],Table2[],3,0),"open")</f>
        <v>open</v>
      </c>
      <c r="C5186" s="149" t="s">
        <v>370</v>
      </c>
      <c r="D5186" t="s">
        <v>7479</v>
      </c>
      <c r="E5186" t="s">
        <v>2463</v>
      </c>
      <c r="F5186" s="150" t="str">
        <f>VLOOKUP(Proc[[#This Row],[Obj]],Sheet5!A:B,2,0)</f>
        <v>PHOENX_01010000629700</v>
      </c>
      <c r="G5186" s="149" t="s">
        <v>400</v>
      </c>
      <c r="H5186" s="150" t="str">
        <f>IF(Proc[[#This Row],[type]]="LFF (MDG-F)",MID(Proc[[#This Row],[Obj]],13,10),"")</f>
        <v/>
      </c>
      <c r="J5186" s="150" t="b">
        <f>Proc[[#This Row],[Requested]]=Proc[[#This Row],[CurrentParent]]</f>
        <v>0</v>
      </c>
      <c r="K5186" s="150" t="str">
        <f>IF(Proc[[#This Row],[Author]]="Marcela Urrego",VLOOKUP(LEFT(Proc[[#This Row],[Requested]],1),Table3[#All],2,0),VLOOKUP(Proc[[#This Row],[Author]],Table4[],2,0))</f>
        <v>LS</v>
      </c>
      <c r="L5186" s="150" t="s">
        <v>6435</v>
      </c>
      <c r="M5186" s="178">
        <v>46024</v>
      </c>
      <c r="N5186" s="178"/>
      <c r="O5186" s="178"/>
      <c r="P5186" s="178" t="str">
        <f ca="1">IF(Proc[[#This Row],[DaysAgeing]]&gt;5,"yep","on track")</f>
        <v>on track</v>
      </c>
      <c r="Q5186" s="3">
        <f ca="1">IF(Proc[[#This Row],[DateClosed]]="",ABS(NETWORKDAYS(Proc[[#This Row],[DateOpened]],TODAY()))-1,ABS(NETWORKDAYS(Proc[[#This Row],[DateOpened]],Proc[[#This Row],[DateClosed]]))-1)</f>
        <v>0</v>
      </c>
      <c r="R5186" s="178" t="s">
        <v>489</v>
      </c>
      <c r="S5186" s="150"/>
    </row>
    <row r="5187" spans="1:19" hidden="1">
      <c r="A5187" s="149" t="s">
        <v>7467</v>
      </c>
      <c r="B5187" s="150" t="str">
        <f>IFERROR(VLOOKUP(Proc[[#This Row],[App]],Table2[],3,0),"open")</f>
        <v>open</v>
      </c>
      <c r="C5187" s="149" t="s">
        <v>377</v>
      </c>
      <c r="D5187" t="s">
        <v>7480</v>
      </c>
      <c r="E5187" t="s">
        <v>2463</v>
      </c>
      <c r="F5187" s="150"/>
      <c r="G5187" s="149" t="s">
        <v>400</v>
      </c>
      <c r="H5187" s="150" t="str">
        <f>IF(Proc[[#This Row],[type]]="LFF (MDG-F)",MID(Proc[[#This Row],[Obj]],13,10),"")</f>
        <v/>
      </c>
      <c r="J5187" s="150" t="b">
        <f>Proc[[#This Row],[Requested]]=Proc[[#This Row],[CurrentParent]]</f>
        <v>0</v>
      </c>
      <c r="K5187" s="150" t="str">
        <f>IF(Proc[[#This Row],[Author]]="Marcela Urrego",VLOOKUP(LEFT(Proc[[#This Row],[Requested]],1),Table3[#All],2,0),VLOOKUP(Proc[[#This Row],[Author]],Table4[],2,0))</f>
        <v>LS</v>
      </c>
      <c r="L5187" s="150" t="s">
        <v>6435</v>
      </c>
      <c r="M5187" s="178">
        <v>46024</v>
      </c>
      <c r="N5187" s="178"/>
      <c r="O5187" s="178"/>
      <c r="P5187" s="178" t="str">
        <f ca="1">IF(Proc[[#This Row],[DaysAgeing]]&gt;5,"yep","on track")</f>
        <v>on track</v>
      </c>
      <c r="Q5187" s="3">
        <f ca="1">IF(Proc[[#This Row],[DateClosed]]="",ABS(NETWORKDAYS(Proc[[#This Row],[DateOpened]],TODAY()))-1,ABS(NETWORKDAYS(Proc[[#This Row],[DateOpened]],Proc[[#This Row],[DateClosed]]))-1)</f>
        <v>0</v>
      </c>
      <c r="R5187" s="178" t="s">
        <v>489</v>
      </c>
      <c r="S5187" s="150"/>
    </row>
    <row r="5188" spans="1:19" hidden="1">
      <c r="A5188" s="149" t="s">
        <v>7467</v>
      </c>
      <c r="B5188" s="150" t="str">
        <f>IFERROR(VLOOKUP(Proc[[#This Row],[App]],Table2[],3,0),"open")</f>
        <v>open</v>
      </c>
      <c r="C5188" s="149" t="s">
        <v>370</v>
      </c>
      <c r="D5188" t="s">
        <v>7481</v>
      </c>
      <c r="E5188" t="s">
        <v>2463</v>
      </c>
      <c r="F5188" s="150" t="str">
        <f>VLOOKUP(Proc[[#This Row],[Obj]],Sheet5!A:B,2,0)</f>
        <v>PHOENX_01010000629700</v>
      </c>
      <c r="G5188" s="149" t="s">
        <v>400</v>
      </c>
      <c r="H5188" s="150" t="str">
        <f>IF(Proc[[#This Row],[type]]="LFF (MDG-F)",MID(Proc[[#This Row],[Obj]],13,10),"")</f>
        <v/>
      </c>
      <c r="J5188" s="150" t="b">
        <f>Proc[[#This Row],[Requested]]=Proc[[#This Row],[CurrentParent]]</f>
        <v>0</v>
      </c>
      <c r="K5188" s="150" t="str">
        <f>IF(Proc[[#This Row],[Author]]="Marcela Urrego",VLOOKUP(LEFT(Proc[[#This Row],[Requested]],1),Table3[#All],2,0),VLOOKUP(Proc[[#This Row],[Author]],Table4[],2,0))</f>
        <v>LS</v>
      </c>
      <c r="L5188" s="150" t="s">
        <v>6435</v>
      </c>
      <c r="M5188" s="178">
        <v>46024</v>
      </c>
      <c r="N5188" s="178"/>
      <c r="O5188" s="178"/>
      <c r="P5188" s="178" t="str">
        <f ca="1">IF(Proc[[#This Row],[DaysAgeing]]&gt;5,"yep","on track")</f>
        <v>on track</v>
      </c>
      <c r="Q5188" s="3">
        <f ca="1">IF(Proc[[#This Row],[DateClosed]]="",ABS(NETWORKDAYS(Proc[[#This Row],[DateOpened]],TODAY()))-1,ABS(NETWORKDAYS(Proc[[#This Row],[DateOpened]],Proc[[#This Row],[DateClosed]]))-1)</f>
        <v>0</v>
      </c>
      <c r="R5188" s="178" t="s">
        <v>489</v>
      </c>
      <c r="S5188" s="150"/>
    </row>
    <row r="5189" spans="1:19" hidden="1">
      <c r="A5189" s="149" t="s">
        <v>7467</v>
      </c>
      <c r="B5189" s="150" t="str">
        <f>IFERROR(VLOOKUP(Proc[[#This Row],[App]],Table2[],3,0),"open")</f>
        <v>open</v>
      </c>
      <c r="C5189" s="149" t="s">
        <v>369</v>
      </c>
      <c r="D5189" t="s">
        <v>7482</v>
      </c>
      <c r="E5189" t="s">
        <v>2463</v>
      </c>
      <c r="F5189" s="150" t="str">
        <f>VLOOKUP(Proc[[#This Row],[Obj]],Sheet5!A:B,2,0)</f>
        <v>L000006429</v>
      </c>
      <c r="G5189" s="149" t="s">
        <v>400</v>
      </c>
      <c r="H5189" s="150" t="str">
        <f>IF(Proc[[#This Row],[type]]="LFF (MDG-F)",MID(Proc[[#This Row],[Obj]],13,10),"")</f>
        <v/>
      </c>
      <c r="J5189" s="150" t="b">
        <f>Proc[[#This Row],[Requested]]=Proc[[#This Row],[CurrentParent]]</f>
        <v>1</v>
      </c>
      <c r="K5189" s="150" t="str">
        <f>IF(Proc[[#This Row],[Author]]="Marcela Urrego",VLOOKUP(LEFT(Proc[[#This Row],[Requested]],1),Table3[#All],2,0),VLOOKUP(Proc[[#This Row],[Author]],Table4[],2,0))</f>
        <v>LS</v>
      </c>
      <c r="L5189" s="150" t="s">
        <v>6435</v>
      </c>
      <c r="M5189" s="178">
        <v>46024</v>
      </c>
      <c r="N5189" s="178"/>
      <c r="O5189" s="178"/>
      <c r="P5189" s="178" t="str">
        <f ca="1">IF(Proc[[#This Row],[DaysAgeing]]&gt;5,"yep","on track")</f>
        <v>on track</v>
      </c>
      <c r="Q5189" s="3">
        <f ca="1">IF(Proc[[#This Row],[DateClosed]]="",ABS(NETWORKDAYS(Proc[[#This Row],[DateOpened]],TODAY()))-1,ABS(NETWORKDAYS(Proc[[#This Row],[DateOpened]],Proc[[#This Row],[DateClosed]]))-1)</f>
        <v>0</v>
      </c>
      <c r="R5189" s="178" t="s">
        <v>489</v>
      </c>
      <c r="S5189" s="150"/>
    </row>
    <row r="5190" spans="1:19" hidden="1">
      <c r="A5190" s="149" t="s">
        <v>7467</v>
      </c>
      <c r="B5190" s="150" t="str">
        <f>IFERROR(VLOOKUP(Proc[[#This Row],[App]],Table2[],3,0),"open")</f>
        <v>open</v>
      </c>
      <c r="C5190" s="149" t="s">
        <v>370</v>
      </c>
      <c r="D5190" t="s">
        <v>7483</v>
      </c>
      <c r="E5190" t="s">
        <v>7484</v>
      </c>
      <c r="F5190" s="150" t="str">
        <f>VLOOKUP(Proc[[#This Row],[Obj]],Sheet5!A:B,2,0)</f>
        <v>PHOENX_01010000629700</v>
      </c>
      <c r="G5190" s="149" t="s">
        <v>400</v>
      </c>
      <c r="H5190" s="150" t="str">
        <f>IF(Proc[[#This Row],[type]]="LFF (MDG-F)",MID(Proc[[#This Row],[Obj]],13,10),"")</f>
        <v/>
      </c>
      <c r="J5190" s="150" t="b">
        <f>Proc[[#This Row],[Requested]]=Proc[[#This Row],[CurrentParent]]</f>
        <v>0</v>
      </c>
      <c r="K5190" s="150" t="str">
        <f>IF(Proc[[#This Row],[Author]]="Marcela Urrego",VLOOKUP(LEFT(Proc[[#This Row],[Requested]],1),Table3[#All],2,0),VLOOKUP(Proc[[#This Row],[Author]],Table4[],2,0))</f>
        <v>LS</v>
      </c>
      <c r="L5190" s="150" t="s">
        <v>6435</v>
      </c>
      <c r="M5190" s="178">
        <v>46024</v>
      </c>
      <c r="N5190" s="178"/>
      <c r="O5190" s="178"/>
      <c r="P5190" s="178" t="str">
        <f ca="1">IF(Proc[[#This Row],[DaysAgeing]]&gt;5,"yep","on track")</f>
        <v>on track</v>
      </c>
      <c r="Q5190" s="3">
        <f ca="1">IF(Proc[[#This Row],[DateClosed]]="",ABS(NETWORKDAYS(Proc[[#This Row],[DateOpened]],TODAY()))-1,ABS(NETWORKDAYS(Proc[[#This Row],[DateOpened]],Proc[[#This Row],[DateClosed]]))-1)</f>
        <v>0</v>
      </c>
      <c r="R5190" s="178" t="s">
        <v>489</v>
      </c>
      <c r="S5190" s="150"/>
    </row>
    <row r="5191" spans="1:19" hidden="1">
      <c r="A5191" t="s">
        <v>7485</v>
      </c>
      <c r="B5191" s="150" t="str">
        <f>IFERROR(VLOOKUP(Proc[[#This Row],[App]],Table2[],3,0),"open")</f>
        <v>open</v>
      </c>
      <c r="C5191" s="149" t="s">
        <v>370</v>
      </c>
      <c r="D5191" t="s">
        <v>7486</v>
      </c>
      <c r="E5191" t="s">
        <v>7350</v>
      </c>
      <c r="F5191" s="150" t="str">
        <f>VLOOKUP(Proc[[#This Row],[Obj]],Sheet5!A:B,2,0)</f>
        <v>L000011321</v>
      </c>
      <c r="G5191" s="149" t="s">
        <v>400</v>
      </c>
      <c r="H5191" s="150" t="str">
        <f>IF(Proc[[#This Row],[type]]="LFF (MDG-F)",MID(Proc[[#This Row],[Obj]],13,10),"")</f>
        <v/>
      </c>
      <c r="J5191" s="150" t="b">
        <f>Proc[[#This Row],[Requested]]=Proc[[#This Row],[CurrentParent]]</f>
        <v>0</v>
      </c>
      <c r="K5191" s="150" t="str">
        <f>IF(Proc[[#This Row],[Author]]="Marcela Urrego",VLOOKUP(LEFT(Proc[[#This Row],[Requested]],1),Table3[#All],2,0),VLOOKUP(Proc[[#This Row],[Author]],Table4[],2,0))</f>
        <v>LS</v>
      </c>
      <c r="L5191" s="150" t="s">
        <v>6435</v>
      </c>
      <c r="M5191" s="178">
        <v>46024</v>
      </c>
      <c r="N5191" s="178"/>
      <c r="O5191" s="178"/>
      <c r="P5191" s="178" t="str">
        <f ca="1">IF(Proc[[#This Row],[DaysAgeing]]&gt;5,"yep","on track")</f>
        <v>on track</v>
      </c>
      <c r="Q5191" s="3">
        <f ca="1">IF(Proc[[#This Row],[DateClosed]]="",ABS(NETWORKDAYS(Proc[[#This Row],[DateOpened]],TODAY()))-1,ABS(NETWORKDAYS(Proc[[#This Row],[DateOpened]],Proc[[#This Row],[DateClosed]]))-1)</f>
        <v>0</v>
      </c>
      <c r="R5191" s="178" t="s">
        <v>489</v>
      </c>
      <c r="S5191" s="150"/>
    </row>
    <row r="5192" spans="1:19">
      <c r="A5192" s="149" t="s">
        <v>7485</v>
      </c>
      <c r="B5192" s="150" t="str">
        <f>IFERROR(VLOOKUP(Proc[[#This Row],[App]],Table2[],3,0),"open")</f>
        <v>open</v>
      </c>
      <c r="C5192" s="149" t="s">
        <v>404</v>
      </c>
      <c r="D5192" t="s">
        <v>7487</v>
      </c>
      <c r="E5192" t="s">
        <v>7350</v>
      </c>
      <c r="F5192" s="150"/>
      <c r="G5192" s="149" t="s">
        <v>406</v>
      </c>
      <c r="H5192" s="150" t="str">
        <f>IF(Proc[[#This Row],[type]]="LFF (MDG-F)",MID(Proc[[#This Row],[Obj]],13,10),"")</f>
        <v>1756Y11755</v>
      </c>
      <c r="I5192" s="149" t="s">
        <v>7541</v>
      </c>
      <c r="J5192" s="150" t="b">
        <f>Proc[[#This Row],[Requested]]=Proc[[#This Row],[CurrentParent]]</f>
        <v>0</v>
      </c>
      <c r="K5192" s="150" t="str">
        <f>IF(Proc[[#This Row],[Author]]="Marcela Urrego",VLOOKUP(LEFT(Proc[[#This Row],[Requested]],1),Table3[#All],2,0),VLOOKUP(Proc[[#This Row],[Author]],Table4[],2,0))</f>
        <v>LS</v>
      </c>
      <c r="L5192" s="150" t="s">
        <v>6435</v>
      </c>
      <c r="M5192" s="178">
        <v>46024</v>
      </c>
      <c r="N5192" s="178"/>
      <c r="O5192" s="178"/>
      <c r="P5192" s="178" t="str">
        <f ca="1">IF(Proc[[#This Row],[DaysAgeing]]&gt;5,"yep","on track")</f>
        <v>on track</v>
      </c>
      <c r="Q5192" s="3">
        <f ca="1">IF(Proc[[#This Row],[DateClosed]]="",ABS(NETWORKDAYS(Proc[[#This Row],[DateOpened]],TODAY()))-1,ABS(NETWORKDAYS(Proc[[#This Row],[DateOpened]],Proc[[#This Row],[DateClosed]]))-1)</f>
        <v>0</v>
      </c>
      <c r="R5192" s="178" t="s">
        <v>489</v>
      </c>
      <c r="S5192" s="150"/>
    </row>
    <row r="5193" spans="1:19" hidden="1">
      <c r="A5193" s="149" t="s">
        <v>7485</v>
      </c>
      <c r="B5193" s="150" t="str">
        <f>IFERROR(VLOOKUP(Proc[[#This Row],[App]],Table2[],3,0),"open")</f>
        <v>open</v>
      </c>
      <c r="C5193" s="149" t="s">
        <v>370</v>
      </c>
      <c r="D5193" t="s">
        <v>7465</v>
      </c>
      <c r="E5193" t="s">
        <v>7466</v>
      </c>
      <c r="F5193" s="150" t="str">
        <f>VLOOKUP(Proc[[#This Row],[Obj]],Sheet5!A:B,2,0)</f>
        <v>L000006422</v>
      </c>
      <c r="G5193" s="149" t="s">
        <v>400</v>
      </c>
      <c r="H5193" s="150" t="str">
        <f>IF(Proc[[#This Row],[type]]="LFF (MDG-F)",MID(Proc[[#This Row],[Obj]],13,10),"")</f>
        <v/>
      </c>
      <c r="J5193" s="150" t="b">
        <f>Proc[[#This Row],[Requested]]=Proc[[#This Row],[CurrentParent]]</f>
        <v>0</v>
      </c>
      <c r="K5193" s="150" t="str">
        <f>IF(Proc[[#This Row],[Author]]="Marcela Urrego",VLOOKUP(LEFT(Proc[[#This Row],[Requested]],1),Table3[#All],2,0),VLOOKUP(Proc[[#This Row],[Author]],Table4[],2,0))</f>
        <v>LS</v>
      </c>
      <c r="L5193" s="150" t="s">
        <v>6435</v>
      </c>
      <c r="M5193" s="178">
        <v>46024</v>
      </c>
      <c r="N5193" s="178"/>
      <c r="O5193" s="178"/>
      <c r="P5193" s="178" t="str">
        <f ca="1">IF(Proc[[#This Row],[DaysAgeing]]&gt;5,"yep","on track")</f>
        <v>on track</v>
      </c>
      <c r="Q5193" s="3">
        <f ca="1">IF(Proc[[#This Row],[DateClosed]]="",ABS(NETWORKDAYS(Proc[[#This Row],[DateOpened]],TODAY()))-1,ABS(NETWORKDAYS(Proc[[#This Row],[DateOpened]],Proc[[#This Row],[DateClosed]]))-1)</f>
        <v>0</v>
      </c>
      <c r="R5193" s="178" t="s">
        <v>489</v>
      </c>
      <c r="S5193" s="150"/>
    </row>
    <row r="5194" spans="1:19" hidden="1">
      <c r="A5194" s="149" t="s">
        <v>7485</v>
      </c>
      <c r="B5194" s="150" t="str">
        <f>IFERROR(VLOOKUP(Proc[[#This Row],[App]],Table2[],3,0),"open")</f>
        <v>open</v>
      </c>
      <c r="C5194" s="149" t="s">
        <v>369</v>
      </c>
      <c r="D5194" t="s">
        <v>7488</v>
      </c>
      <c r="E5194" t="s">
        <v>7516</v>
      </c>
      <c r="F5194" s="150" t="str">
        <f>VLOOKUP(Proc[[#This Row],[Obj]],Sheet5!A:B,2,0)</f>
        <v>L000006435</v>
      </c>
      <c r="G5194" s="149" t="s">
        <v>400</v>
      </c>
      <c r="H5194" s="150" t="str">
        <f>IF(Proc[[#This Row],[type]]="LFF (MDG-F)",MID(Proc[[#This Row],[Obj]],13,10),"")</f>
        <v/>
      </c>
      <c r="J5194" s="150" t="b">
        <f>Proc[[#This Row],[Requested]]=Proc[[#This Row],[CurrentParent]]</f>
        <v>1</v>
      </c>
      <c r="K5194" s="150" t="str">
        <f>IF(Proc[[#This Row],[Author]]="Marcela Urrego",VLOOKUP(LEFT(Proc[[#This Row],[Requested]],1),Table3[#All],2,0),VLOOKUP(Proc[[#This Row],[Author]],Table4[],2,0))</f>
        <v>LS</v>
      </c>
      <c r="L5194" s="150" t="s">
        <v>6435</v>
      </c>
      <c r="M5194" s="178">
        <v>46024</v>
      </c>
      <c r="N5194" s="178"/>
      <c r="O5194" s="178"/>
      <c r="P5194" s="178" t="str">
        <f ca="1">IF(Proc[[#This Row],[DaysAgeing]]&gt;5,"yep","on track")</f>
        <v>on track</v>
      </c>
      <c r="Q5194" s="3">
        <f ca="1">IF(Proc[[#This Row],[DateClosed]]="",ABS(NETWORKDAYS(Proc[[#This Row],[DateOpened]],TODAY()))-1,ABS(NETWORKDAYS(Proc[[#This Row],[DateOpened]],Proc[[#This Row],[DateClosed]]))-1)</f>
        <v>0</v>
      </c>
      <c r="R5194" s="178" t="s">
        <v>489</v>
      </c>
      <c r="S5194" s="150"/>
    </row>
    <row r="5195" spans="1:19" hidden="1">
      <c r="A5195" s="149" t="s">
        <v>7485</v>
      </c>
      <c r="B5195" s="150" t="str">
        <f>IFERROR(VLOOKUP(Proc[[#This Row],[App]],Table2[],3,0),"open")</f>
        <v>open</v>
      </c>
      <c r="C5195" s="149" t="s">
        <v>370</v>
      </c>
      <c r="D5195" t="s">
        <v>7489</v>
      </c>
      <c r="E5195" t="s">
        <v>7392</v>
      </c>
      <c r="F5195" s="150" t="str">
        <f>VLOOKUP(Proc[[#This Row],[Obj]],Sheet5!A:B,2,0)</f>
        <v>L000007098</v>
      </c>
      <c r="G5195" s="149" t="s">
        <v>400</v>
      </c>
      <c r="H5195" s="150" t="str">
        <f>IF(Proc[[#This Row],[type]]="LFF (MDG-F)",MID(Proc[[#This Row],[Obj]],13,10),"")</f>
        <v/>
      </c>
      <c r="J5195" s="150" t="b">
        <f>Proc[[#This Row],[Requested]]=Proc[[#This Row],[CurrentParent]]</f>
        <v>0</v>
      </c>
      <c r="K5195" s="150" t="str">
        <f>IF(Proc[[#This Row],[Author]]="Marcela Urrego",VLOOKUP(LEFT(Proc[[#This Row],[Requested]],1),Table3[#All],2,0),VLOOKUP(Proc[[#This Row],[Author]],Table4[],2,0))</f>
        <v>LS</v>
      </c>
      <c r="L5195" s="150" t="s">
        <v>6435</v>
      </c>
      <c r="M5195" s="178">
        <v>46024</v>
      </c>
      <c r="N5195" s="178"/>
      <c r="O5195" s="178"/>
      <c r="P5195" s="178" t="str">
        <f ca="1">IF(Proc[[#This Row],[DaysAgeing]]&gt;5,"yep","on track")</f>
        <v>on track</v>
      </c>
      <c r="Q5195" s="3">
        <f ca="1">IF(Proc[[#This Row],[DateClosed]]="",ABS(NETWORKDAYS(Proc[[#This Row],[DateOpened]],TODAY()))-1,ABS(NETWORKDAYS(Proc[[#This Row],[DateOpened]],Proc[[#This Row],[DateClosed]]))-1)</f>
        <v>0</v>
      </c>
      <c r="R5195" s="178" t="s">
        <v>489</v>
      </c>
      <c r="S5195" s="150"/>
    </row>
    <row r="5196" spans="1:19" hidden="1">
      <c r="A5196" s="149" t="s">
        <v>7485</v>
      </c>
      <c r="B5196" s="150" t="str">
        <f>IFERROR(VLOOKUP(Proc[[#This Row],[App]],Table2[],3,0),"open")</f>
        <v>open</v>
      </c>
      <c r="C5196" s="149" t="s">
        <v>370</v>
      </c>
      <c r="D5196" t="s">
        <v>7490</v>
      </c>
      <c r="E5196" t="s">
        <v>7392</v>
      </c>
      <c r="F5196" s="150" t="str">
        <f>VLOOKUP(Proc[[#This Row],[Obj]],Sheet5!A:B,2,0)</f>
        <v>L000007099</v>
      </c>
      <c r="G5196" s="149" t="s">
        <v>400</v>
      </c>
      <c r="H5196" s="150" t="str">
        <f>IF(Proc[[#This Row],[type]]="LFF (MDG-F)",MID(Proc[[#This Row],[Obj]],13,10),"")</f>
        <v/>
      </c>
      <c r="J5196" s="150" t="b">
        <f>Proc[[#This Row],[Requested]]=Proc[[#This Row],[CurrentParent]]</f>
        <v>0</v>
      </c>
      <c r="K5196" s="150" t="str">
        <f>IF(Proc[[#This Row],[Author]]="Marcela Urrego",VLOOKUP(LEFT(Proc[[#This Row],[Requested]],1),Table3[#All],2,0),VLOOKUP(Proc[[#This Row],[Author]],Table4[],2,0))</f>
        <v>LS</v>
      </c>
      <c r="L5196" s="150" t="s">
        <v>6435</v>
      </c>
      <c r="M5196" s="178">
        <v>46024</v>
      </c>
      <c r="N5196" s="178"/>
      <c r="O5196" s="178"/>
      <c r="P5196" s="178" t="str">
        <f ca="1">IF(Proc[[#This Row],[DaysAgeing]]&gt;5,"yep","on track")</f>
        <v>on track</v>
      </c>
      <c r="Q5196" s="3">
        <f ca="1">IF(Proc[[#This Row],[DateClosed]]="",ABS(NETWORKDAYS(Proc[[#This Row],[DateOpened]],TODAY()))-1,ABS(NETWORKDAYS(Proc[[#This Row],[DateOpened]],Proc[[#This Row],[DateClosed]]))-1)</f>
        <v>0</v>
      </c>
      <c r="R5196" s="178" t="s">
        <v>489</v>
      </c>
      <c r="S5196" s="150"/>
    </row>
    <row r="5197" spans="1:19" hidden="1">
      <c r="A5197" s="149" t="s">
        <v>7485</v>
      </c>
      <c r="B5197" s="150" t="str">
        <f>IFERROR(VLOOKUP(Proc[[#This Row],[App]],Table2[],3,0),"open")</f>
        <v>open</v>
      </c>
      <c r="C5197" s="149" t="s">
        <v>370</v>
      </c>
      <c r="D5197" t="s">
        <v>7491</v>
      </c>
      <c r="E5197" t="s">
        <v>7392</v>
      </c>
      <c r="F5197" s="150" t="str">
        <f>VLOOKUP(Proc[[#This Row],[Obj]],Sheet5!A:B,2,0)</f>
        <v>L000012607</v>
      </c>
      <c r="G5197" s="149" t="s">
        <v>400</v>
      </c>
      <c r="H5197" s="150" t="str">
        <f>IF(Proc[[#This Row],[type]]="LFF (MDG-F)",MID(Proc[[#This Row],[Obj]],13,10),"")</f>
        <v/>
      </c>
      <c r="J5197" s="150" t="b">
        <f>Proc[[#This Row],[Requested]]=Proc[[#This Row],[CurrentParent]]</f>
        <v>0</v>
      </c>
      <c r="K5197" s="150" t="str">
        <f>IF(Proc[[#This Row],[Author]]="Marcela Urrego",VLOOKUP(LEFT(Proc[[#This Row],[Requested]],1),Table3[#All],2,0),VLOOKUP(Proc[[#This Row],[Author]],Table4[],2,0))</f>
        <v>LS</v>
      </c>
      <c r="L5197" s="150" t="s">
        <v>6435</v>
      </c>
      <c r="M5197" s="178">
        <v>46024</v>
      </c>
      <c r="N5197" s="178"/>
      <c r="O5197" s="178"/>
      <c r="P5197" s="178" t="str">
        <f ca="1">IF(Proc[[#This Row],[DaysAgeing]]&gt;5,"yep","on track")</f>
        <v>on track</v>
      </c>
      <c r="Q5197" s="3">
        <f ca="1">IF(Proc[[#This Row],[DateClosed]]="",ABS(NETWORKDAYS(Proc[[#This Row],[DateOpened]],TODAY()))-1,ABS(NETWORKDAYS(Proc[[#This Row],[DateOpened]],Proc[[#This Row],[DateClosed]]))-1)</f>
        <v>0</v>
      </c>
      <c r="R5197" s="178" t="s">
        <v>489</v>
      </c>
      <c r="S5197" s="150"/>
    </row>
    <row r="5198" spans="1:19" hidden="1">
      <c r="A5198" s="149" t="s">
        <v>7485</v>
      </c>
      <c r="B5198" s="150" t="str">
        <f>IFERROR(VLOOKUP(Proc[[#This Row],[App]],Table2[],3,0),"open")</f>
        <v>open</v>
      </c>
      <c r="C5198" s="149" t="s">
        <v>370</v>
      </c>
      <c r="D5198" t="s">
        <v>7492</v>
      </c>
      <c r="E5198" t="s">
        <v>7392</v>
      </c>
      <c r="F5198" s="150" t="str">
        <f>VLOOKUP(Proc[[#This Row],[Obj]],Sheet5!A:B,2,0)</f>
        <v>L000013174</v>
      </c>
      <c r="G5198" s="149" t="s">
        <v>400</v>
      </c>
      <c r="H5198" s="150" t="str">
        <f>IF(Proc[[#This Row],[type]]="LFF (MDG-F)",MID(Proc[[#This Row],[Obj]],13,10),"")</f>
        <v/>
      </c>
      <c r="J5198" s="150" t="b">
        <f>Proc[[#This Row],[Requested]]=Proc[[#This Row],[CurrentParent]]</f>
        <v>0</v>
      </c>
      <c r="K5198" s="150" t="str">
        <f>IF(Proc[[#This Row],[Author]]="Marcela Urrego",VLOOKUP(LEFT(Proc[[#This Row],[Requested]],1),Table3[#All],2,0),VLOOKUP(Proc[[#This Row],[Author]],Table4[],2,0))</f>
        <v>LS</v>
      </c>
      <c r="L5198" s="150" t="s">
        <v>6435</v>
      </c>
      <c r="M5198" s="178">
        <v>46024</v>
      </c>
      <c r="N5198" s="178"/>
      <c r="O5198" s="178"/>
      <c r="P5198" s="178" t="str">
        <f ca="1">IF(Proc[[#This Row],[DaysAgeing]]&gt;5,"yep","on track")</f>
        <v>on track</v>
      </c>
      <c r="Q5198" s="3">
        <f ca="1">IF(Proc[[#This Row],[DateClosed]]="",ABS(NETWORKDAYS(Proc[[#This Row],[DateOpened]],TODAY()))-1,ABS(NETWORKDAYS(Proc[[#This Row],[DateOpened]],Proc[[#This Row],[DateClosed]]))-1)</f>
        <v>0</v>
      </c>
      <c r="R5198" s="178" t="s">
        <v>489</v>
      </c>
      <c r="S5198" s="150"/>
    </row>
    <row r="5199" spans="1:19" hidden="1">
      <c r="A5199" s="149" t="s">
        <v>7485</v>
      </c>
      <c r="B5199" s="150" t="str">
        <f>IFERROR(VLOOKUP(Proc[[#This Row],[App]],Table2[],3,0),"open")</f>
        <v>open</v>
      </c>
      <c r="C5199" s="149" t="s">
        <v>370</v>
      </c>
      <c r="D5199" t="s">
        <v>7493</v>
      </c>
      <c r="E5199" t="s">
        <v>7392</v>
      </c>
      <c r="F5199" s="150" t="str">
        <f>VLOOKUP(Proc[[#This Row],[Obj]],Sheet5!A:B,2,0)</f>
        <v>L000007094</v>
      </c>
      <c r="G5199" s="149" t="s">
        <v>400</v>
      </c>
      <c r="H5199" s="150" t="str">
        <f>IF(Proc[[#This Row],[type]]="LFF (MDG-F)",MID(Proc[[#This Row],[Obj]],13,10),"")</f>
        <v/>
      </c>
      <c r="J5199" s="150" t="b">
        <f>Proc[[#This Row],[Requested]]=Proc[[#This Row],[CurrentParent]]</f>
        <v>0</v>
      </c>
      <c r="K5199" s="150" t="str">
        <f>IF(Proc[[#This Row],[Author]]="Marcela Urrego",VLOOKUP(LEFT(Proc[[#This Row],[Requested]],1),Table3[#All],2,0),VLOOKUP(Proc[[#This Row],[Author]],Table4[],2,0))</f>
        <v>LS</v>
      </c>
      <c r="L5199" s="150" t="s">
        <v>6435</v>
      </c>
      <c r="M5199" s="178">
        <v>46024</v>
      </c>
      <c r="N5199" s="178"/>
      <c r="O5199" s="178"/>
      <c r="P5199" s="178" t="str">
        <f ca="1">IF(Proc[[#This Row],[DaysAgeing]]&gt;5,"yep","on track")</f>
        <v>on track</v>
      </c>
      <c r="Q5199" s="3">
        <f ca="1">IF(Proc[[#This Row],[DateClosed]]="",ABS(NETWORKDAYS(Proc[[#This Row],[DateOpened]],TODAY()))-1,ABS(NETWORKDAYS(Proc[[#This Row],[DateOpened]],Proc[[#This Row],[DateClosed]]))-1)</f>
        <v>0</v>
      </c>
      <c r="R5199" s="178" t="s">
        <v>489</v>
      </c>
      <c r="S5199" s="150"/>
    </row>
    <row r="5200" spans="1:19" hidden="1">
      <c r="A5200" s="149" t="s">
        <v>7485</v>
      </c>
      <c r="B5200" s="150" t="str">
        <f>IFERROR(VLOOKUP(Proc[[#This Row],[App]],Table2[],3,0),"open")</f>
        <v>open</v>
      </c>
      <c r="C5200" s="149" t="s">
        <v>370</v>
      </c>
      <c r="D5200" t="s">
        <v>7494</v>
      </c>
      <c r="E5200" t="s">
        <v>7392</v>
      </c>
      <c r="F5200" s="150" t="str">
        <f>VLOOKUP(Proc[[#This Row],[Obj]],Sheet5!A:B,2,0)</f>
        <v>L000007095</v>
      </c>
      <c r="G5200" s="149" t="s">
        <v>400</v>
      </c>
      <c r="H5200" s="150" t="str">
        <f>IF(Proc[[#This Row],[type]]="LFF (MDG-F)",MID(Proc[[#This Row],[Obj]],13,10),"")</f>
        <v/>
      </c>
      <c r="J5200" s="150" t="b">
        <f>Proc[[#This Row],[Requested]]=Proc[[#This Row],[CurrentParent]]</f>
        <v>0</v>
      </c>
      <c r="K5200" s="150" t="str">
        <f>IF(Proc[[#This Row],[Author]]="Marcela Urrego",VLOOKUP(LEFT(Proc[[#This Row],[Requested]],1),Table3[#All],2,0),VLOOKUP(Proc[[#This Row],[Author]],Table4[],2,0))</f>
        <v>LS</v>
      </c>
      <c r="L5200" s="150" t="s">
        <v>6435</v>
      </c>
      <c r="M5200" s="178">
        <v>46024</v>
      </c>
      <c r="N5200" s="178"/>
      <c r="O5200" s="178"/>
      <c r="P5200" s="178" t="str">
        <f ca="1">IF(Proc[[#This Row],[DaysAgeing]]&gt;5,"yep","on track")</f>
        <v>on track</v>
      </c>
      <c r="Q5200" s="3">
        <f ca="1">IF(Proc[[#This Row],[DateClosed]]="",ABS(NETWORKDAYS(Proc[[#This Row],[DateOpened]],TODAY()))-1,ABS(NETWORKDAYS(Proc[[#This Row],[DateOpened]],Proc[[#This Row],[DateClosed]]))-1)</f>
        <v>0</v>
      </c>
      <c r="R5200" s="178" t="s">
        <v>489</v>
      </c>
      <c r="S5200" s="150"/>
    </row>
    <row r="5201" spans="1:19" hidden="1">
      <c r="A5201" s="149" t="s">
        <v>7485</v>
      </c>
      <c r="B5201" s="150" t="str">
        <f>IFERROR(VLOOKUP(Proc[[#This Row],[App]],Table2[],3,0),"open")</f>
        <v>open</v>
      </c>
      <c r="C5201" s="149" t="s">
        <v>369</v>
      </c>
      <c r="D5201" t="s">
        <v>7495</v>
      </c>
      <c r="E5201" t="s">
        <v>2592</v>
      </c>
      <c r="F5201" s="150" t="str">
        <f>VLOOKUP(Proc[[#This Row],[Obj]],Sheet5!A:B,2,0)</f>
        <v>L000006425</v>
      </c>
      <c r="G5201" s="149" t="s">
        <v>400</v>
      </c>
      <c r="H5201" s="150" t="str">
        <f>IF(Proc[[#This Row],[type]]="LFF (MDG-F)",MID(Proc[[#This Row],[Obj]],13,10),"")</f>
        <v/>
      </c>
      <c r="J5201" s="150" t="b">
        <f>Proc[[#This Row],[Requested]]=Proc[[#This Row],[CurrentParent]]</f>
        <v>1</v>
      </c>
      <c r="K5201" s="150" t="str">
        <f>IF(Proc[[#This Row],[Author]]="Marcela Urrego",VLOOKUP(LEFT(Proc[[#This Row],[Requested]],1),Table3[#All],2,0),VLOOKUP(Proc[[#This Row],[Author]],Table4[],2,0))</f>
        <v>LS</v>
      </c>
      <c r="L5201" s="150" t="s">
        <v>6435</v>
      </c>
      <c r="M5201" s="178">
        <v>46024</v>
      </c>
      <c r="N5201" s="178"/>
      <c r="O5201" s="178"/>
      <c r="P5201" s="178" t="str">
        <f ca="1">IF(Proc[[#This Row],[DaysAgeing]]&gt;5,"yep","on track")</f>
        <v>on track</v>
      </c>
      <c r="Q5201" s="3">
        <f ca="1">IF(Proc[[#This Row],[DateClosed]]="",ABS(NETWORKDAYS(Proc[[#This Row],[DateOpened]],TODAY()))-1,ABS(NETWORKDAYS(Proc[[#This Row],[DateOpened]],Proc[[#This Row],[DateClosed]]))-1)</f>
        <v>0</v>
      </c>
      <c r="R5201" s="178" t="s">
        <v>489</v>
      </c>
      <c r="S5201" s="150"/>
    </row>
    <row r="5202" spans="1:19" hidden="1">
      <c r="A5202" s="149" t="s">
        <v>7485</v>
      </c>
      <c r="B5202" s="150" t="str">
        <f>IFERROR(VLOOKUP(Proc[[#This Row],[App]],Table2[],3,0),"open")</f>
        <v>open</v>
      </c>
      <c r="C5202" s="149" t="s">
        <v>369</v>
      </c>
      <c r="D5202" t="s">
        <v>7496</v>
      </c>
      <c r="E5202" t="s">
        <v>2592</v>
      </c>
      <c r="F5202" s="150" t="str">
        <f>VLOOKUP(Proc[[#This Row],[Obj]],Sheet5!A:B,2,0)</f>
        <v>L000006425</v>
      </c>
      <c r="G5202" s="149" t="s">
        <v>400</v>
      </c>
      <c r="H5202" s="150" t="str">
        <f>IF(Proc[[#This Row],[type]]="LFF (MDG-F)",MID(Proc[[#This Row],[Obj]],13,10),"")</f>
        <v/>
      </c>
      <c r="J5202" s="150" t="b">
        <f>Proc[[#This Row],[Requested]]=Proc[[#This Row],[CurrentParent]]</f>
        <v>1</v>
      </c>
      <c r="K5202" s="150" t="str">
        <f>IF(Proc[[#This Row],[Author]]="Marcela Urrego",VLOOKUP(LEFT(Proc[[#This Row],[Requested]],1),Table3[#All],2,0),VLOOKUP(Proc[[#This Row],[Author]],Table4[],2,0))</f>
        <v>LS</v>
      </c>
      <c r="L5202" s="150" t="s">
        <v>6435</v>
      </c>
      <c r="M5202" s="178">
        <v>46024</v>
      </c>
      <c r="N5202" s="178"/>
      <c r="O5202" s="178"/>
      <c r="P5202" s="178" t="str">
        <f ca="1">IF(Proc[[#This Row],[DaysAgeing]]&gt;5,"yep","on track")</f>
        <v>on track</v>
      </c>
      <c r="Q5202" s="3">
        <f ca="1">IF(Proc[[#This Row],[DateClosed]]="",ABS(NETWORKDAYS(Proc[[#This Row],[DateOpened]],TODAY()))-1,ABS(NETWORKDAYS(Proc[[#This Row],[DateOpened]],Proc[[#This Row],[DateClosed]]))-1)</f>
        <v>0</v>
      </c>
      <c r="R5202" s="178" t="s">
        <v>489</v>
      </c>
      <c r="S5202" s="150"/>
    </row>
    <row r="5203" spans="1:19" hidden="1">
      <c r="A5203" s="149" t="s">
        <v>7485</v>
      </c>
      <c r="B5203" s="150" t="str">
        <f>IFERROR(VLOOKUP(Proc[[#This Row],[App]],Table2[],3,0),"open")</f>
        <v>open</v>
      </c>
      <c r="C5203" s="149" t="s">
        <v>369</v>
      </c>
      <c r="D5203" t="s">
        <v>7497</v>
      </c>
      <c r="E5203" t="s">
        <v>2592</v>
      </c>
      <c r="F5203" s="150" t="str">
        <f>VLOOKUP(Proc[[#This Row],[Obj]],Sheet5!A:B,2,0)</f>
        <v>L000006425</v>
      </c>
      <c r="G5203" s="149" t="s">
        <v>400</v>
      </c>
      <c r="H5203" s="150" t="str">
        <f>IF(Proc[[#This Row],[type]]="LFF (MDG-F)",MID(Proc[[#This Row],[Obj]],13,10),"")</f>
        <v/>
      </c>
      <c r="J5203" s="150" t="b">
        <f>Proc[[#This Row],[Requested]]=Proc[[#This Row],[CurrentParent]]</f>
        <v>1</v>
      </c>
      <c r="K5203" s="150" t="str">
        <f>IF(Proc[[#This Row],[Author]]="Marcela Urrego",VLOOKUP(LEFT(Proc[[#This Row],[Requested]],1),Table3[#All],2,0),VLOOKUP(Proc[[#This Row],[Author]],Table4[],2,0))</f>
        <v>LS</v>
      </c>
      <c r="L5203" s="150" t="s">
        <v>6435</v>
      </c>
      <c r="M5203" s="178">
        <v>46024</v>
      </c>
      <c r="N5203" s="178"/>
      <c r="O5203" s="178"/>
      <c r="P5203" s="178" t="str">
        <f ca="1">IF(Proc[[#This Row],[DaysAgeing]]&gt;5,"yep","on track")</f>
        <v>on track</v>
      </c>
      <c r="Q5203" s="3">
        <f ca="1">IF(Proc[[#This Row],[DateClosed]]="",ABS(NETWORKDAYS(Proc[[#This Row],[DateOpened]],TODAY()))-1,ABS(NETWORKDAYS(Proc[[#This Row],[DateOpened]],Proc[[#This Row],[DateClosed]]))-1)</f>
        <v>0</v>
      </c>
      <c r="R5203" s="178" t="s">
        <v>489</v>
      </c>
      <c r="S5203" s="150"/>
    </row>
    <row r="5204" spans="1:19" hidden="1">
      <c r="A5204" s="149" t="s">
        <v>7485</v>
      </c>
      <c r="B5204" s="150" t="str">
        <f>IFERROR(VLOOKUP(Proc[[#This Row],[App]],Table2[],3,0),"open")</f>
        <v>open</v>
      </c>
      <c r="C5204" s="149" t="s">
        <v>369</v>
      </c>
      <c r="D5204" t="s">
        <v>7498</v>
      </c>
      <c r="E5204" t="s">
        <v>2592</v>
      </c>
      <c r="F5204" s="150" t="str">
        <f>VLOOKUP(Proc[[#This Row],[Obj]],Sheet5!A:B,2,0)</f>
        <v>L000006425</v>
      </c>
      <c r="G5204" s="149" t="s">
        <v>400</v>
      </c>
      <c r="H5204" s="150" t="str">
        <f>IF(Proc[[#This Row],[type]]="LFF (MDG-F)",MID(Proc[[#This Row],[Obj]],13,10),"")</f>
        <v/>
      </c>
      <c r="J5204" s="150" t="b">
        <f>Proc[[#This Row],[Requested]]=Proc[[#This Row],[CurrentParent]]</f>
        <v>1</v>
      </c>
      <c r="K5204" s="150" t="str">
        <f>IF(Proc[[#This Row],[Author]]="Marcela Urrego",VLOOKUP(LEFT(Proc[[#This Row],[Requested]],1),Table3[#All],2,0),VLOOKUP(Proc[[#This Row],[Author]],Table4[],2,0))</f>
        <v>LS</v>
      </c>
      <c r="L5204" s="150" t="s">
        <v>6435</v>
      </c>
      <c r="M5204" s="178">
        <v>46024</v>
      </c>
      <c r="N5204" s="178"/>
      <c r="O5204" s="178"/>
      <c r="P5204" s="178" t="str">
        <f ca="1">IF(Proc[[#This Row],[DaysAgeing]]&gt;5,"yep","on track")</f>
        <v>on track</v>
      </c>
      <c r="Q5204" s="3">
        <f ca="1">IF(Proc[[#This Row],[DateClosed]]="",ABS(NETWORKDAYS(Proc[[#This Row],[DateOpened]],TODAY()))-1,ABS(NETWORKDAYS(Proc[[#This Row],[DateOpened]],Proc[[#This Row],[DateClosed]]))-1)</f>
        <v>0</v>
      </c>
      <c r="R5204" s="178" t="s">
        <v>489</v>
      </c>
      <c r="S5204" s="150"/>
    </row>
    <row r="5205" spans="1:19" hidden="1">
      <c r="A5205" s="149" t="s">
        <v>7485</v>
      </c>
      <c r="B5205" s="150" t="str">
        <f>IFERROR(VLOOKUP(Proc[[#This Row],[App]],Table2[],3,0),"open")</f>
        <v>open</v>
      </c>
      <c r="C5205" s="149" t="s">
        <v>369</v>
      </c>
      <c r="D5205" t="s">
        <v>7499</v>
      </c>
      <c r="E5205" t="s">
        <v>2592</v>
      </c>
      <c r="F5205" s="150" t="str">
        <f>VLOOKUP(Proc[[#This Row],[Obj]],Sheet5!A:B,2,0)</f>
        <v>L000006425</v>
      </c>
      <c r="G5205" s="149" t="s">
        <v>400</v>
      </c>
      <c r="H5205" s="150" t="str">
        <f>IF(Proc[[#This Row],[type]]="LFF (MDG-F)",MID(Proc[[#This Row],[Obj]],13,10),"")</f>
        <v/>
      </c>
      <c r="J5205" s="150" t="b">
        <f>Proc[[#This Row],[Requested]]=Proc[[#This Row],[CurrentParent]]</f>
        <v>1</v>
      </c>
      <c r="K5205" s="150" t="str">
        <f>IF(Proc[[#This Row],[Author]]="Marcela Urrego",VLOOKUP(LEFT(Proc[[#This Row],[Requested]],1),Table3[#All],2,0),VLOOKUP(Proc[[#This Row],[Author]],Table4[],2,0))</f>
        <v>LS</v>
      </c>
      <c r="L5205" s="150" t="s">
        <v>6435</v>
      </c>
      <c r="M5205" s="178">
        <v>46024</v>
      </c>
      <c r="N5205" s="178"/>
      <c r="O5205" s="178"/>
      <c r="P5205" s="178" t="str">
        <f ca="1">IF(Proc[[#This Row],[DaysAgeing]]&gt;5,"yep","on track")</f>
        <v>on track</v>
      </c>
      <c r="Q5205" s="3">
        <f ca="1">IF(Proc[[#This Row],[DateClosed]]="",ABS(NETWORKDAYS(Proc[[#This Row],[DateOpened]],TODAY()))-1,ABS(NETWORKDAYS(Proc[[#This Row],[DateOpened]],Proc[[#This Row],[DateClosed]]))-1)</f>
        <v>0</v>
      </c>
      <c r="R5205" s="178" t="s">
        <v>489</v>
      </c>
      <c r="S5205" s="150"/>
    </row>
    <row r="5206" spans="1:19" hidden="1">
      <c r="A5206" s="149" t="s">
        <v>7485</v>
      </c>
      <c r="B5206" s="150" t="str">
        <f>IFERROR(VLOOKUP(Proc[[#This Row],[App]],Table2[],3,0),"open")</f>
        <v>open</v>
      </c>
      <c r="C5206" s="149" t="s">
        <v>369</v>
      </c>
      <c r="D5206" t="s">
        <v>7500</v>
      </c>
      <c r="E5206" t="s">
        <v>2592</v>
      </c>
      <c r="F5206" s="150" t="str">
        <f>VLOOKUP(Proc[[#This Row],[Obj]],Sheet5!A:B,2,0)</f>
        <v>L000006425</v>
      </c>
      <c r="G5206" s="149" t="s">
        <v>400</v>
      </c>
      <c r="H5206" s="150" t="str">
        <f>IF(Proc[[#This Row],[type]]="LFF (MDG-F)",MID(Proc[[#This Row],[Obj]],13,10),"")</f>
        <v/>
      </c>
      <c r="J5206" s="150" t="b">
        <f>Proc[[#This Row],[Requested]]=Proc[[#This Row],[CurrentParent]]</f>
        <v>1</v>
      </c>
      <c r="K5206" s="150" t="str">
        <f>IF(Proc[[#This Row],[Author]]="Marcela Urrego",VLOOKUP(LEFT(Proc[[#This Row],[Requested]],1),Table3[#All],2,0),VLOOKUP(Proc[[#This Row],[Author]],Table4[],2,0))</f>
        <v>LS</v>
      </c>
      <c r="L5206" s="150" t="s">
        <v>6435</v>
      </c>
      <c r="M5206" s="178">
        <v>46024</v>
      </c>
      <c r="N5206" s="178"/>
      <c r="O5206" s="178"/>
      <c r="P5206" s="178" t="str">
        <f ca="1">IF(Proc[[#This Row],[DaysAgeing]]&gt;5,"yep","on track")</f>
        <v>on track</v>
      </c>
      <c r="Q5206" s="3">
        <f ca="1">IF(Proc[[#This Row],[DateClosed]]="",ABS(NETWORKDAYS(Proc[[#This Row],[DateOpened]],TODAY()))-1,ABS(NETWORKDAYS(Proc[[#This Row],[DateOpened]],Proc[[#This Row],[DateClosed]]))-1)</f>
        <v>0</v>
      </c>
      <c r="R5206" s="178" t="s">
        <v>489</v>
      </c>
      <c r="S5206" s="150"/>
    </row>
    <row r="5207" spans="1:19" hidden="1">
      <c r="A5207" s="149" t="s">
        <v>7485</v>
      </c>
      <c r="B5207" s="150" t="str">
        <f>IFERROR(VLOOKUP(Proc[[#This Row],[App]],Table2[],3,0),"open")</f>
        <v>open</v>
      </c>
      <c r="C5207" s="149" t="s">
        <v>369</v>
      </c>
      <c r="D5207" t="s">
        <v>7501</v>
      </c>
      <c r="E5207" t="s">
        <v>2592</v>
      </c>
      <c r="F5207" s="150" t="str">
        <f>VLOOKUP(Proc[[#This Row],[Obj]],Sheet5!A:B,2,0)</f>
        <v>L000006425</v>
      </c>
      <c r="G5207" s="149" t="s">
        <v>400</v>
      </c>
      <c r="H5207" s="150" t="str">
        <f>IF(Proc[[#This Row],[type]]="LFF (MDG-F)",MID(Proc[[#This Row],[Obj]],13,10),"")</f>
        <v/>
      </c>
      <c r="J5207" s="150" t="b">
        <f>Proc[[#This Row],[Requested]]=Proc[[#This Row],[CurrentParent]]</f>
        <v>1</v>
      </c>
      <c r="K5207" s="150" t="str">
        <f>IF(Proc[[#This Row],[Author]]="Marcela Urrego",VLOOKUP(LEFT(Proc[[#This Row],[Requested]],1),Table3[#All],2,0),VLOOKUP(Proc[[#This Row],[Author]],Table4[],2,0))</f>
        <v>LS</v>
      </c>
      <c r="L5207" s="150" t="s">
        <v>6435</v>
      </c>
      <c r="M5207" s="178">
        <v>46024</v>
      </c>
      <c r="N5207" s="178"/>
      <c r="O5207" s="178"/>
      <c r="P5207" s="178" t="str">
        <f ca="1">IF(Proc[[#This Row],[DaysAgeing]]&gt;5,"yep","on track")</f>
        <v>on track</v>
      </c>
      <c r="Q5207" s="3">
        <f ca="1">IF(Proc[[#This Row],[DateClosed]]="",ABS(NETWORKDAYS(Proc[[#This Row],[DateOpened]],TODAY()))-1,ABS(NETWORKDAYS(Proc[[#This Row],[DateOpened]],Proc[[#This Row],[DateClosed]]))-1)</f>
        <v>0</v>
      </c>
      <c r="R5207" s="178" t="s">
        <v>489</v>
      </c>
      <c r="S5207" s="150"/>
    </row>
    <row r="5208" spans="1:19" hidden="1">
      <c r="A5208" s="149" t="s">
        <v>7485</v>
      </c>
      <c r="B5208" s="150" t="str">
        <f>IFERROR(VLOOKUP(Proc[[#This Row],[App]],Table2[],3,0),"open")</f>
        <v>open</v>
      </c>
      <c r="C5208" s="149" t="s">
        <v>369</v>
      </c>
      <c r="D5208" t="s">
        <v>7502</v>
      </c>
      <c r="E5208" t="s">
        <v>2592</v>
      </c>
      <c r="F5208" s="150" t="str">
        <f>VLOOKUP(Proc[[#This Row],[Obj]],Sheet5!A:B,2,0)</f>
        <v>L000006425</v>
      </c>
      <c r="G5208" s="149" t="s">
        <v>400</v>
      </c>
      <c r="H5208" s="150" t="str">
        <f>IF(Proc[[#This Row],[type]]="LFF (MDG-F)",MID(Proc[[#This Row],[Obj]],13,10),"")</f>
        <v/>
      </c>
      <c r="J5208" s="150" t="b">
        <f>Proc[[#This Row],[Requested]]=Proc[[#This Row],[CurrentParent]]</f>
        <v>1</v>
      </c>
      <c r="K5208" s="150" t="str">
        <f>IF(Proc[[#This Row],[Author]]="Marcela Urrego",VLOOKUP(LEFT(Proc[[#This Row],[Requested]],1),Table3[#All],2,0),VLOOKUP(Proc[[#This Row],[Author]],Table4[],2,0))</f>
        <v>LS</v>
      </c>
      <c r="L5208" s="150" t="s">
        <v>6435</v>
      </c>
      <c r="M5208" s="178">
        <v>46024</v>
      </c>
      <c r="N5208" s="178"/>
      <c r="O5208" s="178"/>
      <c r="P5208" s="178" t="str">
        <f ca="1">IF(Proc[[#This Row],[DaysAgeing]]&gt;5,"yep","on track")</f>
        <v>on track</v>
      </c>
      <c r="Q5208" s="3">
        <f ca="1">IF(Proc[[#This Row],[DateClosed]]="",ABS(NETWORKDAYS(Proc[[#This Row],[DateOpened]],TODAY()))-1,ABS(NETWORKDAYS(Proc[[#This Row],[DateOpened]],Proc[[#This Row],[DateClosed]]))-1)</f>
        <v>0</v>
      </c>
      <c r="R5208" s="178" t="s">
        <v>489</v>
      </c>
      <c r="S5208" s="150"/>
    </row>
    <row r="5209" spans="1:19" hidden="1">
      <c r="A5209" s="149" t="s">
        <v>7485</v>
      </c>
      <c r="B5209" s="150" t="str">
        <f>IFERROR(VLOOKUP(Proc[[#This Row],[App]],Table2[],3,0),"open")</f>
        <v>open</v>
      </c>
      <c r="C5209" s="149" t="s">
        <v>369</v>
      </c>
      <c r="D5209" t="s">
        <v>7503</v>
      </c>
      <c r="E5209" t="s">
        <v>2592</v>
      </c>
      <c r="F5209" s="150" t="str">
        <f>VLOOKUP(Proc[[#This Row],[Obj]],Sheet5!A:B,2,0)</f>
        <v>L000006425</v>
      </c>
      <c r="G5209" s="149" t="s">
        <v>400</v>
      </c>
      <c r="H5209" s="150" t="str">
        <f>IF(Proc[[#This Row],[type]]="LFF (MDG-F)",MID(Proc[[#This Row],[Obj]],13,10),"")</f>
        <v/>
      </c>
      <c r="J5209" s="150" t="b">
        <f>Proc[[#This Row],[Requested]]=Proc[[#This Row],[CurrentParent]]</f>
        <v>1</v>
      </c>
      <c r="K5209" s="150" t="str">
        <f>IF(Proc[[#This Row],[Author]]="Marcela Urrego",VLOOKUP(LEFT(Proc[[#This Row],[Requested]],1),Table3[#All],2,0),VLOOKUP(Proc[[#This Row],[Author]],Table4[],2,0))</f>
        <v>LS</v>
      </c>
      <c r="L5209" s="150" t="s">
        <v>6435</v>
      </c>
      <c r="M5209" s="178">
        <v>46024</v>
      </c>
      <c r="N5209" s="178"/>
      <c r="O5209" s="178"/>
      <c r="P5209" s="178" t="str">
        <f ca="1">IF(Proc[[#This Row],[DaysAgeing]]&gt;5,"yep","on track")</f>
        <v>on track</v>
      </c>
      <c r="Q5209" s="3">
        <f ca="1">IF(Proc[[#This Row],[DateClosed]]="",ABS(NETWORKDAYS(Proc[[#This Row],[DateOpened]],TODAY()))-1,ABS(NETWORKDAYS(Proc[[#This Row],[DateOpened]],Proc[[#This Row],[DateClosed]]))-1)</f>
        <v>0</v>
      </c>
      <c r="R5209" s="178" t="s">
        <v>489</v>
      </c>
      <c r="S5209" s="150"/>
    </row>
    <row r="5210" spans="1:19" hidden="1">
      <c r="A5210" s="149" t="s">
        <v>7485</v>
      </c>
      <c r="B5210" s="150" t="str">
        <f>IFERROR(VLOOKUP(Proc[[#This Row],[App]],Table2[],3,0),"open")</f>
        <v>open</v>
      </c>
      <c r="C5210" s="149" t="s">
        <v>369</v>
      </c>
      <c r="D5210" t="s">
        <v>7504</v>
      </c>
      <c r="E5210" t="s">
        <v>2592</v>
      </c>
      <c r="F5210" s="150" t="str">
        <f>VLOOKUP(Proc[[#This Row],[Obj]],Sheet5!A:B,2,0)</f>
        <v>L000006425</v>
      </c>
      <c r="G5210" s="149" t="s">
        <v>400</v>
      </c>
      <c r="H5210" s="150" t="str">
        <f>IF(Proc[[#This Row],[type]]="LFF (MDG-F)",MID(Proc[[#This Row],[Obj]],13,10),"")</f>
        <v/>
      </c>
      <c r="J5210" s="150" t="b">
        <f>Proc[[#This Row],[Requested]]=Proc[[#This Row],[CurrentParent]]</f>
        <v>1</v>
      </c>
      <c r="K5210" s="150" t="str">
        <f>IF(Proc[[#This Row],[Author]]="Marcela Urrego",VLOOKUP(LEFT(Proc[[#This Row],[Requested]],1),Table3[#All],2,0),VLOOKUP(Proc[[#This Row],[Author]],Table4[],2,0))</f>
        <v>LS</v>
      </c>
      <c r="L5210" s="150" t="s">
        <v>6435</v>
      </c>
      <c r="M5210" s="178">
        <v>46024</v>
      </c>
      <c r="N5210" s="178"/>
      <c r="O5210" s="178"/>
      <c r="P5210" s="178" t="str">
        <f ca="1">IF(Proc[[#This Row],[DaysAgeing]]&gt;5,"yep","on track")</f>
        <v>on track</v>
      </c>
      <c r="Q5210" s="3">
        <f ca="1">IF(Proc[[#This Row],[DateClosed]]="",ABS(NETWORKDAYS(Proc[[#This Row],[DateOpened]],TODAY()))-1,ABS(NETWORKDAYS(Proc[[#This Row],[DateOpened]],Proc[[#This Row],[DateClosed]]))-1)</f>
        <v>0</v>
      </c>
      <c r="R5210" s="178" t="s">
        <v>489</v>
      </c>
      <c r="S5210" s="150"/>
    </row>
    <row r="5211" spans="1:19" hidden="1">
      <c r="A5211" s="149" t="s">
        <v>7485</v>
      </c>
      <c r="B5211" s="150" t="str">
        <f>IFERROR(VLOOKUP(Proc[[#This Row],[App]],Table2[],3,0),"open")</f>
        <v>open</v>
      </c>
      <c r="C5211" s="149" t="s">
        <v>369</v>
      </c>
      <c r="D5211" t="s">
        <v>7505</v>
      </c>
      <c r="E5211" t="s">
        <v>2592</v>
      </c>
      <c r="F5211" s="150" t="str">
        <f>VLOOKUP(Proc[[#This Row],[Obj]],Sheet5!A:B,2,0)</f>
        <v>L000006425</v>
      </c>
      <c r="G5211" s="149" t="s">
        <v>400</v>
      </c>
      <c r="H5211" s="150" t="str">
        <f>IF(Proc[[#This Row],[type]]="LFF (MDG-F)",MID(Proc[[#This Row],[Obj]],13,10),"")</f>
        <v/>
      </c>
      <c r="J5211" s="150" t="b">
        <f>Proc[[#This Row],[Requested]]=Proc[[#This Row],[CurrentParent]]</f>
        <v>1</v>
      </c>
      <c r="K5211" s="150" t="str">
        <f>IF(Proc[[#This Row],[Author]]="Marcela Urrego",VLOOKUP(LEFT(Proc[[#This Row],[Requested]],1),Table3[#All],2,0),VLOOKUP(Proc[[#This Row],[Author]],Table4[],2,0))</f>
        <v>LS</v>
      </c>
      <c r="L5211" s="150" t="s">
        <v>6435</v>
      </c>
      <c r="M5211" s="178">
        <v>46024</v>
      </c>
      <c r="N5211" s="178"/>
      <c r="O5211" s="178"/>
      <c r="P5211" s="178" t="str">
        <f ca="1">IF(Proc[[#This Row],[DaysAgeing]]&gt;5,"yep","on track")</f>
        <v>on track</v>
      </c>
      <c r="Q5211" s="3">
        <f ca="1">IF(Proc[[#This Row],[DateClosed]]="",ABS(NETWORKDAYS(Proc[[#This Row],[DateOpened]],TODAY()))-1,ABS(NETWORKDAYS(Proc[[#This Row],[DateOpened]],Proc[[#This Row],[DateClosed]]))-1)</f>
        <v>0</v>
      </c>
      <c r="R5211" s="178" t="s">
        <v>489</v>
      </c>
      <c r="S5211" s="150"/>
    </row>
    <row r="5212" spans="1:19" hidden="1">
      <c r="A5212" s="149" t="s">
        <v>7485</v>
      </c>
      <c r="B5212" s="150" t="str">
        <f>IFERROR(VLOOKUP(Proc[[#This Row],[App]],Table2[],3,0),"open")</f>
        <v>open</v>
      </c>
      <c r="C5212" s="149" t="s">
        <v>369</v>
      </c>
      <c r="D5212" t="s">
        <v>7506</v>
      </c>
      <c r="E5212" t="s">
        <v>2592</v>
      </c>
      <c r="F5212" s="150" t="str">
        <f>VLOOKUP(Proc[[#This Row],[Obj]],Sheet5!A:B,2,0)</f>
        <v>L000006425</v>
      </c>
      <c r="G5212" s="149" t="s">
        <v>400</v>
      </c>
      <c r="H5212" s="150" t="str">
        <f>IF(Proc[[#This Row],[type]]="LFF (MDG-F)",MID(Proc[[#This Row],[Obj]],13,10),"")</f>
        <v/>
      </c>
      <c r="J5212" s="150" t="b">
        <f>Proc[[#This Row],[Requested]]=Proc[[#This Row],[CurrentParent]]</f>
        <v>1</v>
      </c>
      <c r="K5212" s="150" t="str">
        <f>IF(Proc[[#This Row],[Author]]="Marcela Urrego",VLOOKUP(LEFT(Proc[[#This Row],[Requested]],1),Table3[#All],2,0),VLOOKUP(Proc[[#This Row],[Author]],Table4[],2,0))</f>
        <v>LS</v>
      </c>
      <c r="L5212" s="150" t="s">
        <v>6435</v>
      </c>
      <c r="M5212" s="178">
        <v>46024</v>
      </c>
      <c r="N5212" s="178"/>
      <c r="O5212" s="178"/>
      <c r="P5212" s="178" t="str">
        <f ca="1">IF(Proc[[#This Row],[DaysAgeing]]&gt;5,"yep","on track")</f>
        <v>on track</v>
      </c>
      <c r="Q5212" s="3">
        <f ca="1">IF(Proc[[#This Row],[DateClosed]]="",ABS(NETWORKDAYS(Proc[[#This Row],[DateOpened]],TODAY()))-1,ABS(NETWORKDAYS(Proc[[#This Row],[DateOpened]],Proc[[#This Row],[DateClosed]]))-1)</f>
        <v>0</v>
      </c>
      <c r="R5212" s="178" t="s">
        <v>489</v>
      </c>
      <c r="S5212" s="150"/>
    </row>
    <row r="5213" spans="1:19" hidden="1">
      <c r="A5213" s="149" t="s">
        <v>7485</v>
      </c>
      <c r="B5213" s="150" t="str">
        <f>IFERROR(VLOOKUP(Proc[[#This Row],[App]],Table2[],3,0),"open")</f>
        <v>open</v>
      </c>
      <c r="C5213" s="149" t="s">
        <v>369</v>
      </c>
      <c r="D5213" t="s">
        <v>3066</v>
      </c>
      <c r="E5213" t="s">
        <v>2592</v>
      </c>
      <c r="F5213" s="150" t="str">
        <f>VLOOKUP(Proc[[#This Row],[Obj]],Sheet5!A:B,2,0)</f>
        <v>L000006425</v>
      </c>
      <c r="G5213" s="149" t="s">
        <v>400</v>
      </c>
      <c r="H5213" s="150" t="str">
        <f>IF(Proc[[#This Row],[type]]="LFF (MDG-F)",MID(Proc[[#This Row],[Obj]],13,10),"")</f>
        <v/>
      </c>
      <c r="J5213" s="150" t="b">
        <f>Proc[[#This Row],[Requested]]=Proc[[#This Row],[CurrentParent]]</f>
        <v>1</v>
      </c>
      <c r="K5213" s="150" t="str">
        <f>IF(Proc[[#This Row],[Author]]="Marcela Urrego",VLOOKUP(LEFT(Proc[[#This Row],[Requested]],1),Table3[#All],2,0),VLOOKUP(Proc[[#This Row],[Author]],Table4[],2,0))</f>
        <v>LS</v>
      </c>
      <c r="L5213" s="150" t="s">
        <v>6435</v>
      </c>
      <c r="M5213" s="178">
        <v>46024</v>
      </c>
      <c r="N5213" s="178"/>
      <c r="O5213" s="178"/>
      <c r="P5213" s="178" t="str">
        <f ca="1">IF(Proc[[#This Row],[DaysAgeing]]&gt;5,"yep","on track")</f>
        <v>on track</v>
      </c>
      <c r="Q5213" s="3">
        <f ca="1">IF(Proc[[#This Row],[DateClosed]]="",ABS(NETWORKDAYS(Proc[[#This Row],[DateOpened]],TODAY()))-1,ABS(NETWORKDAYS(Proc[[#This Row],[DateOpened]],Proc[[#This Row],[DateClosed]]))-1)</f>
        <v>0</v>
      </c>
      <c r="R5213" s="178" t="s">
        <v>489</v>
      </c>
      <c r="S5213" s="150"/>
    </row>
    <row r="5214" spans="1:19" hidden="1">
      <c r="A5214" s="149" t="s">
        <v>7485</v>
      </c>
      <c r="B5214" s="150" t="str">
        <f>IFERROR(VLOOKUP(Proc[[#This Row],[App]],Table2[],3,0),"open")</f>
        <v>open</v>
      </c>
      <c r="C5214" s="149" t="s">
        <v>369</v>
      </c>
      <c r="D5214" t="s">
        <v>3067</v>
      </c>
      <c r="E5214" t="s">
        <v>2592</v>
      </c>
      <c r="F5214" s="150" t="str">
        <f>VLOOKUP(Proc[[#This Row],[Obj]],Sheet5!A:B,2,0)</f>
        <v>L000006425</v>
      </c>
      <c r="G5214" s="149" t="s">
        <v>400</v>
      </c>
      <c r="H5214" s="150" t="str">
        <f>IF(Proc[[#This Row],[type]]="LFF (MDG-F)",MID(Proc[[#This Row],[Obj]],13,10),"")</f>
        <v/>
      </c>
      <c r="J5214" s="150" t="b">
        <f>Proc[[#This Row],[Requested]]=Proc[[#This Row],[CurrentParent]]</f>
        <v>1</v>
      </c>
      <c r="K5214" s="150" t="str">
        <f>IF(Proc[[#This Row],[Author]]="Marcela Urrego",VLOOKUP(LEFT(Proc[[#This Row],[Requested]],1),Table3[#All],2,0),VLOOKUP(Proc[[#This Row],[Author]],Table4[],2,0))</f>
        <v>LS</v>
      </c>
      <c r="L5214" s="150" t="s">
        <v>6435</v>
      </c>
      <c r="M5214" s="178">
        <v>46024</v>
      </c>
      <c r="N5214" s="178"/>
      <c r="O5214" s="178"/>
      <c r="P5214" s="178" t="str">
        <f ca="1">IF(Proc[[#This Row],[DaysAgeing]]&gt;5,"yep","on track")</f>
        <v>on track</v>
      </c>
      <c r="Q5214" s="3">
        <f ca="1">IF(Proc[[#This Row],[DateClosed]]="",ABS(NETWORKDAYS(Proc[[#This Row],[DateOpened]],TODAY()))-1,ABS(NETWORKDAYS(Proc[[#This Row],[DateOpened]],Proc[[#This Row],[DateClosed]]))-1)</f>
        <v>0</v>
      </c>
      <c r="R5214" s="178" t="s">
        <v>489</v>
      </c>
      <c r="S5214" s="150"/>
    </row>
    <row r="5215" spans="1:19" hidden="1">
      <c r="A5215" s="149" t="s">
        <v>7485</v>
      </c>
      <c r="B5215" s="150" t="str">
        <f>IFERROR(VLOOKUP(Proc[[#This Row],[App]],Table2[],3,0),"open")</f>
        <v>open</v>
      </c>
      <c r="C5215" s="149" t="s">
        <v>369</v>
      </c>
      <c r="D5215" t="s">
        <v>3068</v>
      </c>
      <c r="E5215" t="s">
        <v>2592</v>
      </c>
      <c r="F5215" s="150" t="str">
        <f>VLOOKUP(Proc[[#This Row],[Obj]],Sheet5!A:B,2,0)</f>
        <v>L000006425</v>
      </c>
      <c r="G5215" s="149" t="s">
        <v>400</v>
      </c>
      <c r="H5215" s="150" t="str">
        <f>IF(Proc[[#This Row],[type]]="LFF (MDG-F)",MID(Proc[[#This Row],[Obj]],13,10),"")</f>
        <v/>
      </c>
      <c r="J5215" s="150" t="b">
        <f>Proc[[#This Row],[Requested]]=Proc[[#This Row],[CurrentParent]]</f>
        <v>1</v>
      </c>
      <c r="K5215" s="150" t="str">
        <f>IF(Proc[[#This Row],[Author]]="Marcela Urrego",VLOOKUP(LEFT(Proc[[#This Row],[Requested]],1),Table3[#All],2,0),VLOOKUP(Proc[[#This Row],[Author]],Table4[],2,0))</f>
        <v>LS</v>
      </c>
      <c r="L5215" s="150" t="s">
        <v>6435</v>
      </c>
      <c r="M5215" s="178">
        <v>46024</v>
      </c>
      <c r="N5215" s="178"/>
      <c r="O5215" s="178"/>
      <c r="P5215" s="178" t="str">
        <f ca="1">IF(Proc[[#This Row],[DaysAgeing]]&gt;5,"yep","on track")</f>
        <v>on track</v>
      </c>
      <c r="Q5215" s="3">
        <f ca="1">IF(Proc[[#This Row],[DateClosed]]="",ABS(NETWORKDAYS(Proc[[#This Row],[DateOpened]],TODAY()))-1,ABS(NETWORKDAYS(Proc[[#This Row],[DateOpened]],Proc[[#This Row],[DateClosed]]))-1)</f>
        <v>0</v>
      </c>
      <c r="R5215" s="178" t="s">
        <v>489</v>
      </c>
      <c r="S5215" s="150"/>
    </row>
    <row r="5216" spans="1:19" hidden="1">
      <c r="A5216" s="149" t="s">
        <v>7485</v>
      </c>
      <c r="B5216" s="150" t="str">
        <f>IFERROR(VLOOKUP(Proc[[#This Row],[App]],Table2[],3,0),"open")</f>
        <v>open</v>
      </c>
      <c r="C5216" s="149" t="s">
        <v>369</v>
      </c>
      <c r="D5216" t="s">
        <v>7507</v>
      </c>
      <c r="E5216" t="s">
        <v>2592</v>
      </c>
      <c r="F5216" s="150" t="str">
        <f>VLOOKUP(Proc[[#This Row],[Obj]],Sheet5!A:B,2,0)</f>
        <v>L000006425</v>
      </c>
      <c r="G5216" s="149" t="s">
        <v>400</v>
      </c>
      <c r="H5216" s="150" t="str">
        <f>IF(Proc[[#This Row],[type]]="LFF (MDG-F)",MID(Proc[[#This Row],[Obj]],13,10),"")</f>
        <v/>
      </c>
      <c r="J5216" s="150" t="b">
        <f>Proc[[#This Row],[Requested]]=Proc[[#This Row],[CurrentParent]]</f>
        <v>1</v>
      </c>
      <c r="K5216" s="150" t="str">
        <f>IF(Proc[[#This Row],[Author]]="Marcela Urrego",VLOOKUP(LEFT(Proc[[#This Row],[Requested]],1),Table3[#All],2,0),VLOOKUP(Proc[[#This Row],[Author]],Table4[],2,0))</f>
        <v>LS</v>
      </c>
      <c r="L5216" s="150" t="s">
        <v>6435</v>
      </c>
      <c r="M5216" s="178">
        <v>46024</v>
      </c>
      <c r="N5216" s="178"/>
      <c r="O5216" s="178"/>
      <c r="P5216" s="178" t="str">
        <f ca="1">IF(Proc[[#This Row],[DaysAgeing]]&gt;5,"yep","on track")</f>
        <v>on track</v>
      </c>
      <c r="Q5216" s="3">
        <f ca="1">IF(Proc[[#This Row],[DateClosed]]="",ABS(NETWORKDAYS(Proc[[#This Row],[DateOpened]],TODAY()))-1,ABS(NETWORKDAYS(Proc[[#This Row],[DateOpened]],Proc[[#This Row],[DateClosed]]))-1)</f>
        <v>0</v>
      </c>
      <c r="R5216" s="178" t="s">
        <v>489</v>
      </c>
      <c r="S5216" s="150"/>
    </row>
    <row r="5217" spans="1:19" hidden="1">
      <c r="A5217" s="149" t="s">
        <v>7485</v>
      </c>
      <c r="B5217" s="150" t="str">
        <f>IFERROR(VLOOKUP(Proc[[#This Row],[App]],Table2[],3,0),"open")</f>
        <v>open</v>
      </c>
      <c r="C5217" s="149" t="s">
        <v>369</v>
      </c>
      <c r="D5217" t="s">
        <v>7508</v>
      </c>
      <c r="E5217" t="s">
        <v>2463</v>
      </c>
      <c r="F5217" s="150" t="str">
        <f>VLOOKUP(Proc[[#This Row],[Obj]],Sheet5!A:B,2,0)</f>
        <v>L000006429</v>
      </c>
      <c r="G5217" s="149" t="s">
        <v>400</v>
      </c>
      <c r="H5217" s="150" t="str">
        <f>IF(Proc[[#This Row],[type]]="LFF (MDG-F)",MID(Proc[[#This Row],[Obj]],13,10),"")</f>
        <v/>
      </c>
      <c r="J5217" s="150" t="b">
        <f>Proc[[#This Row],[Requested]]=Proc[[#This Row],[CurrentParent]]</f>
        <v>1</v>
      </c>
      <c r="K5217" s="150" t="str">
        <f>IF(Proc[[#This Row],[Author]]="Marcela Urrego",VLOOKUP(LEFT(Proc[[#This Row],[Requested]],1),Table3[#All],2,0),VLOOKUP(Proc[[#This Row],[Author]],Table4[],2,0))</f>
        <v>LS</v>
      </c>
      <c r="L5217" s="150" t="s">
        <v>6435</v>
      </c>
      <c r="M5217" s="178">
        <v>46024</v>
      </c>
      <c r="N5217" s="178"/>
      <c r="O5217" s="178"/>
      <c r="P5217" s="178" t="str">
        <f ca="1">IF(Proc[[#This Row],[DaysAgeing]]&gt;5,"yep","on track")</f>
        <v>on track</v>
      </c>
      <c r="Q5217" s="3">
        <f ca="1">IF(Proc[[#This Row],[DateClosed]]="",ABS(NETWORKDAYS(Proc[[#This Row],[DateOpened]],TODAY()))-1,ABS(NETWORKDAYS(Proc[[#This Row],[DateOpened]],Proc[[#This Row],[DateClosed]]))-1)</f>
        <v>0</v>
      </c>
      <c r="R5217" s="178" t="s">
        <v>489</v>
      </c>
      <c r="S5217" s="150"/>
    </row>
    <row r="5218" spans="1:19" hidden="1">
      <c r="A5218" s="149" t="s">
        <v>7485</v>
      </c>
      <c r="B5218" s="150" t="str">
        <f>IFERROR(VLOOKUP(Proc[[#This Row],[App]],Table2[],3,0),"open")</f>
        <v>open</v>
      </c>
      <c r="C5218" s="149" t="s">
        <v>369</v>
      </c>
      <c r="D5218" t="s">
        <v>7509</v>
      </c>
      <c r="E5218" t="s">
        <v>2463</v>
      </c>
      <c r="F5218" s="150" t="str">
        <f>VLOOKUP(Proc[[#This Row],[Obj]],Sheet5!A:B,2,0)</f>
        <v>L000006429</v>
      </c>
      <c r="G5218" s="149" t="s">
        <v>400</v>
      </c>
      <c r="H5218" s="150" t="str">
        <f>IF(Proc[[#This Row],[type]]="LFF (MDG-F)",MID(Proc[[#This Row],[Obj]],13,10),"")</f>
        <v/>
      </c>
      <c r="J5218" s="150" t="b">
        <f>Proc[[#This Row],[Requested]]=Proc[[#This Row],[CurrentParent]]</f>
        <v>1</v>
      </c>
      <c r="K5218" s="150" t="str">
        <f>IF(Proc[[#This Row],[Author]]="Marcela Urrego",VLOOKUP(LEFT(Proc[[#This Row],[Requested]],1),Table3[#All],2,0),VLOOKUP(Proc[[#This Row],[Author]],Table4[],2,0))</f>
        <v>LS</v>
      </c>
      <c r="L5218" s="150" t="s">
        <v>6435</v>
      </c>
      <c r="M5218" s="178">
        <v>46024</v>
      </c>
      <c r="N5218" s="178"/>
      <c r="O5218" s="178"/>
      <c r="P5218" s="178" t="str">
        <f ca="1">IF(Proc[[#This Row],[DaysAgeing]]&gt;5,"yep","on track")</f>
        <v>on track</v>
      </c>
      <c r="Q5218" s="3">
        <f ca="1">IF(Proc[[#This Row],[DateClosed]]="",ABS(NETWORKDAYS(Proc[[#This Row],[DateOpened]],TODAY()))-1,ABS(NETWORKDAYS(Proc[[#This Row],[DateOpened]],Proc[[#This Row],[DateClosed]]))-1)</f>
        <v>0</v>
      </c>
      <c r="R5218" s="178" t="s">
        <v>489</v>
      </c>
      <c r="S5218" s="150"/>
    </row>
    <row r="5219" spans="1:19" hidden="1">
      <c r="A5219" s="149" t="s">
        <v>7485</v>
      </c>
      <c r="B5219" s="150" t="str">
        <f>IFERROR(VLOOKUP(Proc[[#This Row],[App]],Table2[],3,0),"open")</f>
        <v>open</v>
      </c>
      <c r="C5219" s="149" t="s">
        <v>369</v>
      </c>
      <c r="D5219" t="s">
        <v>7510</v>
      </c>
      <c r="E5219" t="s">
        <v>2463</v>
      </c>
      <c r="F5219" s="150" t="str">
        <f>VLOOKUP(Proc[[#This Row],[Obj]],Sheet5!A:B,2,0)</f>
        <v>L000006429</v>
      </c>
      <c r="G5219" s="149" t="s">
        <v>400</v>
      </c>
      <c r="H5219" s="150" t="str">
        <f>IF(Proc[[#This Row],[type]]="LFF (MDG-F)",MID(Proc[[#This Row],[Obj]],13,10),"")</f>
        <v/>
      </c>
      <c r="J5219" s="150" t="b">
        <f>Proc[[#This Row],[Requested]]=Proc[[#This Row],[CurrentParent]]</f>
        <v>1</v>
      </c>
      <c r="K5219" s="150" t="str">
        <f>IF(Proc[[#This Row],[Author]]="Marcela Urrego",VLOOKUP(LEFT(Proc[[#This Row],[Requested]],1),Table3[#All],2,0),VLOOKUP(Proc[[#This Row],[Author]],Table4[],2,0))</f>
        <v>LS</v>
      </c>
      <c r="L5219" s="150" t="s">
        <v>6435</v>
      </c>
      <c r="M5219" s="178">
        <v>46024</v>
      </c>
      <c r="N5219" s="178"/>
      <c r="O5219" s="178"/>
      <c r="P5219" s="178" t="str">
        <f ca="1">IF(Proc[[#This Row],[DaysAgeing]]&gt;5,"yep","on track")</f>
        <v>on track</v>
      </c>
      <c r="Q5219" s="3">
        <f ca="1">IF(Proc[[#This Row],[DateClosed]]="",ABS(NETWORKDAYS(Proc[[#This Row],[DateOpened]],TODAY()))-1,ABS(NETWORKDAYS(Proc[[#This Row],[DateOpened]],Proc[[#This Row],[DateClosed]]))-1)</f>
        <v>0</v>
      </c>
      <c r="R5219" s="178" t="s">
        <v>489</v>
      </c>
      <c r="S5219" s="150"/>
    </row>
    <row r="5220" spans="1:19" hidden="1">
      <c r="A5220" s="149" t="s">
        <v>7485</v>
      </c>
      <c r="B5220" s="150" t="str">
        <f>IFERROR(VLOOKUP(Proc[[#This Row],[App]],Table2[],3,0),"open")</f>
        <v>open</v>
      </c>
      <c r="C5220" s="149" t="s">
        <v>369</v>
      </c>
      <c r="D5220" t="s">
        <v>7511</v>
      </c>
      <c r="E5220" t="s">
        <v>2463</v>
      </c>
      <c r="F5220" s="150" t="str">
        <f>VLOOKUP(Proc[[#This Row],[Obj]],Sheet5!A:B,2,0)</f>
        <v>L000006429</v>
      </c>
      <c r="G5220" s="149" t="s">
        <v>400</v>
      </c>
      <c r="H5220" s="150" t="str">
        <f>IF(Proc[[#This Row],[type]]="LFF (MDG-F)",MID(Proc[[#This Row],[Obj]],13,10),"")</f>
        <v/>
      </c>
      <c r="J5220" s="150" t="b">
        <f>Proc[[#This Row],[Requested]]=Proc[[#This Row],[CurrentParent]]</f>
        <v>1</v>
      </c>
      <c r="K5220" s="150" t="str">
        <f>IF(Proc[[#This Row],[Author]]="Marcela Urrego",VLOOKUP(LEFT(Proc[[#This Row],[Requested]],1),Table3[#All],2,0),VLOOKUP(Proc[[#This Row],[Author]],Table4[],2,0))</f>
        <v>LS</v>
      </c>
      <c r="L5220" s="150" t="s">
        <v>6435</v>
      </c>
      <c r="M5220" s="178">
        <v>46024</v>
      </c>
      <c r="N5220" s="178"/>
      <c r="O5220" s="178"/>
      <c r="P5220" s="178" t="str">
        <f ca="1">IF(Proc[[#This Row],[DaysAgeing]]&gt;5,"yep","on track")</f>
        <v>on track</v>
      </c>
      <c r="Q5220" s="3">
        <f ca="1">IF(Proc[[#This Row],[DateClosed]]="",ABS(NETWORKDAYS(Proc[[#This Row],[DateOpened]],TODAY()))-1,ABS(NETWORKDAYS(Proc[[#This Row],[DateOpened]],Proc[[#This Row],[DateClosed]]))-1)</f>
        <v>0</v>
      </c>
      <c r="R5220" s="178" t="s">
        <v>489</v>
      </c>
      <c r="S5220" s="150"/>
    </row>
    <row r="5221" spans="1:19" hidden="1">
      <c r="A5221" s="149" t="s">
        <v>7485</v>
      </c>
      <c r="B5221" s="150" t="str">
        <f>IFERROR(VLOOKUP(Proc[[#This Row],[App]],Table2[],3,0),"open")</f>
        <v>open</v>
      </c>
      <c r="C5221" s="149" t="s">
        <v>369</v>
      </c>
      <c r="D5221" t="s">
        <v>7512</v>
      </c>
      <c r="E5221" t="s">
        <v>2463</v>
      </c>
      <c r="F5221" s="150" t="str">
        <f>VLOOKUP(Proc[[#This Row],[Obj]],Sheet5!A:B,2,0)</f>
        <v>L000006429</v>
      </c>
      <c r="G5221" s="149" t="s">
        <v>400</v>
      </c>
      <c r="H5221" s="150" t="str">
        <f>IF(Proc[[#This Row],[type]]="LFF (MDG-F)",MID(Proc[[#This Row],[Obj]],13,10),"")</f>
        <v/>
      </c>
      <c r="J5221" s="150" t="b">
        <f>Proc[[#This Row],[Requested]]=Proc[[#This Row],[CurrentParent]]</f>
        <v>1</v>
      </c>
      <c r="K5221" s="150" t="str">
        <f>IF(Proc[[#This Row],[Author]]="Marcela Urrego",VLOOKUP(LEFT(Proc[[#This Row],[Requested]],1),Table3[#All],2,0),VLOOKUP(Proc[[#This Row],[Author]],Table4[],2,0))</f>
        <v>LS</v>
      </c>
      <c r="L5221" s="150" t="s">
        <v>6435</v>
      </c>
      <c r="M5221" s="178">
        <v>46024</v>
      </c>
      <c r="N5221" s="178"/>
      <c r="O5221" s="178"/>
      <c r="P5221" s="178" t="str">
        <f ca="1">IF(Proc[[#This Row],[DaysAgeing]]&gt;5,"yep","on track")</f>
        <v>on track</v>
      </c>
      <c r="Q5221" s="3">
        <f ca="1">IF(Proc[[#This Row],[DateClosed]]="",ABS(NETWORKDAYS(Proc[[#This Row],[DateOpened]],TODAY()))-1,ABS(NETWORKDAYS(Proc[[#This Row],[DateOpened]],Proc[[#This Row],[DateClosed]]))-1)</f>
        <v>0</v>
      </c>
      <c r="R5221" s="178" t="s">
        <v>489</v>
      </c>
      <c r="S5221" s="150"/>
    </row>
    <row r="5222" spans="1:19" hidden="1">
      <c r="A5222" s="149" t="s">
        <v>7485</v>
      </c>
      <c r="B5222" s="150" t="str">
        <f>IFERROR(VLOOKUP(Proc[[#This Row],[App]],Table2[],3,0),"open")</f>
        <v>open</v>
      </c>
      <c r="C5222" s="149" t="s">
        <v>369</v>
      </c>
      <c r="D5222" t="s">
        <v>7513</v>
      </c>
      <c r="E5222" t="s">
        <v>2463</v>
      </c>
      <c r="F5222" s="150" t="str">
        <f>VLOOKUP(Proc[[#This Row],[Obj]],Sheet5!A:B,2,0)</f>
        <v>L000006429</v>
      </c>
      <c r="G5222" s="149" t="s">
        <v>400</v>
      </c>
      <c r="H5222" s="150" t="str">
        <f>IF(Proc[[#This Row],[type]]="LFF (MDG-F)",MID(Proc[[#This Row],[Obj]],13,10),"")</f>
        <v/>
      </c>
      <c r="J5222" s="150" t="b">
        <f>Proc[[#This Row],[Requested]]=Proc[[#This Row],[CurrentParent]]</f>
        <v>1</v>
      </c>
      <c r="K5222" s="150" t="str">
        <f>IF(Proc[[#This Row],[Author]]="Marcela Urrego",VLOOKUP(LEFT(Proc[[#This Row],[Requested]],1),Table3[#All],2,0),VLOOKUP(Proc[[#This Row],[Author]],Table4[],2,0))</f>
        <v>LS</v>
      </c>
      <c r="L5222" s="150" t="s">
        <v>6435</v>
      </c>
      <c r="M5222" s="178">
        <v>46024</v>
      </c>
      <c r="N5222" s="178"/>
      <c r="O5222" s="178"/>
      <c r="P5222" s="178" t="str">
        <f ca="1">IF(Proc[[#This Row],[DaysAgeing]]&gt;5,"yep","on track")</f>
        <v>on track</v>
      </c>
      <c r="Q5222" s="3">
        <f ca="1">IF(Proc[[#This Row],[DateClosed]]="",ABS(NETWORKDAYS(Proc[[#This Row],[DateOpened]],TODAY()))-1,ABS(NETWORKDAYS(Proc[[#This Row],[DateOpened]],Proc[[#This Row],[DateClosed]]))-1)</f>
        <v>0</v>
      </c>
      <c r="R5222" s="178" t="s">
        <v>489</v>
      </c>
      <c r="S5222" s="150"/>
    </row>
    <row r="5223" spans="1:19" hidden="1">
      <c r="A5223" s="149" t="s">
        <v>7485</v>
      </c>
      <c r="B5223" s="150" t="str">
        <f>IFERROR(VLOOKUP(Proc[[#This Row],[App]],Table2[],3,0),"open")</f>
        <v>open</v>
      </c>
      <c r="C5223" s="149" t="s">
        <v>369</v>
      </c>
      <c r="D5223" t="s">
        <v>7514</v>
      </c>
      <c r="E5223" t="s">
        <v>2463</v>
      </c>
      <c r="F5223" s="150" t="str">
        <f>VLOOKUP(Proc[[#This Row],[Obj]],Sheet5!A:B,2,0)</f>
        <v>L000006429</v>
      </c>
      <c r="G5223" s="149" t="s">
        <v>400</v>
      </c>
      <c r="H5223" s="150" t="str">
        <f>IF(Proc[[#This Row],[type]]="LFF (MDG-F)",MID(Proc[[#This Row],[Obj]],13,10),"")</f>
        <v/>
      </c>
      <c r="J5223" s="150" t="b">
        <f>Proc[[#This Row],[Requested]]=Proc[[#This Row],[CurrentParent]]</f>
        <v>1</v>
      </c>
      <c r="K5223" s="150" t="str">
        <f>IF(Proc[[#This Row],[Author]]="Marcela Urrego",VLOOKUP(LEFT(Proc[[#This Row],[Requested]],1),Table3[#All],2,0),VLOOKUP(Proc[[#This Row],[Author]],Table4[],2,0))</f>
        <v>LS</v>
      </c>
      <c r="L5223" s="150" t="s">
        <v>6435</v>
      </c>
      <c r="M5223" s="178">
        <v>46024</v>
      </c>
      <c r="N5223" s="178"/>
      <c r="O5223" s="178"/>
      <c r="P5223" s="178" t="str">
        <f ca="1">IF(Proc[[#This Row],[DaysAgeing]]&gt;5,"yep","on track")</f>
        <v>on track</v>
      </c>
      <c r="Q5223" s="3">
        <f ca="1">IF(Proc[[#This Row],[DateClosed]]="",ABS(NETWORKDAYS(Proc[[#This Row],[DateOpened]],TODAY()))-1,ABS(NETWORKDAYS(Proc[[#This Row],[DateOpened]],Proc[[#This Row],[DateClosed]]))-1)</f>
        <v>0</v>
      </c>
      <c r="R5223" s="178" t="s">
        <v>489</v>
      </c>
      <c r="S5223" s="150"/>
    </row>
    <row r="5224" spans="1:19" hidden="1">
      <c r="A5224" s="149" t="s">
        <v>7485</v>
      </c>
      <c r="B5224" s="150" t="str">
        <f>IFERROR(VLOOKUP(Proc[[#This Row],[App]],Table2[],3,0),"open")</f>
        <v>open</v>
      </c>
      <c r="C5224" s="149" t="s">
        <v>370</v>
      </c>
      <c r="D5224" t="s">
        <v>7515</v>
      </c>
      <c r="E5224" t="s">
        <v>7484</v>
      </c>
      <c r="F5224" s="150" t="str">
        <f>VLOOKUP(Proc[[#This Row],[Obj]],Sheet5!A:B,2,0)</f>
        <v>L000006429</v>
      </c>
      <c r="G5224" s="149" t="s">
        <v>400</v>
      </c>
      <c r="H5224" s="150" t="str">
        <f>IF(Proc[[#This Row],[type]]="LFF (MDG-F)",MID(Proc[[#This Row],[Obj]],13,10),"")</f>
        <v/>
      </c>
      <c r="J5224" s="150" t="b">
        <f>Proc[[#This Row],[Requested]]=Proc[[#This Row],[CurrentParent]]</f>
        <v>0</v>
      </c>
      <c r="K5224" s="150" t="str">
        <f>IF(Proc[[#This Row],[Author]]="Marcela Urrego",VLOOKUP(LEFT(Proc[[#This Row],[Requested]],1),Table3[#All],2,0),VLOOKUP(Proc[[#This Row],[Author]],Table4[],2,0))</f>
        <v>LS</v>
      </c>
      <c r="L5224" s="150" t="s">
        <v>6435</v>
      </c>
      <c r="M5224" s="178">
        <v>46024</v>
      </c>
      <c r="N5224" s="178"/>
      <c r="O5224" s="178"/>
      <c r="P5224" s="178" t="str">
        <f ca="1">IF(Proc[[#This Row],[DaysAgeing]]&gt;5,"yep","on track")</f>
        <v>on track</v>
      </c>
      <c r="Q5224" s="3">
        <f ca="1">IF(Proc[[#This Row],[DateClosed]]="",ABS(NETWORKDAYS(Proc[[#This Row],[DateOpened]],TODAY()))-1,ABS(NETWORKDAYS(Proc[[#This Row],[DateOpened]],Proc[[#This Row],[DateClosed]]))-1)</f>
        <v>0</v>
      </c>
      <c r="R5224" s="178" t="s">
        <v>489</v>
      </c>
      <c r="S5224" s="150"/>
    </row>
    <row r="5225" spans="1:19">
      <c r="A5225" t="s">
        <v>7553</v>
      </c>
      <c r="B5225" s="150" t="str">
        <f>IFERROR(VLOOKUP(Proc[[#This Row],[App]],Table2[],3,0),"open")</f>
        <v>open</v>
      </c>
      <c r="C5225" s="149" t="s">
        <v>404</v>
      </c>
      <c r="D5225" t="s">
        <v>7542</v>
      </c>
      <c r="E5225" t="s">
        <v>631</v>
      </c>
      <c r="F5225" s="150"/>
      <c r="G5225" s="149" t="s">
        <v>406</v>
      </c>
      <c r="H5225" s="150" t="str">
        <f>IF(Proc[[#This Row],[type]]="LFF (MDG-F)",MID(Proc[[#This Row],[Obj]],13,10),"")</f>
        <v>DE10537813</v>
      </c>
      <c r="I5225" s="149" t="s">
        <v>7541</v>
      </c>
      <c r="J5225" s="150" t="b">
        <f>Proc[[#This Row],[Requested]]=Proc[[#This Row],[CurrentParent]]</f>
        <v>0</v>
      </c>
      <c r="K5225" s="150" t="str">
        <f>IF(Proc[[#This Row],[Author]]="Marcela Urrego",VLOOKUP(LEFT(Proc[[#This Row],[Requested]],1),Table3[#All],2,0),VLOOKUP(Proc[[#This Row],[Author]],Table4[],2,0))</f>
        <v>???</v>
      </c>
      <c r="L5225" s="150" t="s">
        <v>6435</v>
      </c>
      <c r="M5225" s="178">
        <v>46024</v>
      </c>
      <c r="N5225" s="178"/>
      <c r="O5225" s="178"/>
      <c r="P5225" s="178" t="str">
        <f ca="1">IF(Proc[[#This Row],[DaysAgeing]]&gt;5,"yep","on track")</f>
        <v>on track</v>
      </c>
      <c r="Q5225" s="3">
        <f ca="1">IF(Proc[[#This Row],[DateClosed]]="",ABS(NETWORKDAYS(Proc[[#This Row],[DateOpened]],TODAY()))-1,ABS(NETWORKDAYS(Proc[[#This Row],[DateOpened]],Proc[[#This Row],[DateClosed]]))-1)</f>
        <v>0</v>
      </c>
      <c r="R5225" s="178" t="s">
        <v>7193</v>
      </c>
      <c r="S5225" s="150"/>
    </row>
    <row r="5226" spans="1:19">
      <c r="A5226" s="149" t="s">
        <v>7553</v>
      </c>
      <c r="B5226" s="150" t="str">
        <f>IFERROR(VLOOKUP(Proc[[#This Row],[App]],Table2[],3,0),"open")</f>
        <v>open</v>
      </c>
      <c r="C5226" s="149" t="s">
        <v>404</v>
      </c>
      <c r="D5226" t="s">
        <v>7543</v>
      </c>
      <c r="E5226" t="s">
        <v>631</v>
      </c>
      <c r="F5226" s="150"/>
      <c r="G5226" s="149" t="s">
        <v>406</v>
      </c>
      <c r="H5226" s="150" t="str">
        <f>IF(Proc[[#This Row],[type]]="LFF (MDG-F)",MID(Proc[[#This Row],[Obj]],13,10),"")</f>
        <v>DE20537813</v>
      </c>
      <c r="I5226" s="149" t="s">
        <v>7541</v>
      </c>
      <c r="J5226" s="150" t="b">
        <f>Proc[[#This Row],[Requested]]=Proc[[#This Row],[CurrentParent]]</f>
        <v>0</v>
      </c>
      <c r="K5226" s="150" t="str">
        <f>IF(Proc[[#This Row],[Author]]="Marcela Urrego",VLOOKUP(LEFT(Proc[[#This Row],[Requested]],1),Table3[#All],2,0),VLOOKUP(Proc[[#This Row],[Author]],Table4[],2,0))</f>
        <v>???</v>
      </c>
      <c r="L5226" s="150" t="s">
        <v>6435</v>
      </c>
      <c r="M5226" s="178">
        <v>46024</v>
      </c>
      <c r="N5226" s="178"/>
      <c r="O5226" s="178"/>
      <c r="P5226" s="178" t="str">
        <f ca="1">IF(Proc[[#This Row],[DaysAgeing]]&gt;5,"yep","on track")</f>
        <v>on track</v>
      </c>
      <c r="Q5226" s="3">
        <f ca="1">IF(Proc[[#This Row],[DateClosed]]="",ABS(NETWORKDAYS(Proc[[#This Row],[DateOpened]],TODAY()))-1,ABS(NETWORKDAYS(Proc[[#This Row],[DateOpened]],Proc[[#This Row],[DateClosed]]))-1)</f>
        <v>0</v>
      </c>
      <c r="R5226" s="178" t="s">
        <v>7193</v>
      </c>
      <c r="S5226" s="150"/>
    </row>
    <row r="5227" spans="1:19">
      <c r="A5227" s="149" t="s">
        <v>7553</v>
      </c>
      <c r="B5227" s="150" t="str">
        <f>IFERROR(VLOOKUP(Proc[[#This Row],[App]],Table2[],3,0),"open")</f>
        <v>open</v>
      </c>
      <c r="C5227" s="149" t="s">
        <v>404</v>
      </c>
      <c r="D5227" t="s">
        <v>7544</v>
      </c>
      <c r="E5227" t="s">
        <v>631</v>
      </c>
      <c r="F5227" s="150"/>
      <c r="G5227" s="149" t="s">
        <v>406</v>
      </c>
      <c r="H5227" s="150" t="str">
        <f>IF(Proc[[#This Row],[type]]="LFF (MDG-F)",MID(Proc[[#This Row],[Obj]],13,10),"")</f>
        <v>DE10538999</v>
      </c>
      <c r="I5227" s="149" t="s">
        <v>7541</v>
      </c>
      <c r="J5227" s="150" t="b">
        <f>Proc[[#This Row],[Requested]]=Proc[[#This Row],[CurrentParent]]</f>
        <v>0</v>
      </c>
      <c r="K5227" s="150" t="str">
        <f>IF(Proc[[#This Row],[Author]]="Marcela Urrego",VLOOKUP(LEFT(Proc[[#This Row],[Requested]],1),Table3[#All],2,0),VLOOKUP(Proc[[#This Row],[Author]],Table4[],2,0))</f>
        <v>???</v>
      </c>
      <c r="L5227" s="150" t="s">
        <v>6435</v>
      </c>
      <c r="M5227" s="178">
        <v>46024</v>
      </c>
      <c r="N5227" s="178"/>
      <c r="O5227" s="178"/>
      <c r="P5227" s="178" t="str">
        <f ca="1">IF(Proc[[#This Row],[DaysAgeing]]&gt;5,"yep","on track")</f>
        <v>on track</v>
      </c>
      <c r="Q5227" s="3">
        <f ca="1">IF(Proc[[#This Row],[DateClosed]]="",ABS(NETWORKDAYS(Proc[[#This Row],[DateOpened]],TODAY()))-1,ABS(NETWORKDAYS(Proc[[#This Row],[DateOpened]],Proc[[#This Row],[DateClosed]]))-1)</f>
        <v>0</v>
      </c>
      <c r="R5227" s="178" t="s">
        <v>7193</v>
      </c>
      <c r="S5227" s="150"/>
    </row>
    <row r="5228" spans="1:19">
      <c r="A5228" s="149" t="s">
        <v>7553</v>
      </c>
      <c r="B5228" s="150" t="str">
        <f>IFERROR(VLOOKUP(Proc[[#This Row],[App]],Table2[],3,0),"open")</f>
        <v>open</v>
      </c>
      <c r="C5228" s="149" t="s">
        <v>404</v>
      </c>
      <c r="D5228" t="s">
        <v>7545</v>
      </c>
      <c r="E5228" t="s">
        <v>631</v>
      </c>
      <c r="F5228" s="150"/>
      <c r="G5228" s="149" t="s">
        <v>406</v>
      </c>
      <c r="H5228" s="150" t="str">
        <f>IF(Proc[[#This Row],[type]]="LFF (MDG-F)",MID(Proc[[#This Row],[Obj]],13,10),"")</f>
        <v>DE10538529</v>
      </c>
      <c r="I5228" s="149" t="s">
        <v>7541</v>
      </c>
      <c r="J5228" s="150" t="b">
        <f>Proc[[#This Row],[Requested]]=Proc[[#This Row],[CurrentParent]]</f>
        <v>0</v>
      </c>
      <c r="K5228" s="150" t="str">
        <f>IF(Proc[[#This Row],[Author]]="Marcela Urrego",VLOOKUP(LEFT(Proc[[#This Row],[Requested]],1),Table3[#All],2,0),VLOOKUP(Proc[[#This Row],[Author]],Table4[],2,0))</f>
        <v>???</v>
      </c>
      <c r="L5228" s="150" t="s">
        <v>6435</v>
      </c>
      <c r="M5228" s="178">
        <v>46024</v>
      </c>
      <c r="N5228" s="178"/>
      <c r="O5228" s="178"/>
      <c r="P5228" s="178" t="str">
        <f ca="1">IF(Proc[[#This Row],[DaysAgeing]]&gt;5,"yep","on track")</f>
        <v>on track</v>
      </c>
      <c r="Q5228" s="3">
        <f ca="1">IF(Proc[[#This Row],[DateClosed]]="",ABS(NETWORKDAYS(Proc[[#This Row],[DateOpened]],TODAY()))-1,ABS(NETWORKDAYS(Proc[[#This Row],[DateOpened]],Proc[[#This Row],[DateClosed]]))-1)</f>
        <v>0</v>
      </c>
      <c r="R5228" s="178" t="s">
        <v>7193</v>
      </c>
      <c r="S5228" s="150"/>
    </row>
    <row r="5229" spans="1:19">
      <c r="A5229" s="149" t="s">
        <v>7553</v>
      </c>
      <c r="B5229" s="150" t="str">
        <f>IFERROR(VLOOKUP(Proc[[#This Row],[App]],Table2[],3,0),"open")</f>
        <v>open</v>
      </c>
      <c r="C5229" s="149" t="s">
        <v>404</v>
      </c>
      <c r="D5229" t="s">
        <v>7546</v>
      </c>
      <c r="E5229" t="s">
        <v>631</v>
      </c>
      <c r="F5229" s="150"/>
      <c r="G5229" s="149" t="s">
        <v>406</v>
      </c>
      <c r="H5229" s="150" t="str">
        <f>IF(Proc[[#This Row],[type]]="LFF (MDG-F)",MID(Proc[[#This Row],[Obj]],13,10),"")</f>
        <v>DE10538536</v>
      </c>
      <c r="I5229" s="149" t="s">
        <v>7541</v>
      </c>
      <c r="J5229" s="150" t="b">
        <f>Proc[[#This Row],[Requested]]=Proc[[#This Row],[CurrentParent]]</f>
        <v>0</v>
      </c>
      <c r="K5229" s="150" t="str">
        <f>IF(Proc[[#This Row],[Author]]="Marcela Urrego",VLOOKUP(LEFT(Proc[[#This Row],[Requested]],1),Table3[#All],2,0),VLOOKUP(Proc[[#This Row],[Author]],Table4[],2,0))</f>
        <v>???</v>
      </c>
      <c r="L5229" s="150" t="s">
        <v>6435</v>
      </c>
      <c r="M5229" s="178">
        <v>46024</v>
      </c>
      <c r="N5229" s="178"/>
      <c r="O5229" s="178"/>
      <c r="P5229" s="178" t="str">
        <f ca="1">IF(Proc[[#This Row],[DaysAgeing]]&gt;5,"yep","on track")</f>
        <v>on track</v>
      </c>
      <c r="Q5229" s="3">
        <f ca="1">IF(Proc[[#This Row],[DateClosed]]="",ABS(NETWORKDAYS(Proc[[#This Row],[DateOpened]],TODAY()))-1,ABS(NETWORKDAYS(Proc[[#This Row],[DateOpened]],Proc[[#This Row],[DateClosed]]))-1)</f>
        <v>0</v>
      </c>
      <c r="R5229" s="178" t="s">
        <v>7193</v>
      </c>
      <c r="S5229" s="150"/>
    </row>
    <row r="5230" spans="1:19">
      <c r="A5230" s="149" t="s">
        <v>7553</v>
      </c>
      <c r="B5230" s="150" t="str">
        <f>IFERROR(VLOOKUP(Proc[[#This Row],[App]],Table2[],3,0),"open")</f>
        <v>open</v>
      </c>
      <c r="C5230" s="149" t="s">
        <v>404</v>
      </c>
      <c r="D5230" t="s">
        <v>7547</v>
      </c>
      <c r="E5230" t="s">
        <v>631</v>
      </c>
      <c r="F5230" s="150"/>
      <c r="G5230" s="149" t="s">
        <v>406</v>
      </c>
      <c r="H5230" s="150" t="str">
        <f>IF(Proc[[#This Row],[type]]="LFF (MDG-F)",MID(Proc[[#This Row],[Obj]],13,10),"")</f>
        <v>DE10538539</v>
      </c>
      <c r="I5230" s="149" t="s">
        <v>7541</v>
      </c>
      <c r="J5230" s="150" t="b">
        <f>Proc[[#This Row],[Requested]]=Proc[[#This Row],[CurrentParent]]</f>
        <v>0</v>
      </c>
      <c r="K5230" s="150" t="str">
        <f>IF(Proc[[#This Row],[Author]]="Marcela Urrego",VLOOKUP(LEFT(Proc[[#This Row],[Requested]],1),Table3[#All],2,0),VLOOKUP(Proc[[#This Row],[Author]],Table4[],2,0))</f>
        <v>???</v>
      </c>
      <c r="L5230" s="150" t="s">
        <v>6435</v>
      </c>
      <c r="M5230" s="178">
        <v>46024</v>
      </c>
      <c r="N5230" s="178"/>
      <c r="O5230" s="178"/>
      <c r="P5230" s="178" t="str">
        <f ca="1">IF(Proc[[#This Row],[DaysAgeing]]&gt;5,"yep","on track")</f>
        <v>on track</v>
      </c>
      <c r="Q5230" s="3">
        <f ca="1">IF(Proc[[#This Row],[DateClosed]]="",ABS(NETWORKDAYS(Proc[[#This Row],[DateOpened]],TODAY()))-1,ABS(NETWORKDAYS(Proc[[#This Row],[DateOpened]],Proc[[#This Row],[DateClosed]]))-1)</f>
        <v>0</v>
      </c>
      <c r="R5230" s="178" t="s">
        <v>7193</v>
      </c>
      <c r="S5230" s="150"/>
    </row>
    <row r="5231" spans="1:19">
      <c r="A5231" s="149" t="s">
        <v>7553</v>
      </c>
      <c r="B5231" s="150" t="str">
        <f>IFERROR(VLOOKUP(Proc[[#This Row],[App]],Table2[],3,0),"open")</f>
        <v>open</v>
      </c>
      <c r="C5231" s="149" t="s">
        <v>404</v>
      </c>
      <c r="D5231" t="s">
        <v>7548</v>
      </c>
      <c r="E5231" t="s">
        <v>631</v>
      </c>
      <c r="F5231" s="150"/>
      <c r="G5231" s="149" t="s">
        <v>406</v>
      </c>
      <c r="H5231" s="150" t="str">
        <f>IF(Proc[[#This Row],[type]]="LFF (MDG-F)",MID(Proc[[#This Row],[Obj]],13,10),"")</f>
        <v>DE10538540</v>
      </c>
      <c r="I5231" s="149" t="s">
        <v>7541</v>
      </c>
      <c r="J5231" s="150" t="b">
        <f>Proc[[#This Row],[Requested]]=Proc[[#This Row],[CurrentParent]]</f>
        <v>0</v>
      </c>
      <c r="K5231" s="150" t="str">
        <f>IF(Proc[[#This Row],[Author]]="Marcela Urrego",VLOOKUP(LEFT(Proc[[#This Row],[Requested]],1),Table3[#All],2,0),VLOOKUP(Proc[[#This Row],[Author]],Table4[],2,0))</f>
        <v>???</v>
      </c>
      <c r="L5231" s="150" t="s">
        <v>6435</v>
      </c>
      <c r="M5231" s="178">
        <v>46024</v>
      </c>
      <c r="N5231" s="178"/>
      <c r="O5231" s="178"/>
      <c r="P5231" s="178" t="str">
        <f ca="1">IF(Proc[[#This Row],[DaysAgeing]]&gt;5,"yep","on track")</f>
        <v>on track</v>
      </c>
      <c r="Q5231" s="3">
        <f ca="1">IF(Proc[[#This Row],[DateClosed]]="",ABS(NETWORKDAYS(Proc[[#This Row],[DateOpened]],TODAY()))-1,ABS(NETWORKDAYS(Proc[[#This Row],[DateOpened]],Proc[[#This Row],[DateClosed]]))-1)</f>
        <v>0</v>
      </c>
      <c r="R5231" s="178" t="s">
        <v>7193</v>
      </c>
      <c r="S5231" s="150"/>
    </row>
    <row r="5232" spans="1:19">
      <c r="A5232" s="149" t="s">
        <v>7553</v>
      </c>
      <c r="B5232" s="150" t="str">
        <f>IFERROR(VLOOKUP(Proc[[#This Row],[App]],Table2[],3,0),"open")</f>
        <v>open</v>
      </c>
      <c r="C5232" s="149" t="s">
        <v>404</v>
      </c>
      <c r="D5232" t="s">
        <v>7549</v>
      </c>
      <c r="E5232" t="s">
        <v>631</v>
      </c>
      <c r="F5232" s="150"/>
      <c r="G5232" s="149" t="s">
        <v>406</v>
      </c>
      <c r="H5232" s="150" t="str">
        <f>IF(Proc[[#This Row],[type]]="LFF (MDG-F)",MID(Proc[[#This Row],[Obj]],13,10),"")</f>
        <v>DE20538529</v>
      </c>
      <c r="I5232" s="149" t="s">
        <v>7541</v>
      </c>
      <c r="J5232" s="150" t="b">
        <f>Proc[[#This Row],[Requested]]=Proc[[#This Row],[CurrentParent]]</f>
        <v>0</v>
      </c>
      <c r="K5232" s="150" t="str">
        <f>IF(Proc[[#This Row],[Author]]="Marcela Urrego",VLOOKUP(LEFT(Proc[[#This Row],[Requested]],1),Table3[#All],2,0),VLOOKUP(Proc[[#This Row],[Author]],Table4[],2,0))</f>
        <v>???</v>
      </c>
      <c r="L5232" s="150" t="s">
        <v>6435</v>
      </c>
      <c r="M5232" s="178">
        <v>46024</v>
      </c>
      <c r="N5232" s="178"/>
      <c r="O5232" s="178"/>
      <c r="P5232" s="178" t="str">
        <f ca="1">IF(Proc[[#This Row],[DaysAgeing]]&gt;5,"yep","on track")</f>
        <v>on track</v>
      </c>
      <c r="Q5232" s="3">
        <f ca="1">IF(Proc[[#This Row],[DateClosed]]="",ABS(NETWORKDAYS(Proc[[#This Row],[DateOpened]],TODAY()))-1,ABS(NETWORKDAYS(Proc[[#This Row],[DateOpened]],Proc[[#This Row],[DateClosed]]))-1)</f>
        <v>0</v>
      </c>
      <c r="R5232" s="178" t="s">
        <v>7193</v>
      </c>
      <c r="S5232" s="150"/>
    </row>
    <row r="5233" spans="1:19">
      <c r="A5233" s="149" t="s">
        <v>7553</v>
      </c>
      <c r="B5233" s="150" t="str">
        <f>IFERROR(VLOOKUP(Proc[[#This Row],[App]],Table2[],3,0),"open")</f>
        <v>open</v>
      </c>
      <c r="C5233" s="149" t="s">
        <v>404</v>
      </c>
      <c r="D5233" t="s">
        <v>7550</v>
      </c>
      <c r="E5233" t="s">
        <v>631</v>
      </c>
      <c r="F5233" s="150"/>
      <c r="G5233" s="149" t="s">
        <v>406</v>
      </c>
      <c r="H5233" s="150" t="str">
        <f>IF(Proc[[#This Row],[type]]="LFF (MDG-F)",MID(Proc[[#This Row],[Obj]],13,10),"")</f>
        <v>DE20538536</v>
      </c>
      <c r="I5233" s="149" t="s">
        <v>7541</v>
      </c>
      <c r="J5233" s="150" t="b">
        <f>Proc[[#This Row],[Requested]]=Proc[[#This Row],[CurrentParent]]</f>
        <v>0</v>
      </c>
      <c r="K5233" s="150" t="str">
        <f>IF(Proc[[#This Row],[Author]]="Marcela Urrego",VLOOKUP(LEFT(Proc[[#This Row],[Requested]],1),Table3[#All],2,0),VLOOKUP(Proc[[#This Row],[Author]],Table4[],2,0))</f>
        <v>???</v>
      </c>
      <c r="L5233" s="150" t="s">
        <v>6435</v>
      </c>
      <c r="M5233" s="178">
        <v>46024</v>
      </c>
      <c r="N5233" s="178"/>
      <c r="O5233" s="178"/>
      <c r="P5233" s="178" t="str">
        <f ca="1">IF(Proc[[#This Row],[DaysAgeing]]&gt;5,"yep","on track")</f>
        <v>on track</v>
      </c>
      <c r="Q5233" s="3">
        <f ca="1">IF(Proc[[#This Row],[DateClosed]]="",ABS(NETWORKDAYS(Proc[[#This Row],[DateOpened]],TODAY()))-1,ABS(NETWORKDAYS(Proc[[#This Row],[DateOpened]],Proc[[#This Row],[DateClosed]]))-1)</f>
        <v>0</v>
      </c>
      <c r="R5233" s="178" t="s">
        <v>7193</v>
      </c>
      <c r="S5233" s="150"/>
    </row>
    <row r="5234" spans="1:19">
      <c r="A5234" s="149" t="s">
        <v>7553</v>
      </c>
      <c r="B5234" s="150" t="str">
        <f>IFERROR(VLOOKUP(Proc[[#This Row],[App]],Table2[],3,0),"open")</f>
        <v>open</v>
      </c>
      <c r="C5234" s="149" t="s">
        <v>404</v>
      </c>
      <c r="D5234" t="s">
        <v>7551</v>
      </c>
      <c r="E5234" t="s">
        <v>631</v>
      </c>
      <c r="F5234" s="150"/>
      <c r="G5234" s="149" t="s">
        <v>406</v>
      </c>
      <c r="H5234" s="150" t="str">
        <f>IF(Proc[[#This Row],[type]]="LFF (MDG-F)",MID(Proc[[#This Row],[Obj]],13,10),"")</f>
        <v>DE20538539</v>
      </c>
      <c r="I5234" s="149" t="s">
        <v>7541</v>
      </c>
      <c r="J5234" s="150" t="b">
        <f>Proc[[#This Row],[Requested]]=Proc[[#This Row],[CurrentParent]]</f>
        <v>0</v>
      </c>
      <c r="K5234" s="150" t="str">
        <f>IF(Proc[[#This Row],[Author]]="Marcela Urrego",VLOOKUP(LEFT(Proc[[#This Row],[Requested]],1),Table3[#All],2,0),VLOOKUP(Proc[[#This Row],[Author]],Table4[],2,0))</f>
        <v>???</v>
      </c>
      <c r="L5234" s="150" t="s">
        <v>6435</v>
      </c>
      <c r="M5234" s="178">
        <v>46024</v>
      </c>
      <c r="N5234" s="178"/>
      <c r="O5234" s="178"/>
      <c r="P5234" s="178" t="str">
        <f ca="1">IF(Proc[[#This Row],[DaysAgeing]]&gt;5,"yep","on track")</f>
        <v>on track</v>
      </c>
      <c r="Q5234" s="3">
        <f ca="1">IF(Proc[[#This Row],[DateClosed]]="",ABS(NETWORKDAYS(Proc[[#This Row],[DateOpened]],TODAY()))-1,ABS(NETWORKDAYS(Proc[[#This Row],[DateOpened]],Proc[[#This Row],[DateClosed]]))-1)</f>
        <v>0</v>
      </c>
      <c r="R5234" s="178" t="s">
        <v>7193</v>
      </c>
      <c r="S5234" s="150"/>
    </row>
    <row r="5235" spans="1:19">
      <c r="A5235" s="149" t="s">
        <v>7553</v>
      </c>
      <c r="B5235" s="150" t="str">
        <f>IFERROR(VLOOKUP(Proc[[#This Row],[App]],Table2[],3,0),"open")</f>
        <v>open</v>
      </c>
      <c r="C5235" s="149" t="s">
        <v>404</v>
      </c>
      <c r="D5235" t="s">
        <v>7552</v>
      </c>
      <c r="E5235" t="s">
        <v>631</v>
      </c>
      <c r="F5235" s="150"/>
      <c r="G5235" s="149" t="s">
        <v>406</v>
      </c>
      <c r="H5235" s="150" t="str">
        <f>IF(Proc[[#This Row],[type]]="LFF (MDG-F)",MID(Proc[[#This Row],[Obj]],13,10),"")</f>
        <v>DE20538540</v>
      </c>
      <c r="I5235" s="149" t="s">
        <v>7541</v>
      </c>
      <c r="J5235" s="150" t="b">
        <f>Proc[[#This Row],[Requested]]=Proc[[#This Row],[CurrentParent]]</f>
        <v>0</v>
      </c>
      <c r="K5235" s="150" t="str">
        <f>IF(Proc[[#This Row],[Author]]="Marcela Urrego",VLOOKUP(LEFT(Proc[[#This Row],[Requested]],1),Table3[#All],2,0),VLOOKUP(Proc[[#This Row],[Author]],Table4[],2,0))</f>
        <v>???</v>
      </c>
      <c r="L5235" s="150" t="s">
        <v>6435</v>
      </c>
      <c r="M5235" s="178">
        <v>46024</v>
      </c>
      <c r="N5235" s="178"/>
      <c r="O5235" s="178"/>
      <c r="P5235" s="178" t="str">
        <f ca="1">IF(Proc[[#This Row],[DaysAgeing]]&gt;5,"yep","on track")</f>
        <v>on track</v>
      </c>
      <c r="Q5235" s="3">
        <f ca="1">IF(Proc[[#This Row],[DateClosed]]="",ABS(NETWORKDAYS(Proc[[#This Row],[DateOpened]],TODAY()))-1,ABS(NETWORKDAYS(Proc[[#This Row],[DateOpened]],Proc[[#This Row],[DateClosed]]))-1)</f>
        <v>0</v>
      </c>
      <c r="R5235" s="178" t="s">
        <v>7193</v>
      </c>
      <c r="S5235" s="150"/>
    </row>
  </sheetData>
  <phoneticPr fontId="0" type="noConversion"/>
  <conditionalFormatting sqref="D642">
    <cfRule type="duplicateValues" dxfId="23" priority="3"/>
  </conditionalFormatting>
  <conditionalFormatting sqref="D1017:D1042">
    <cfRule type="duplicateValues" dxfId="22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G2:G5235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C0B0D-22B2-430A-A884-9D9870665AD8}">
  <dimension ref="A1:B74"/>
  <sheetViews>
    <sheetView workbookViewId="0">
      <selection activeCell="B1" sqref="B1"/>
    </sheetView>
  </sheetViews>
  <sheetFormatPr defaultRowHeight="15"/>
  <sheetData>
    <row r="1" spans="1:2">
      <c r="A1" t="s">
        <v>7428</v>
      </c>
      <c r="B1" t="s">
        <v>4929</v>
      </c>
    </row>
    <row r="2" spans="1:2">
      <c r="A2" t="s">
        <v>7429</v>
      </c>
      <c r="B2" t="s">
        <v>4929</v>
      </c>
    </row>
    <row r="3" spans="1:2">
      <c r="A3" t="s">
        <v>7430</v>
      </c>
      <c r="B3" t="s">
        <v>3535</v>
      </c>
    </row>
    <row r="4" spans="1:2">
      <c r="A4" t="s">
        <v>7435</v>
      </c>
      <c r="B4" t="s">
        <v>7517</v>
      </c>
    </row>
    <row r="5" spans="1:2">
      <c r="A5" t="s">
        <v>7436</v>
      </c>
      <c r="B5" t="s">
        <v>7518</v>
      </c>
    </row>
    <row r="6" spans="1:2">
      <c r="A6" t="s">
        <v>7437</v>
      </c>
      <c r="B6" t="s">
        <v>7519</v>
      </c>
    </row>
    <row r="7" spans="1:2">
      <c r="A7" t="s">
        <v>7438</v>
      </c>
      <c r="B7" t="s">
        <v>7520</v>
      </c>
    </row>
    <row r="8" spans="1:2">
      <c r="A8" t="s">
        <v>7439</v>
      </c>
      <c r="B8" t="s">
        <v>7521</v>
      </c>
    </row>
    <row r="9" spans="1:2">
      <c r="A9" t="s">
        <v>7440</v>
      </c>
      <c r="B9" t="s">
        <v>7522</v>
      </c>
    </row>
    <row r="10" spans="1:2">
      <c r="A10" t="s">
        <v>7441</v>
      </c>
      <c r="B10" t="s">
        <v>7523</v>
      </c>
    </row>
    <row r="11" spans="1:2">
      <c r="A11" t="s">
        <v>7442</v>
      </c>
      <c r="B11" t="s">
        <v>7523</v>
      </c>
    </row>
    <row r="12" spans="1:2">
      <c r="A12" t="s">
        <v>7443</v>
      </c>
      <c r="B12" t="s">
        <v>7523</v>
      </c>
    </row>
    <row r="13" spans="1:2">
      <c r="A13" t="s">
        <v>7444</v>
      </c>
      <c r="B13" t="s">
        <v>7524</v>
      </c>
    </row>
    <row r="14" spans="1:2">
      <c r="A14" t="s">
        <v>7445</v>
      </c>
      <c r="B14" t="s">
        <v>7518</v>
      </c>
    </row>
    <row r="15" spans="1:2">
      <c r="A15" t="s">
        <v>7446</v>
      </c>
      <c r="B15" t="s">
        <v>7518</v>
      </c>
    </row>
    <row r="16" spans="1:2">
      <c r="A16" t="s">
        <v>7447</v>
      </c>
      <c r="B16" t="s">
        <v>7525</v>
      </c>
    </row>
    <row r="17" spans="1:2">
      <c r="A17" t="s">
        <v>7448</v>
      </c>
      <c r="B17" t="s">
        <v>7525</v>
      </c>
    </row>
    <row r="18" spans="1:2">
      <c r="A18" t="s">
        <v>7449</v>
      </c>
      <c r="B18" t="s">
        <v>7526</v>
      </c>
    </row>
    <row r="19" spans="1:2">
      <c r="A19" t="s">
        <v>7450</v>
      </c>
      <c r="B19" t="s">
        <v>7527</v>
      </c>
    </row>
    <row r="20" spans="1:2">
      <c r="A20" t="s">
        <v>7451</v>
      </c>
      <c r="B20" t="s">
        <v>7528</v>
      </c>
    </row>
    <row r="21" spans="1:2">
      <c r="A21" t="s">
        <v>7452</v>
      </c>
      <c r="B21" t="s">
        <v>7518</v>
      </c>
    </row>
    <row r="22" spans="1:2">
      <c r="A22" t="s">
        <v>7453</v>
      </c>
      <c r="B22" t="s">
        <v>7524</v>
      </c>
    </row>
    <row r="23" spans="1:2">
      <c r="A23" t="s">
        <v>7454</v>
      </c>
      <c r="B23" t="s">
        <v>7525</v>
      </c>
    </row>
    <row r="24" spans="1:2">
      <c r="A24" t="s">
        <v>7455</v>
      </c>
      <c r="B24" t="s">
        <v>7525</v>
      </c>
    </row>
    <row r="25" spans="1:2">
      <c r="A25" t="s">
        <v>7456</v>
      </c>
      <c r="B25" t="s">
        <v>7527</v>
      </c>
    </row>
    <row r="26" spans="1:2">
      <c r="A26" t="s">
        <v>7457</v>
      </c>
      <c r="B26" t="s">
        <v>7529</v>
      </c>
    </row>
    <row r="27" spans="1:2">
      <c r="A27" t="s">
        <v>7458</v>
      </c>
      <c r="B27" t="s">
        <v>7530</v>
      </c>
    </row>
    <row r="28" spans="1:2">
      <c r="A28" t="s">
        <v>7465</v>
      </c>
      <c r="B28" t="s">
        <v>7531</v>
      </c>
    </row>
    <row r="29" spans="1:2">
      <c r="A29" t="s">
        <v>7469</v>
      </c>
      <c r="B29" t="s">
        <v>7540</v>
      </c>
    </row>
    <row r="30" spans="1:2">
      <c r="A30" t="s">
        <v>7470</v>
      </c>
      <c r="B30" t="s">
        <v>7532</v>
      </c>
    </row>
    <row r="31" spans="1:2">
      <c r="A31" t="s">
        <v>7472</v>
      </c>
      <c r="B31" t="s">
        <v>7532</v>
      </c>
    </row>
    <row r="32" spans="1:2">
      <c r="A32" t="s">
        <v>7473</v>
      </c>
      <c r="B32" t="s">
        <v>4100</v>
      </c>
    </row>
    <row r="33" spans="1:2">
      <c r="A33" t="s">
        <v>7474</v>
      </c>
      <c r="B33" t="s">
        <v>7533</v>
      </c>
    </row>
    <row r="34" spans="1:2">
      <c r="A34" t="s">
        <v>7475</v>
      </c>
      <c r="B34" t="s">
        <v>7533</v>
      </c>
    </row>
    <row r="35" spans="1:2">
      <c r="A35" t="s">
        <v>7476</v>
      </c>
      <c r="B35" t="s">
        <v>7533</v>
      </c>
    </row>
    <row r="36" spans="1:2">
      <c r="A36" t="s">
        <v>7477</v>
      </c>
      <c r="B36" t="s">
        <v>7534</v>
      </c>
    </row>
    <row r="37" spans="1:2">
      <c r="A37" t="s">
        <v>7478</v>
      </c>
      <c r="B37" t="s">
        <v>7534</v>
      </c>
    </row>
    <row r="38" spans="1:2">
      <c r="A38" t="s">
        <v>7479</v>
      </c>
      <c r="B38" t="s">
        <v>7534</v>
      </c>
    </row>
    <row r="39" spans="1:2">
      <c r="A39" t="s">
        <v>7481</v>
      </c>
      <c r="B39" t="s">
        <v>7534</v>
      </c>
    </row>
    <row r="40" spans="1:2">
      <c r="A40" t="s">
        <v>7482</v>
      </c>
      <c r="B40" t="s">
        <v>2463</v>
      </c>
    </row>
    <row r="41" spans="1:2">
      <c r="A41" t="s">
        <v>7483</v>
      </c>
      <c r="B41" t="s">
        <v>7534</v>
      </c>
    </row>
    <row r="42" spans="1:2">
      <c r="A42" t="s">
        <v>7486</v>
      </c>
      <c r="B42" t="s">
        <v>7459</v>
      </c>
    </row>
    <row r="43" spans="1:2">
      <c r="A43" t="s">
        <v>7465</v>
      </c>
      <c r="B43" t="s">
        <v>7531</v>
      </c>
    </row>
    <row r="44" spans="1:2">
      <c r="A44" t="s">
        <v>7488</v>
      </c>
      <c r="B44" t="s">
        <v>7516</v>
      </c>
    </row>
    <row r="45" spans="1:2">
      <c r="A45" t="s">
        <v>7489</v>
      </c>
      <c r="B45" t="s">
        <v>7535</v>
      </c>
    </row>
    <row r="46" spans="1:2">
      <c r="A46" t="s">
        <v>7490</v>
      </c>
      <c r="B46" t="s">
        <v>7536</v>
      </c>
    </row>
    <row r="47" spans="1:2">
      <c r="A47" t="s">
        <v>7491</v>
      </c>
      <c r="B47" t="s">
        <v>7537</v>
      </c>
    </row>
    <row r="48" spans="1:2">
      <c r="A48" t="s">
        <v>7492</v>
      </c>
      <c r="B48" t="s">
        <v>1575</v>
      </c>
    </row>
    <row r="49" spans="1:2">
      <c r="A49" t="s">
        <v>7493</v>
      </c>
      <c r="B49" t="s">
        <v>7538</v>
      </c>
    </row>
    <row r="50" spans="1:2">
      <c r="A50" t="s">
        <v>7494</v>
      </c>
      <c r="B50" t="s">
        <v>7539</v>
      </c>
    </row>
    <row r="51" spans="1:2">
      <c r="A51" t="s">
        <v>7495</v>
      </c>
      <c r="B51" t="s">
        <v>2592</v>
      </c>
    </row>
    <row r="52" spans="1:2">
      <c r="A52" t="s">
        <v>7496</v>
      </c>
      <c r="B52" t="s">
        <v>2592</v>
      </c>
    </row>
    <row r="53" spans="1:2">
      <c r="A53" t="s">
        <v>7497</v>
      </c>
      <c r="B53" t="s">
        <v>2592</v>
      </c>
    </row>
    <row r="54" spans="1:2">
      <c r="A54" t="s">
        <v>7498</v>
      </c>
      <c r="B54" t="s">
        <v>2592</v>
      </c>
    </row>
    <row r="55" spans="1:2">
      <c r="A55" t="s">
        <v>7499</v>
      </c>
      <c r="B55" t="s">
        <v>2592</v>
      </c>
    </row>
    <row r="56" spans="1:2">
      <c r="A56" t="s">
        <v>7500</v>
      </c>
      <c r="B56" t="s">
        <v>2592</v>
      </c>
    </row>
    <row r="57" spans="1:2">
      <c r="A57" t="s">
        <v>7501</v>
      </c>
      <c r="B57" t="s">
        <v>2592</v>
      </c>
    </row>
    <row r="58" spans="1:2">
      <c r="A58" t="s">
        <v>7502</v>
      </c>
      <c r="B58" t="s">
        <v>2592</v>
      </c>
    </row>
    <row r="59" spans="1:2">
      <c r="A59" t="s">
        <v>7503</v>
      </c>
      <c r="B59" t="s">
        <v>2592</v>
      </c>
    </row>
    <row r="60" spans="1:2">
      <c r="A60" t="s">
        <v>7504</v>
      </c>
      <c r="B60" t="s">
        <v>2592</v>
      </c>
    </row>
    <row r="61" spans="1:2">
      <c r="A61" t="s">
        <v>7505</v>
      </c>
      <c r="B61" t="s">
        <v>2592</v>
      </c>
    </row>
    <row r="62" spans="1:2">
      <c r="A62" t="s">
        <v>7506</v>
      </c>
      <c r="B62" t="s">
        <v>2592</v>
      </c>
    </row>
    <row r="63" spans="1:2">
      <c r="A63" t="s">
        <v>3066</v>
      </c>
      <c r="B63" t="s">
        <v>2592</v>
      </c>
    </row>
    <row r="64" spans="1:2">
      <c r="A64" t="s">
        <v>3067</v>
      </c>
      <c r="B64" t="s">
        <v>2592</v>
      </c>
    </row>
    <row r="65" spans="1:2">
      <c r="A65" t="s">
        <v>3068</v>
      </c>
      <c r="B65" t="s">
        <v>2592</v>
      </c>
    </row>
    <row r="66" spans="1:2">
      <c r="A66" t="s">
        <v>7507</v>
      </c>
      <c r="B66" t="s">
        <v>2592</v>
      </c>
    </row>
    <row r="67" spans="1:2">
      <c r="A67" t="s">
        <v>7508</v>
      </c>
      <c r="B67" t="s">
        <v>2463</v>
      </c>
    </row>
    <row r="68" spans="1:2">
      <c r="A68" t="s">
        <v>7509</v>
      </c>
      <c r="B68" t="s">
        <v>2463</v>
      </c>
    </row>
    <row r="69" spans="1:2">
      <c r="A69" t="s">
        <v>7510</v>
      </c>
      <c r="B69" t="s">
        <v>2463</v>
      </c>
    </row>
    <row r="70" spans="1:2">
      <c r="A70" t="s">
        <v>7511</v>
      </c>
      <c r="B70" t="s">
        <v>2463</v>
      </c>
    </row>
    <row r="71" spans="1:2">
      <c r="A71" t="s">
        <v>7512</v>
      </c>
      <c r="B71" t="s">
        <v>2463</v>
      </c>
    </row>
    <row r="72" spans="1:2">
      <c r="A72" t="s">
        <v>7513</v>
      </c>
      <c r="B72" t="s">
        <v>2463</v>
      </c>
    </row>
    <row r="73" spans="1:2">
      <c r="A73" t="s">
        <v>7514</v>
      </c>
      <c r="B73" t="s">
        <v>2463</v>
      </c>
    </row>
    <row r="74" spans="1:2">
      <c r="A74" t="s">
        <v>7515</v>
      </c>
      <c r="B74" t="s">
        <v>2463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96109-2AC8-478D-80E3-2D788CAA96EB}">
  <dimension ref="A1:B28"/>
  <sheetViews>
    <sheetView workbookViewId="0">
      <selection activeCell="A10" sqref="A10"/>
    </sheetView>
  </sheetViews>
  <sheetFormatPr defaultRowHeight="15"/>
  <cols>
    <col min="1" max="1" width="52.28515625" bestFit="1" customWidth="1"/>
    <col min="2" max="2" width="27.7109375" bestFit="1" customWidth="1"/>
  </cols>
  <sheetData>
    <row r="1" spans="1:2">
      <c r="A1" t="s">
        <v>6742</v>
      </c>
    </row>
    <row r="2" spans="1:2">
      <c r="A2" t="s">
        <v>6743</v>
      </c>
    </row>
    <row r="3" spans="1:2">
      <c r="A3" t="s">
        <v>7342</v>
      </c>
      <c r="B3" t="s">
        <v>7407</v>
      </c>
    </row>
    <row r="4" spans="1:2">
      <c r="A4" t="s">
        <v>7366</v>
      </c>
      <c r="B4" t="s">
        <v>7365</v>
      </c>
    </row>
    <row r="5" spans="1:2">
      <c r="A5" t="s">
        <v>7367</v>
      </c>
      <c r="B5" t="s">
        <v>7408</v>
      </c>
    </row>
    <row r="6" spans="1:2">
      <c r="A6" t="s">
        <v>7361</v>
      </c>
      <c r="B6" t="s">
        <v>6828</v>
      </c>
    </row>
    <row r="7" spans="1:2">
      <c r="A7" t="s">
        <v>7362</v>
      </c>
      <c r="B7" t="s">
        <v>426</v>
      </c>
    </row>
    <row r="8" spans="1:2">
      <c r="A8" t="s">
        <v>7363</v>
      </c>
      <c r="B8" t="s">
        <v>426</v>
      </c>
    </row>
    <row r="9" spans="1:2">
      <c r="A9" t="s">
        <v>7378</v>
      </c>
      <c r="B9" t="s">
        <v>7406</v>
      </c>
    </row>
    <row r="10" spans="1:2">
      <c r="A10" t="s">
        <v>7412</v>
      </c>
      <c r="B10" t="s">
        <v>7409</v>
      </c>
    </row>
    <row r="11" spans="1:2">
      <c r="A11" t="s">
        <v>7413</v>
      </c>
      <c r="B11" t="s">
        <v>7409</v>
      </c>
    </row>
    <row r="12" spans="1:2">
      <c r="A12" t="s">
        <v>7414</v>
      </c>
      <c r="B12" t="s">
        <v>7409</v>
      </c>
    </row>
    <row r="13" spans="1:2">
      <c r="A13" t="s">
        <v>7415</v>
      </c>
      <c r="B13" t="s">
        <v>7409</v>
      </c>
    </row>
    <row r="14" spans="1:2">
      <c r="A14" t="s">
        <v>7416</v>
      </c>
      <c r="B14" t="s">
        <v>7409</v>
      </c>
    </row>
    <row r="15" spans="1:2">
      <c r="A15" t="s">
        <v>7414</v>
      </c>
      <c r="B15" t="s">
        <v>7409</v>
      </c>
    </row>
    <row r="16" spans="1:2">
      <c r="A16" t="s">
        <v>7417</v>
      </c>
      <c r="B16" t="s">
        <v>7409</v>
      </c>
    </row>
    <row r="17" spans="1:2">
      <c r="A17" t="s">
        <v>7418</v>
      </c>
      <c r="B17" t="s">
        <v>7409</v>
      </c>
    </row>
    <row r="18" spans="1:2">
      <c r="A18" t="s">
        <v>7419</v>
      </c>
      <c r="B18" t="s">
        <v>7409</v>
      </c>
    </row>
    <row r="19" spans="1:2">
      <c r="A19" t="s">
        <v>7420</v>
      </c>
      <c r="B19" t="s">
        <v>7409</v>
      </c>
    </row>
    <row r="20" spans="1:2">
      <c r="A20" t="s">
        <v>7421</v>
      </c>
      <c r="B20" t="s">
        <v>7409</v>
      </c>
    </row>
    <row r="21" spans="1:2">
      <c r="A21" t="s">
        <v>7422</v>
      </c>
      <c r="B21" t="s">
        <v>7409</v>
      </c>
    </row>
    <row r="22" spans="1:2">
      <c r="A22" t="s">
        <v>7423</v>
      </c>
      <c r="B22" t="s">
        <v>7409</v>
      </c>
    </row>
    <row r="23" spans="1:2">
      <c r="A23" t="s">
        <v>7424</v>
      </c>
      <c r="B23" t="s">
        <v>7409</v>
      </c>
    </row>
    <row r="24" spans="1:2">
      <c r="A24" t="s">
        <v>7425</v>
      </c>
      <c r="B24" t="s">
        <v>7409</v>
      </c>
    </row>
    <row r="25" spans="1:2">
      <c r="A25" t="s">
        <v>7426</v>
      </c>
      <c r="B25" t="s">
        <v>7409</v>
      </c>
    </row>
    <row r="26" spans="1:2">
      <c r="A26" t="s">
        <v>7428</v>
      </c>
      <c r="B26" t="s">
        <v>7431</v>
      </c>
    </row>
    <row r="27" spans="1:2">
      <c r="A27" t="s">
        <v>7429</v>
      </c>
      <c r="B27" t="s">
        <v>7431</v>
      </c>
    </row>
    <row r="28" spans="1:2">
      <c r="A28" t="s">
        <v>7430</v>
      </c>
      <c r="B28" t="s">
        <v>7432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AE188-DEAB-495D-A481-0C678FA34055}">
  <dimension ref="A1:B17"/>
  <sheetViews>
    <sheetView workbookViewId="0">
      <selection activeCell="A6" sqref="A6"/>
    </sheetView>
  </sheetViews>
  <sheetFormatPr defaultRowHeight="15"/>
  <cols>
    <col min="1" max="1" width="52.28515625" bestFit="1" customWidth="1"/>
    <col min="2" max="2" width="28.85546875" bestFit="1" customWidth="1"/>
  </cols>
  <sheetData>
    <row r="1" spans="1:2">
      <c r="A1" t="s">
        <v>3430</v>
      </c>
      <c r="B1" t="s">
        <v>2371</v>
      </c>
    </row>
    <row r="2" spans="1:2">
      <c r="A2" t="s">
        <v>7378</v>
      </c>
      <c r="B2" t="s">
        <v>7406</v>
      </c>
    </row>
    <row r="3" spans="1:2">
      <c r="A3" t="s">
        <v>2089</v>
      </c>
      <c r="B3" t="s">
        <v>2092</v>
      </c>
    </row>
    <row r="4" spans="1:2">
      <c r="A4" t="s">
        <v>2090</v>
      </c>
      <c r="B4" t="s">
        <v>2093</v>
      </c>
    </row>
    <row r="5" spans="1:2">
      <c r="A5" t="s">
        <v>7382</v>
      </c>
      <c r="B5" t="s">
        <v>7191</v>
      </c>
    </row>
    <row r="6" spans="1:2">
      <c r="A6" t="s">
        <v>7383</v>
      </c>
      <c r="B6" t="s">
        <v>7191</v>
      </c>
    </row>
    <row r="7" spans="1:2">
      <c r="A7" t="s">
        <v>7385</v>
      </c>
    </row>
    <row r="8" spans="1:2">
      <c r="A8" t="s">
        <v>7386</v>
      </c>
      <c r="B8" s="149" t="s">
        <v>4100</v>
      </c>
    </row>
    <row r="9" spans="1:2">
      <c r="A9" t="s">
        <v>7387</v>
      </c>
      <c r="B9" t="s">
        <v>7401</v>
      </c>
    </row>
    <row r="10" spans="1:2">
      <c r="A10" t="s">
        <v>7388</v>
      </c>
      <c r="B10" t="s">
        <v>7402</v>
      </c>
    </row>
    <row r="11" spans="1:2">
      <c r="A11" t="s">
        <v>7389</v>
      </c>
      <c r="B11" t="s">
        <v>7302</v>
      </c>
    </row>
    <row r="12" spans="1:2">
      <c r="A12" t="s">
        <v>7390</v>
      </c>
      <c r="B12" t="s">
        <v>7403</v>
      </c>
    </row>
    <row r="13" spans="1:2">
      <c r="A13" t="s">
        <v>7391</v>
      </c>
      <c r="B13" t="s">
        <v>7404</v>
      </c>
    </row>
    <row r="14" spans="1:2">
      <c r="A14" t="s">
        <v>2089</v>
      </c>
      <c r="B14" t="s">
        <v>2092</v>
      </c>
    </row>
    <row r="15" spans="1:2">
      <c r="A15" t="s">
        <v>2090</v>
      </c>
      <c r="B15" t="s">
        <v>2093</v>
      </c>
    </row>
    <row r="16" spans="1:2">
      <c r="A16" t="s">
        <v>7397</v>
      </c>
      <c r="B16" t="s">
        <v>3382</v>
      </c>
    </row>
    <row r="17" spans="1:2">
      <c r="A17" t="s">
        <v>7398</v>
      </c>
      <c r="B17" t="s">
        <v>3381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28FA-BC6C-41CA-A547-B93B607F92D0}">
  <dimension ref="A1:C12"/>
  <sheetViews>
    <sheetView workbookViewId="0">
      <selection sqref="A1:C12"/>
    </sheetView>
  </sheetViews>
  <sheetFormatPr defaultRowHeight="15"/>
  <cols>
    <col min="1" max="1" width="11.28515625" bestFit="1" customWidth="1"/>
    <col min="3" max="3" width="11.28515625" bestFit="1" customWidth="1"/>
  </cols>
  <sheetData>
    <row r="1" spans="1:3">
      <c r="A1">
        <v>1000</v>
      </c>
      <c r="B1" t="s">
        <v>7405</v>
      </c>
    </row>
    <row r="2" spans="1:3">
      <c r="A2" s="180" t="s">
        <v>631</v>
      </c>
      <c r="C2" t="s">
        <v>7554</v>
      </c>
    </row>
    <row r="3" spans="1:3">
      <c r="A3" s="179" t="s">
        <v>631</v>
      </c>
      <c r="C3" t="s">
        <v>7555</v>
      </c>
    </row>
    <row r="4" spans="1:3">
      <c r="A4" s="180" t="s">
        <v>631</v>
      </c>
      <c r="C4" t="s">
        <v>7556</v>
      </c>
    </row>
    <row r="5" spans="1:3">
      <c r="A5" s="179" t="s">
        <v>631</v>
      </c>
      <c r="C5" t="s">
        <v>7557</v>
      </c>
    </row>
    <row r="6" spans="1:3">
      <c r="A6" s="180" t="s">
        <v>631</v>
      </c>
      <c r="C6" t="s">
        <v>7558</v>
      </c>
    </row>
    <row r="7" spans="1:3">
      <c r="A7" s="179" t="s">
        <v>631</v>
      </c>
      <c r="C7" t="s">
        <v>7559</v>
      </c>
    </row>
    <row r="8" spans="1:3">
      <c r="A8" s="180" t="s">
        <v>631</v>
      </c>
      <c r="C8" t="s">
        <v>7560</v>
      </c>
    </row>
    <row r="9" spans="1:3">
      <c r="A9" s="179" t="s">
        <v>631</v>
      </c>
      <c r="C9" t="s">
        <v>7561</v>
      </c>
    </row>
    <row r="10" spans="1:3">
      <c r="A10" s="180" t="s">
        <v>631</v>
      </c>
      <c r="C10" t="s">
        <v>7562</v>
      </c>
    </row>
    <row r="11" spans="1:3">
      <c r="A11" s="179" t="s">
        <v>631</v>
      </c>
      <c r="C11" t="s">
        <v>7563</v>
      </c>
    </row>
    <row r="12" spans="1:3">
      <c r="A12" s="180" t="s">
        <v>631</v>
      </c>
      <c r="C12" t="s">
        <v>7564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A5DB4-FC2A-458D-BDAB-15D0EA7B16C8}">
  <sheetPr codeName="Sheet11"/>
  <dimension ref="A1:B39"/>
  <sheetViews>
    <sheetView workbookViewId="0">
      <selection activeCell="A29" sqref="A29"/>
    </sheetView>
  </sheetViews>
  <sheetFormatPr defaultRowHeight="15"/>
  <cols>
    <col min="1" max="1" width="30.42578125" bestFit="1" customWidth="1"/>
    <col min="2" max="2" width="28.85546875" bestFit="1" customWidth="1"/>
    <col min="3" max="3" width="16.42578125" bestFit="1" customWidth="1"/>
  </cols>
  <sheetData>
    <row r="1" spans="1:2">
      <c r="A1" t="s">
        <v>2089</v>
      </c>
      <c r="B1" t="s">
        <v>2092</v>
      </c>
    </row>
    <row r="2" spans="1:2">
      <c r="A2" t="s">
        <v>2090</v>
      </c>
      <c r="B2" t="s">
        <v>2093</v>
      </c>
    </row>
    <row r="3" spans="1:2">
      <c r="A3" t="s">
        <v>7382</v>
      </c>
      <c r="B3" t="s">
        <v>7191</v>
      </c>
    </row>
    <row r="4" spans="1:2">
      <c r="A4" t="s">
        <v>7383</v>
      </c>
      <c r="B4" t="s">
        <v>7191</v>
      </c>
    </row>
    <row r="5" spans="1:2">
      <c r="A5" t="s">
        <v>7385</v>
      </c>
    </row>
    <row r="6" spans="1:2">
      <c r="A6" t="s">
        <v>7386</v>
      </c>
      <c r="B6" s="149" t="s">
        <v>4100</v>
      </c>
    </row>
    <row r="7" spans="1:2">
      <c r="A7" t="s">
        <v>7387</v>
      </c>
      <c r="B7" t="s">
        <v>7401</v>
      </c>
    </row>
    <row r="8" spans="1:2">
      <c r="A8" t="s">
        <v>7388</v>
      </c>
      <c r="B8" t="s">
        <v>7402</v>
      </c>
    </row>
    <row r="9" spans="1:2">
      <c r="A9" t="s">
        <v>7389</v>
      </c>
      <c r="B9" t="s">
        <v>7302</v>
      </c>
    </row>
    <row r="10" spans="1:2">
      <c r="A10" t="s">
        <v>7390</v>
      </c>
      <c r="B10" t="s">
        <v>7403</v>
      </c>
    </row>
    <row r="11" spans="1:2">
      <c r="A11" t="s">
        <v>7391</v>
      </c>
      <c r="B11" t="s">
        <v>7404</v>
      </c>
    </row>
    <row r="12" spans="1:2">
      <c r="A12" t="s">
        <v>2089</v>
      </c>
      <c r="B12" t="s">
        <v>2092</v>
      </c>
    </row>
    <row r="13" spans="1:2">
      <c r="A13" t="s">
        <v>2090</v>
      </c>
      <c r="B13" t="s">
        <v>2093</v>
      </c>
    </row>
    <row r="14" spans="1:2">
      <c r="A14" t="s">
        <v>7397</v>
      </c>
      <c r="B14" t="s">
        <v>3382</v>
      </c>
    </row>
    <row r="15" spans="1:2">
      <c r="A15" t="s">
        <v>7398</v>
      </c>
      <c r="B15" t="s">
        <v>3381</v>
      </c>
    </row>
    <row r="20" spans="1:2">
      <c r="A20" t="s">
        <v>7400</v>
      </c>
    </row>
    <row r="29" spans="1:2">
      <c r="B29" t="s">
        <v>7554</v>
      </c>
    </row>
    <row r="30" spans="1:2">
      <c r="B30" t="s">
        <v>7555</v>
      </c>
    </row>
    <row r="31" spans="1:2">
      <c r="B31" t="s">
        <v>7556</v>
      </c>
    </row>
    <row r="32" spans="1:2">
      <c r="B32" t="s">
        <v>7557</v>
      </c>
    </row>
    <row r="33" spans="2:2">
      <c r="B33" t="s">
        <v>7558</v>
      </c>
    </row>
    <row r="34" spans="2:2">
      <c r="B34" t="s">
        <v>7559</v>
      </c>
    </row>
    <row r="35" spans="2:2">
      <c r="B35" t="s">
        <v>7560</v>
      </c>
    </row>
    <row r="36" spans="2:2">
      <c r="B36" t="s">
        <v>7561</v>
      </c>
    </row>
    <row r="37" spans="2:2">
      <c r="B37" t="s">
        <v>7562</v>
      </c>
    </row>
    <row r="38" spans="2:2">
      <c r="B38" t="s">
        <v>7563</v>
      </c>
    </row>
    <row r="39" spans="2:2">
      <c r="B39" t="s">
        <v>7564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6"/>
  <sheetViews>
    <sheetView topLeftCell="A144" workbookViewId="0">
      <selection activeCell="A145" sqref="A145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  <row r="146" spans="1:2">
      <c r="A146" s="177" t="s">
        <v>7411</v>
      </c>
      <c r="B146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KPI</vt:lpstr>
      <vt:lpstr>Report</vt:lpstr>
      <vt:lpstr>OK</vt:lpstr>
      <vt:lpstr>PROC</vt:lpstr>
      <vt:lpstr>Sheet5</vt:lpstr>
      <vt:lpstr>Sheet4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2026-01-02T17:19:39Z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