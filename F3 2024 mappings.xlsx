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2728B8D9-434E-41DF-8008-6779733063A7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017" i="1" l="1"/>
  <c r="B5018" i="1"/>
  <c r="B5019" i="1"/>
  <c r="B5020" i="1"/>
  <c r="B5021" i="1"/>
  <c r="B5022" i="1"/>
  <c r="H5017" i="1"/>
  <c r="H5018" i="1"/>
  <c r="H5019" i="1"/>
  <c r="H5020" i="1"/>
  <c r="H5021" i="1"/>
  <c r="H5022" i="1"/>
  <c r="J5017" i="1"/>
  <c r="J5018" i="1"/>
  <c r="J5019" i="1"/>
  <c r="J5020" i="1"/>
  <c r="J5021" i="1"/>
  <c r="J5022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 l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 l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 l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 l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<sst xmlns="http://schemas.openxmlformats.org/spreadsheetml/2006/main" count="44440" uniqueCount="7258">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</sst>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72" formatCode="m/d/yyyy"/>
    </dxf>
    <dxf>
      <numFmt numFmtId="172" formatCode="m/d/yyyy"/>
    </dxf>
    <dxf>
      <numFmt numFmtId="172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93.795559953702" createdVersion="7" refreshedVersion="7" minRefreshableVersion="3" recordCount="5012" xr:uid="{11839AE3-6158-4318-87AD-2C711D0BF451}">
  <cacheSource type="worksheet">
    <worksheetSource name="Proc"/>
  </cacheSource>
  <cacheFields count="19">
    <cacheField name="App" numFmtId="0">
      <sharedItems containsBlank="1" count="163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0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2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1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1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1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1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1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1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1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4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4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4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4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0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0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0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9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9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5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5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5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5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5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5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5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5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5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5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5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5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5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5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5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5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5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5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5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5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5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5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5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5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5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5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5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5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5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5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5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5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5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5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5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5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5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5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5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5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5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5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5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5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5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5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5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5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5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5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5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5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5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5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5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5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5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5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5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5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5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5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5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5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5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5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5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5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5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5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5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5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5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5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5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5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5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5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5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5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5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5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5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5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5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5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5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5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5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5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5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5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5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5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5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5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5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5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5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5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5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5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5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5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5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1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0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0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0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0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0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0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0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9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9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9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8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8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8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8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8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8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8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8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8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8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8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8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8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8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8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8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8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8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8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8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8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8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8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8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8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8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8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8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8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8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8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8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8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8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8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8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8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7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6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6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5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5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5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5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72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72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72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72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72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72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72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72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72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72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72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72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72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1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1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1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1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0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0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0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0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0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0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0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0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0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0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0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0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0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0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0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0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0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0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0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0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0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0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0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0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0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0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0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0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0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0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0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0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0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0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0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0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0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0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0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0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0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0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0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0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0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0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0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0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0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0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0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0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0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0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0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0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0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0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0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0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0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0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0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0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0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0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0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0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0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0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0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0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0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0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0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0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0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0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0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0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0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0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0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0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0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0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0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0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0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0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0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0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0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0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0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0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0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0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0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0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0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0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0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0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0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0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0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0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0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0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0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0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0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0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0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0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0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0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0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0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0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0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0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0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0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0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8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8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8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8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8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8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8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8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8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8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6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6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6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6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6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6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6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6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6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6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6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6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5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5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5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5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5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5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5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5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5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5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5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5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5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5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5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5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5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5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5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5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5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5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5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5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5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5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5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5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5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5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5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5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5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5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5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5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5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5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5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5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5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5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5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5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5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5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5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5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5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5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5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5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5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5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5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5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5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5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5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5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5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5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5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5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5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5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5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5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5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5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5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5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5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5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5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5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5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5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5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5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5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5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5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5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5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5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5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5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5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5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5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5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5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5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5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5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5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5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5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5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5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5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5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5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5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5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5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5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5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5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5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5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5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5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5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1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1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1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1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1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1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1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1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1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1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1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1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0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0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0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0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0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0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0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0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0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0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0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0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0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0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0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0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0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0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7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7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7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7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7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7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7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7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7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6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5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5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5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5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5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5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4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4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4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53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53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53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53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53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53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52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52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52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52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52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52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52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52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52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52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52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52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9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9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9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9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9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9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9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9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9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9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9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9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9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9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9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9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9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9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9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9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9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8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8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5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4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4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4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4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4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4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42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42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42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42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42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42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42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42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42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42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42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42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42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42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42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42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42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42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0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0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0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0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0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0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0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0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0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0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0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0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0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0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0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0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33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33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33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33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33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9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9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9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9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9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9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9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9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9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9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9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9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9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9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9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9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9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9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9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9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9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9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9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9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9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9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9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9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9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8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7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6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6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6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6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6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6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6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6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6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6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6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6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6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6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6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6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6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6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6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6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6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6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6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6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5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5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5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5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5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5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5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5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5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5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5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5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5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5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5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5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5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5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5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5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5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5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5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5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4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27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27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22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22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22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22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22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22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22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22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22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22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22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22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22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22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22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22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22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22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22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22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0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0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0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0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0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0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0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0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0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0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0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0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0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0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0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0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0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0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0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0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0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0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0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0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0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0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0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0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0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9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7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7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7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4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4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4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4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4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1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1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1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1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1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1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0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0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0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0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0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8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6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6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6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6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6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6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6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6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6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6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6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6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6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6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6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6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6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6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6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6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6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6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6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6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6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6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6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6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6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6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6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6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6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0"/>
    <n v="5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0"/>
    <n v="5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0"/>
    <n v="5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0"/>
    <n v="5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0"/>
    <n v="5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0"/>
    <n v="5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0"/>
    <n v="5"/>
    <s v="Ruby Grace Garcia"/>
    <m/>
  </r>
  <r>
    <x v="448"/>
    <x v="1"/>
    <x v="2"/>
    <s v="CLFF_1000$$$DE10F27300"/>
    <s v="G000000847"/>
    <s v="G000000847"/>
    <s v="LFF (MDG-F)"/>
    <s v="DE10F27300"/>
    <m/>
    <b v="1"/>
    <x v="0"/>
    <x v="0"/>
    <d v="2025-11-27T00:00:00"/>
    <m/>
    <m/>
    <x v="0"/>
    <n v="3"/>
    <s v="Manuel Walther"/>
    <m/>
  </r>
  <r>
    <x v="448"/>
    <x v="1"/>
    <x v="2"/>
    <s v="CLFF_1000$$$DE10566115"/>
    <s v="G000000431"/>
    <s v="G000000431"/>
    <s v="LFF (MDG-F)"/>
    <s v="DE10566115"/>
    <m/>
    <b v="1"/>
    <x v="0"/>
    <x v="0"/>
    <d v="2025-11-27T00:00:00"/>
    <m/>
    <m/>
    <x v="0"/>
    <n v="3"/>
    <s v="Manuel Walther"/>
    <m/>
  </r>
  <r>
    <x v="448"/>
    <x v="1"/>
    <x v="2"/>
    <s v="CLFF_1000$$$DE10566116"/>
    <s v="G000000431"/>
    <s v="G000000431"/>
    <s v="LFF (MDG-F)"/>
    <s v="DE10566116"/>
    <m/>
    <b v="1"/>
    <x v="0"/>
    <x v="0"/>
    <d v="2025-11-27T00:00:00"/>
    <m/>
    <m/>
    <x v="0"/>
    <n v="3"/>
    <s v="Manuel Walther"/>
    <m/>
  </r>
  <r>
    <x v="448"/>
    <x v="1"/>
    <x v="2"/>
    <s v="CLFF_1000$$$DE10566118"/>
    <s v="G000000431"/>
    <s v="G000000431"/>
    <s v="LFF (MDG-F)"/>
    <s v="DE10566118"/>
    <m/>
    <b v="1"/>
    <x v="0"/>
    <x v="0"/>
    <d v="2025-11-27T00:00:00"/>
    <m/>
    <m/>
    <x v="0"/>
    <n v="3"/>
    <s v="Manuel Walther"/>
    <m/>
  </r>
  <r>
    <x v="448"/>
    <x v="1"/>
    <x v="2"/>
    <s v="CLFF_1000$$$DE10566120"/>
    <s v="G000000431"/>
    <s v="G000000431"/>
    <s v="LFF (MDG-F)"/>
    <s v="DE10566120"/>
    <m/>
    <b v="1"/>
    <x v="0"/>
    <x v="0"/>
    <d v="2025-11-27T00:00:00"/>
    <m/>
    <m/>
    <x v="0"/>
    <n v="3"/>
    <s v="Manuel Walther"/>
    <m/>
  </r>
  <r>
    <x v="448"/>
    <x v="1"/>
    <x v="2"/>
    <s v="CLFF_1000$$$DE10566121"/>
    <s v="G000000431"/>
    <s v="G000000431"/>
    <s v="LFF (MDG-F)"/>
    <s v="DE10566121"/>
    <m/>
    <b v="1"/>
    <x v="0"/>
    <x v="0"/>
    <d v="2025-11-27T00:00:00"/>
    <m/>
    <m/>
    <x v="0"/>
    <n v="3"/>
    <s v="Manuel Walther"/>
    <m/>
  </r>
  <r>
    <x v="448"/>
    <x v="1"/>
    <x v="2"/>
    <s v="CLFF_1000$$$DE10566122"/>
    <s v="G000000431"/>
    <s v="G000000431"/>
    <s v="LFF (MDG-F)"/>
    <s v="DE10566122"/>
    <m/>
    <b v="1"/>
    <x v="0"/>
    <x v="0"/>
    <d v="2025-11-27T00:00:00"/>
    <m/>
    <m/>
    <x v="0"/>
    <n v="3"/>
    <s v="Manuel Walther"/>
    <m/>
  </r>
  <r>
    <x v="448"/>
    <x v="1"/>
    <x v="2"/>
    <s v="CLFF_1000$$$DE10566125"/>
    <s v="G000000431"/>
    <s v="G000000431"/>
    <s v="LFF (MDG-F)"/>
    <s v="DE10566125"/>
    <m/>
    <b v="1"/>
    <x v="0"/>
    <x v="0"/>
    <d v="2025-11-27T00:00:00"/>
    <m/>
    <m/>
    <x v="0"/>
    <n v="3"/>
    <s v="Manuel Walther"/>
    <m/>
  </r>
  <r>
    <x v="448"/>
    <x v="1"/>
    <x v="2"/>
    <s v="CLFF_1000$$$DE10566127"/>
    <s v="G000000431"/>
    <s v="G000000431"/>
    <s v="LFF (MDG-F)"/>
    <s v="DE10566127"/>
    <m/>
    <b v="1"/>
    <x v="0"/>
    <x v="0"/>
    <d v="2025-11-27T00:00:00"/>
    <m/>
    <m/>
    <x v="0"/>
    <n v="3"/>
    <s v="Manuel Walther"/>
    <m/>
  </r>
  <r>
    <x v="448"/>
    <x v="1"/>
    <x v="2"/>
    <s v="CLFF_1000$$$DE10E16300"/>
    <s v="G000000847"/>
    <s v="G000000847"/>
    <s v="LFF (MDG-F)"/>
    <s v="DE10E16300"/>
    <m/>
    <b v="1"/>
    <x v="0"/>
    <x v="0"/>
    <d v="2025-11-27T00:00:00"/>
    <m/>
    <m/>
    <x v="0"/>
    <n v="3"/>
    <s v="Manuel Walther"/>
    <m/>
  </r>
  <r>
    <x v="448"/>
    <x v="1"/>
    <x v="2"/>
    <s v="CLFF_1000$$$DE10E16600"/>
    <s v="G000000847"/>
    <s v="G000000847"/>
    <s v="LFF (MDG-F)"/>
    <s v="DE10E16600"/>
    <m/>
    <b v="1"/>
    <x v="0"/>
    <x v="0"/>
    <d v="2025-11-27T00:00:00"/>
    <m/>
    <m/>
    <x v="0"/>
    <n v="3"/>
    <s v="Manuel Walther"/>
    <m/>
  </r>
  <r>
    <x v="448"/>
    <x v="1"/>
    <x v="2"/>
    <s v="CLFF_1000$$$DE10E38020"/>
    <s v="G000000847"/>
    <s v="G000000847"/>
    <s v="LFF (MDG-F)"/>
    <s v="DE10E38020"/>
    <m/>
    <b v="1"/>
    <x v="0"/>
    <x v="0"/>
    <d v="2025-11-27T00:00:00"/>
    <m/>
    <m/>
    <x v="0"/>
    <n v="3"/>
    <s v="Manuel Walther"/>
    <m/>
  </r>
  <r>
    <x v="448"/>
    <x v="1"/>
    <x v="2"/>
    <s v="CLFF_1000$$$DE10E38800"/>
    <s v="G000000848"/>
    <s v="G000000848"/>
    <s v="LFF (MDG-F)"/>
    <s v="DE10E38800"/>
    <m/>
    <b v="1"/>
    <x v="0"/>
    <x v="0"/>
    <d v="2025-11-27T00:00:00"/>
    <m/>
    <m/>
    <x v="0"/>
    <n v="3"/>
    <s v="Manuel Walther"/>
    <m/>
  </r>
  <r>
    <x v="448"/>
    <x v="1"/>
    <x v="2"/>
    <s v="CLFF_1000$$$DE10E38810"/>
    <s v="G000000847"/>
    <s v="G000000847"/>
    <s v="LFF (MDG-F)"/>
    <s v="DE10E38810"/>
    <m/>
    <b v="1"/>
    <x v="0"/>
    <x v="0"/>
    <d v="2025-11-27T00:00:00"/>
    <m/>
    <m/>
    <x v="0"/>
    <n v="3"/>
    <s v="Manuel Walther"/>
    <m/>
  </r>
  <r>
    <x v="448"/>
    <x v="1"/>
    <x v="2"/>
    <s v="CLFF_1000$$$DE10E61000"/>
    <s v="G000000847"/>
    <s v="G000000847"/>
    <s v="LFF (MDG-F)"/>
    <s v="DE10E61000"/>
    <m/>
    <b v="1"/>
    <x v="0"/>
    <x v="0"/>
    <d v="2025-11-27T00:00:00"/>
    <m/>
    <m/>
    <x v="0"/>
    <n v="3"/>
    <s v="Manuel Walther"/>
    <m/>
  </r>
  <r>
    <x v="448"/>
    <x v="1"/>
    <x v="2"/>
    <s v="CLFF_1000$$$DE10E61100"/>
    <s v="G000000847"/>
    <s v="G000000847"/>
    <s v="LFF (MDG-F)"/>
    <s v="DE10E61100"/>
    <m/>
    <b v="1"/>
    <x v="0"/>
    <x v="0"/>
    <d v="2025-11-27T00:00:00"/>
    <m/>
    <m/>
    <x v="0"/>
    <n v="3"/>
    <s v="Manuel Walther"/>
    <m/>
  </r>
  <r>
    <x v="448"/>
    <x v="1"/>
    <x v="6"/>
    <s v="CLFF_1000$$$DE10E61200"/>
    <s v="G000000847"/>
    <m/>
    <s v="LFF (MDG-F)"/>
    <s v="DE10E61200"/>
    <m/>
    <b v="0"/>
    <x v="0"/>
    <x v="0"/>
    <d v="2025-11-27T00:00:00"/>
    <m/>
    <m/>
    <x v="0"/>
    <n v="3"/>
    <s v="Manuel Walther"/>
    <m/>
  </r>
  <r>
    <x v="448"/>
    <x v="1"/>
    <x v="2"/>
    <s v="CLFF_1000$$$DE10E61900"/>
    <s v="G000000847"/>
    <s v="G000000847"/>
    <s v="LFF (MDG-F)"/>
    <s v="DE10E61900"/>
    <m/>
    <b v="1"/>
    <x v="0"/>
    <x v="0"/>
    <d v="2025-11-27T00:00:00"/>
    <m/>
    <m/>
    <x v="0"/>
    <n v="3"/>
    <s v="Manuel Walther"/>
    <m/>
  </r>
  <r>
    <x v="448"/>
    <x v="1"/>
    <x v="2"/>
    <s v="CLFF_1000$$$DE10F11900"/>
    <s v="G000000847"/>
    <s v="G000000847"/>
    <s v="LFF (MDG-F)"/>
    <s v="DE10F11900"/>
    <m/>
    <b v="1"/>
    <x v="0"/>
    <x v="0"/>
    <d v="2025-11-27T00:00:00"/>
    <m/>
    <m/>
    <x v="0"/>
    <n v="3"/>
    <s v="Manuel Walther"/>
    <m/>
  </r>
  <r>
    <x v="448"/>
    <x v="1"/>
    <x v="2"/>
    <s v="CLFF_1000$$$DE10F16000"/>
    <s v="G000000848"/>
    <s v="G000000848"/>
    <s v="LFF (MDG-F)"/>
    <s v="DE10F16000"/>
    <m/>
    <b v="1"/>
    <x v="0"/>
    <x v="0"/>
    <d v="2025-11-27T00:00:00"/>
    <m/>
    <m/>
    <x v="0"/>
    <n v="3"/>
    <s v="Manuel Walther"/>
    <m/>
  </r>
  <r>
    <x v="448"/>
    <x v="1"/>
    <x v="2"/>
    <s v="CLFF_1000$$$DE10F16010"/>
    <s v="G000000847"/>
    <s v="G000000847"/>
    <s v="LFF (MDG-F)"/>
    <s v="DE10F16010"/>
    <m/>
    <b v="1"/>
    <x v="0"/>
    <x v="0"/>
    <d v="2025-11-27T00:00:00"/>
    <m/>
    <m/>
    <x v="0"/>
    <n v="3"/>
    <s v="Manuel Walther"/>
    <m/>
  </r>
  <r>
    <x v="448"/>
    <x v="1"/>
    <x v="2"/>
    <s v="CLFF_1000$$$DE10F16100"/>
    <s v="G000000847"/>
    <s v="G000000847"/>
    <s v="LFF (MDG-F)"/>
    <s v="DE10F16100"/>
    <m/>
    <b v="1"/>
    <x v="0"/>
    <x v="0"/>
    <d v="2025-11-27T00:00:00"/>
    <m/>
    <m/>
    <x v="0"/>
    <n v="3"/>
    <s v="Manuel Walther"/>
    <m/>
  </r>
  <r>
    <x v="448"/>
    <x v="1"/>
    <x v="2"/>
    <s v="CLFF_1000$$$DE10F16200"/>
    <s v="G000000847"/>
    <s v="G000000847"/>
    <s v="LFF (MDG-F)"/>
    <s v="DE10F16200"/>
    <m/>
    <b v="1"/>
    <x v="0"/>
    <x v="0"/>
    <d v="2025-11-27T00:00:00"/>
    <m/>
    <m/>
    <x v="0"/>
    <n v="3"/>
    <s v="Manuel Walther"/>
    <m/>
  </r>
  <r>
    <x v="448"/>
    <x v="1"/>
    <x v="2"/>
    <s v="CLFF_1000$$$DE10F16300"/>
    <s v="G000000847"/>
    <s v="G000000847"/>
    <s v="LFF (MDG-F)"/>
    <s v="DE10F16300"/>
    <m/>
    <b v="1"/>
    <x v="0"/>
    <x v="0"/>
    <d v="2025-11-27T00:00:00"/>
    <m/>
    <m/>
    <x v="0"/>
    <n v="3"/>
    <s v="Manuel Walther"/>
    <m/>
  </r>
  <r>
    <x v="448"/>
    <x v="1"/>
    <x v="2"/>
    <s v="CLFF_1000$$$DE10F16500"/>
    <s v="G000000847"/>
    <s v="G000000847"/>
    <s v="LFF (MDG-F)"/>
    <s v="DE10F16500"/>
    <m/>
    <b v="1"/>
    <x v="0"/>
    <x v="0"/>
    <d v="2025-11-27T00:00:00"/>
    <m/>
    <m/>
    <x v="0"/>
    <n v="3"/>
    <s v="Manuel Walther"/>
    <m/>
  </r>
  <r>
    <x v="448"/>
    <x v="1"/>
    <x v="2"/>
    <s v="CLFF_1000$$$DE10F16600"/>
    <s v="G000000847"/>
    <s v="G000000847"/>
    <s v="LFF (MDG-F)"/>
    <s v="DE10F16600"/>
    <m/>
    <b v="1"/>
    <x v="0"/>
    <x v="0"/>
    <d v="2025-11-27T00:00:00"/>
    <m/>
    <m/>
    <x v="0"/>
    <n v="3"/>
    <s v="Manuel Walther"/>
    <m/>
  </r>
  <r>
    <x v="448"/>
    <x v="1"/>
    <x v="2"/>
    <s v="CLFF_1000$$$DE10F16700"/>
    <s v="G000000847"/>
    <s v="G000000847"/>
    <s v="LFF (MDG-F)"/>
    <s v="DE10F16700"/>
    <m/>
    <b v="1"/>
    <x v="0"/>
    <x v="0"/>
    <d v="2025-11-27T00:00:00"/>
    <m/>
    <m/>
    <x v="0"/>
    <n v="3"/>
    <s v="Manuel Walther"/>
    <m/>
  </r>
  <r>
    <x v="448"/>
    <x v="1"/>
    <x v="2"/>
    <s v="CLFF_1000$$$DE10F27301"/>
    <s v="G000000848"/>
    <s v="G000000848"/>
    <s v="LFF (MDG-F)"/>
    <s v="DE10F27301"/>
    <m/>
    <b v="1"/>
    <x v="0"/>
    <x v="0"/>
    <d v="2025-11-27T00:00:00"/>
    <m/>
    <m/>
    <x v="0"/>
    <n v="3"/>
    <s v="Manuel Walther"/>
    <m/>
  </r>
  <r>
    <x v="448"/>
    <x v="1"/>
    <x v="2"/>
    <s v="CLFF_1000$$$DE10E09200"/>
    <s v="G000000848"/>
    <s v="G000000848"/>
    <s v="LFF (MDG-F)"/>
    <s v="DE10E09200"/>
    <m/>
    <b v="1"/>
    <x v="0"/>
    <x v="0"/>
    <d v="2025-11-27T00:00:00"/>
    <m/>
    <m/>
    <x v="0"/>
    <n v="3"/>
    <s v="Manuel Walther"/>
    <m/>
  </r>
  <r>
    <x v="448"/>
    <x v="1"/>
    <x v="2"/>
    <s v="CLFF_1000$$$DE10E47200"/>
    <s v="G000000847"/>
    <s v="G000000847"/>
    <s v="LFF (MDG-F)"/>
    <s v="DE10E47200"/>
    <m/>
    <b v="1"/>
    <x v="0"/>
    <x v="0"/>
    <d v="2025-11-27T00:00:00"/>
    <m/>
    <m/>
    <x v="0"/>
    <n v="3"/>
    <s v="Manuel Walther"/>
    <m/>
  </r>
  <r>
    <x v="448"/>
    <x v="1"/>
    <x v="2"/>
    <s v="CLFF_1000$$$DE10F10600"/>
    <s v="G000000847"/>
    <s v="G000000847"/>
    <s v="LFF (MDG-F)"/>
    <s v="DE10F10600"/>
    <m/>
    <b v="1"/>
    <x v="0"/>
    <x v="0"/>
    <d v="2025-11-27T00:00:00"/>
    <m/>
    <m/>
    <x v="0"/>
    <n v="3"/>
    <s v="Manuel Walther"/>
    <m/>
  </r>
  <r>
    <x v="448"/>
    <x v="1"/>
    <x v="2"/>
    <s v="CLFF_1000$$$DE10F10900"/>
    <s v="G000000847"/>
    <s v="G000000847"/>
    <s v="LFF (MDG-F)"/>
    <s v="DE10F10900"/>
    <m/>
    <b v="1"/>
    <x v="0"/>
    <x v="0"/>
    <d v="2025-11-27T00:00:00"/>
    <m/>
    <m/>
    <x v="0"/>
    <n v="3"/>
    <s v="Manuel Walther"/>
    <m/>
  </r>
  <r>
    <x v="448"/>
    <x v="1"/>
    <x v="2"/>
    <s v="CLFF_1000$$$DE10F15400"/>
    <s v="G000000848"/>
    <s v="G000000848"/>
    <s v="LFF (MDG-F)"/>
    <s v="DE10F15400"/>
    <m/>
    <b v="1"/>
    <x v="0"/>
    <x v="0"/>
    <d v="2025-11-27T00:00:00"/>
    <m/>
    <m/>
    <x v="0"/>
    <n v="3"/>
    <s v="Manuel Walther"/>
    <m/>
  </r>
  <r>
    <x v="448"/>
    <x v="1"/>
    <x v="2"/>
    <s v="CLFF_1000$$$DE10F15410"/>
    <s v="G000000847"/>
    <s v="G000000847"/>
    <s v="LFF (MDG-F)"/>
    <s v="DE10F15410"/>
    <m/>
    <b v="1"/>
    <x v="0"/>
    <x v="0"/>
    <d v="2025-11-27T00:00:00"/>
    <m/>
    <m/>
    <x v="0"/>
    <n v="3"/>
    <s v="Manuel Walther"/>
    <m/>
  </r>
  <r>
    <x v="449"/>
    <x v="1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0"/>
    <n v="2"/>
    <s v="John Rowie Del Rosario"/>
    <m/>
  </r>
  <r>
    <x v="449"/>
    <x v="1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0"/>
    <n v="2"/>
    <s v="John Rowie Del Rosario"/>
    <m/>
  </r>
  <r>
    <x v="449"/>
    <x v="1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0"/>
    <n v="2"/>
    <s v="John Rowie Del Rosario"/>
    <m/>
  </r>
  <r>
    <x v="449"/>
    <x v="1"/>
    <x v="6"/>
    <s v="CLFF_VMCA$$$TW10TQ1003"/>
    <s v="P000001346"/>
    <m/>
    <s v="LFF (MDG-F)"/>
    <s v="TW10TQ1003"/>
    <s v="P000001346"/>
    <b v="0"/>
    <x v="3"/>
    <x v="0"/>
    <d v="2025-11-28T00:00:00"/>
    <m/>
    <m/>
    <x v="0"/>
    <n v="2"/>
    <s v="John Rowie Del Rosario"/>
    <m/>
  </r>
  <r>
    <x v="449"/>
    <x v="1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0"/>
    <n v="2"/>
    <s v="John Rowie Del Rosario"/>
    <m/>
  </r>
  <r>
    <x v="449"/>
    <x v="1"/>
    <x v="4"/>
    <s v="CLFF_VMCA$$$SG10TQ1001"/>
    <s v="P000001346"/>
    <m/>
    <s v="LFF (MDG-F)"/>
    <s v="SG10TQ1001"/>
    <s v="P000001346"/>
    <b v="0"/>
    <x v="3"/>
    <x v="0"/>
    <d v="2025-11-28T00:00:00"/>
    <m/>
    <m/>
    <x v="0"/>
    <n v="2"/>
    <s v="John Rowie Del Rosario"/>
    <m/>
  </r>
  <r>
    <x v="449"/>
    <x v="1"/>
    <x v="4"/>
    <s v="CLFF_VMCA$$$SG10TQ1002"/>
    <s v="P000001346"/>
    <m/>
    <s v="LFF (MDG-F)"/>
    <s v="SG10TQ1002"/>
    <s v="P000001346"/>
    <b v="0"/>
    <x v="3"/>
    <x v="0"/>
    <d v="2025-11-28T00:00:00"/>
    <m/>
    <m/>
    <x v="0"/>
    <n v="2"/>
    <s v="John Rowie Del Rosario"/>
    <m/>
  </r>
  <r>
    <x v="449"/>
    <x v="1"/>
    <x v="4"/>
    <s v="CLFF_VMCA$$$SG10TQ1003"/>
    <s v="P000001346"/>
    <m/>
    <s v="LFF (MDG-F)"/>
    <s v="SG10TQ1003"/>
    <s v="P000001346"/>
    <b v="0"/>
    <x v="3"/>
    <x v="0"/>
    <d v="2025-11-28T00:00:00"/>
    <m/>
    <m/>
    <x v="0"/>
    <n v="2"/>
    <s v="John Rowie Del Rosario"/>
    <m/>
  </r>
  <r>
    <x v="449"/>
    <x v="1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0"/>
    <n v="2"/>
    <s v="John Rowie Del Rosario"/>
    <m/>
  </r>
  <r>
    <x v="449"/>
    <x v="1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0"/>
    <n v="2"/>
    <s v="John Rowie Del Rosario"/>
    <m/>
  </r>
  <r>
    <x v="449"/>
    <x v="1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0"/>
    <n v="2"/>
    <s v="John Rowie Del Rosario"/>
    <m/>
  </r>
  <r>
    <x v="449"/>
    <x v="1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0"/>
    <n v="2"/>
    <s v="John Rowie Del Rosario"/>
    <m/>
  </r>
  <r>
    <x v="449"/>
    <x v="1"/>
    <x v="6"/>
    <s v="CLFF_VMCA$$$MY10DB3300 Malaysia DIstribution"/>
    <s v="P000001347"/>
    <m/>
    <s v="LFF (MDG-F)"/>
    <s v="MY10DB33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SG10TM3000 SG10 Customer Fulfillment Admin Mgmt"/>
    <s v="P000001347"/>
    <m/>
    <s v="LFF (MDG-F)"/>
    <s v="SG10TM30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TW10DB3300 TW Transportation Management"/>
    <s v="P000001347"/>
    <m/>
    <s v="LFF (MDG-F)"/>
    <s v="TW10DB33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TW10DB3301 TW10 Customs/Duties Spec Gas"/>
    <s v="P000001348"/>
    <m/>
    <s v="LFF (MDG-F)"/>
    <s v="TW10DB3301"/>
    <s v="P000001348"/>
    <b v="0"/>
    <x v="3"/>
    <x v="0"/>
    <d v="2025-11-28T00:00:00"/>
    <m/>
    <m/>
    <x v="0"/>
    <n v="2"/>
    <s v="John Rowie Del Rosario"/>
    <m/>
  </r>
  <r>
    <x v="449"/>
    <x v="1"/>
    <x v="6"/>
    <s v="CLFF_VMCA$$$TW10DB3305 AM Transportation"/>
    <s v="P000001348"/>
    <m/>
    <s v="LFF (MDG-F)"/>
    <s v="TW10DB3305"/>
    <s v="P000001348"/>
    <b v="0"/>
    <x v="3"/>
    <x v="0"/>
    <d v="2025-11-28T00:00:00"/>
    <m/>
    <m/>
    <x v="0"/>
    <n v="2"/>
    <s v="John Rowie Del Rosario"/>
    <m/>
  </r>
  <r>
    <x v="449"/>
    <x v="1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0"/>
    <n v="2"/>
    <s v="John Rowie Del Rosario"/>
    <m/>
  </r>
  <r>
    <x v="449"/>
    <x v="1"/>
    <x v="6"/>
    <s v="CLFF_KR00$$$KR03OF0303 Customer Service"/>
    <s v="P000001355"/>
    <m/>
    <s v="LFF (MDG-F)"/>
    <s v="KR03OF0303"/>
    <s v="P000001355"/>
    <b v="0"/>
    <x v="3"/>
    <x v="0"/>
    <d v="2025-11-28T00:00:00"/>
    <m/>
    <m/>
    <x v="0"/>
    <n v="2"/>
    <s v="John Rowie Del Rosario"/>
    <m/>
  </r>
  <r>
    <x v="449"/>
    <x v="1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0"/>
    <n v="2"/>
    <s v="John Rowie Del Rosario"/>
    <m/>
  </r>
  <r>
    <x v="449"/>
    <x v="1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0"/>
    <n v="2"/>
    <s v="John Rowie Del Rosario"/>
    <m/>
  </r>
  <r>
    <x v="449"/>
    <x v="1"/>
    <x v="6"/>
    <s v="CLFF_KR00$$$KR03TPPZ14 W/H Expense from MEM"/>
    <s v="P000001352"/>
    <m/>
    <s v="LFF (MDG-F)"/>
    <s v="KR03TPPZ14"/>
    <s v="P000001352"/>
    <b v="0"/>
    <x v="3"/>
    <x v="0"/>
    <d v="2025-11-28T00:00:00"/>
    <m/>
    <m/>
    <x v="0"/>
    <n v="2"/>
    <s v="John Rowie Del Rosario"/>
    <m/>
  </r>
  <r>
    <x v="449"/>
    <x v="1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0"/>
    <n v="2"/>
    <s v="John Rowie Del Rosario"/>
    <m/>
  </r>
  <r>
    <x v="449"/>
    <x v="1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0"/>
    <n v="2"/>
    <s v="John Rowie Del Rosario"/>
    <m/>
  </r>
  <r>
    <x v="449"/>
    <x v="1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0"/>
    <n v="2"/>
    <s v="John Rowie Del Rosario"/>
    <m/>
  </r>
  <r>
    <x v="449"/>
    <x v="1"/>
    <x v="6"/>
    <s v="CLFF_KR00$$$KR03TPPZ04 SD - Logistics PM"/>
    <s v="P000001353"/>
    <m/>
    <s v="LFF (MDG-F)"/>
    <s v="KR03TPPZ04"/>
    <s v="P000001353"/>
    <b v="0"/>
    <x v="3"/>
    <x v="0"/>
    <d v="2025-11-28T00:00:00"/>
    <m/>
    <m/>
    <x v="0"/>
    <n v="2"/>
    <s v="John Rowie Del Rosario"/>
    <m/>
  </r>
  <r>
    <x v="449"/>
    <x v="1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0"/>
    <n v="2"/>
    <s v="John Rowie Del Rosario"/>
    <m/>
  </r>
  <r>
    <x v="449"/>
    <x v="1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0"/>
    <n v="2"/>
    <s v="John Rowie Del Rosario"/>
    <m/>
  </r>
  <r>
    <x v="449"/>
    <x v="1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0"/>
    <n v="2"/>
    <s v="John Rowie Del Rosario"/>
    <m/>
  </r>
  <r>
    <x v="449"/>
    <x v="1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0"/>
    <n v="2"/>
    <s v="John Rowie Del Rosario"/>
    <m/>
  </r>
  <r>
    <x v="449"/>
    <x v="1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0"/>
    <n v="2"/>
    <s v="John Rowie Del Rosario"/>
    <m/>
  </r>
  <r>
    <x v="449"/>
    <x v="1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0"/>
    <n v="2"/>
    <s v="John Rowie Del Rosario"/>
    <m/>
  </r>
  <r>
    <x v="449"/>
    <x v="1"/>
    <x v="6"/>
    <s v="CLFF_VMCA$$$US10TQ1012"/>
    <s v="P000001358"/>
    <m/>
    <s v="LFF (MDG-F)"/>
    <s v="US10TQ1012"/>
    <s v="P000001358"/>
    <b v="0"/>
    <x v="3"/>
    <x v="0"/>
    <d v="2025-11-28T00:00:00"/>
    <m/>
    <m/>
    <x v="0"/>
    <n v="2"/>
    <s v="John Rowie Del Rosario"/>
    <m/>
  </r>
  <r>
    <x v="449"/>
    <x v="1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0"/>
    <n v="2"/>
    <s v="John Rowie Del Rosario"/>
    <m/>
  </r>
  <r>
    <x v="449"/>
    <x v="1"/>
    <x v="6"/>
    <s v="CLFF_1000$$$US01TQHZ03 Sheboygan IC Outbound Freight Expense"/>
    <s v="P000001356"/>
    <m/>
    <s v="LFF (MDG-F)"/>
    <s v="US01TQHZ03"/>
    <s v="P000001356"/>
    <b v="0"/>
    <x v="3"/>
    <x v="0"/>
    <d v="2025-11-28T00:00:00"/>
    <m/>
    <m/>
    <x v="0"/>
    <n v="2"/>
    <s v="John Rowie Del Rosario"/>
    <m/>
  </r>
  <r>
    <x v="449"/>
    <x v="1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0"/>
    <n v="2"/>
    <s v="John Rowie Del Rosario"/>
    <m/>
  </r>
  <r>
    <x v="449"/>
    <x v="1"/>
    <x v="6"/>
    <s v="CLFF_1000$$$US01TM2001"/>
    <s v="P000001356"/>
    <m/>
    <s v="LFF (MDG-F)"/>
    <s v="US01TM2001"/>
    <s v="P000001356"/>
    <b v="0"/>
    <x v="3"/>
    <x v="0"/>
    <d v="2025-11-28T00:00:00"/>
    <m/>
    <m/>
    <x v="0"/>
    <n v="2"/>
    <s v="John Rowie Del Rosario"/>
    <m/>
  </r>
  <r>
    <x v="449"/>
    <x v="1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0"/>
    <n v="2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0"/>
    <n v="1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0"/>
    <n v="1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0"/>
    <n v="1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0"/>
    <n v="1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0"/>
    <n v="1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0"/>
    <n v="1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0"/>
    <n v="1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0"/>
    <n v="1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0"/>
    <n v="1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0"/>
    <n v="1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0"/>
    <n v="1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2"/>
    <x v="1"/>
    <x v="2"/>
    <s v="CSCALA_1022$ITR"/>
    <s v="G000001238"/>
    <s v="G000001238"/>
    <s v="Non-LFF"/>
    <s v=""/>
    <m/>
    <b v="1"/>
    <x v="0"/>
    <x v="0"/>
    <d v="2025-12-02T00:00:00"/>
    <m/>
    <m/>
    <x v="0"/>
    <n v="0"/>
    <s v="Jay-R Lizardo"/>
    <m/>
  </r>
  <r>
    <x v="452"/>
    <x v="1"/>
    <x v="6"/>
    <s v="CLFF_1000$$$CN90GM4004"/>
    <s v="G000001457"/>
    <m/>
    <s v="LFF (MDG-F)"/>
    <s v="CN90GM4004"/>
    <s v="G000001457"/>
    <b v="0"/>
    <x v="0"/>
    <x v="0"/>
    <d v="2025-12-02T00:00:00"/>
    <m/>
    <m/>
    <x v="0"/>
    <n v="0"/>
    <s v="Jay-R Lizardo"/>
    <m/>
  </r>
  <r>
    <x v="452"/>
    <x v="1"/>
    <x v="5"/>
    <s v="CTEMPEU_1000PL80GFO045"/>
    <s v="G000001458"/>
    <m/>
    <s v="Non-LFF"/>
    <s v=""/>
    <s v="G000001458"/>
    <b v="0"/>
    <x v="0"/>
    <x v="0"/>
    <d v="2025-12-02T00:00:00"/>
    <m/>
    <m/>
    <x v="0"/>
    <n v="0"/>
    <s v="Jay-R Lizardo"/>
    <m/>
  </r>
  <r>
    <x v="452"/>
    <x v="1"/>
    <x v="5"/>
    <s v="CTEMPEU_1000PL80GMS040"/>
    <s v="G000001459"/>
    <m/>
    <s v="Non-LFF"/>
    <s v=""/>
    <s v="G000001459"/>
    <b v="0"/>
    <x v="0"/>
    <x v="0"/>
    <d v="2025-12-02T00:00:00"/>
    <m/>
    <m/>
    <x v="0"/>
    <n v="0"/>
    <s v="Jay-R Lizardo"/>
    <m/>
  </r>
  <r>
    <x v="452"/>
    <x v="1"/>
    <x v="5"/>
    <s v="CTEMPNA_1000PH80GFO026"/>
    <s v="G000001460"/>
    <m/>
    <s v="Non-LFF"/>
    <s v=""/>
    <s v="G000001460"/>
    <b v="0"/>
    <x v="0"/>
    <x v="0"/>
    <d v="2025-12-02T00:00:00"/>
    <m/>
    <m/>
    <x v="0"/>
    <n v="0"/>
    <s v="Jay-R Lizardo"/>
    <m/>
  </r>
  <r>
    <x v="452"/>
    <x v="1"/>
    <x v="5"/>
    <s v="CTEMPNA_1000PH80GFO120"/>
    <s v="G000001457"/>
    <m/>
    <s v="Non-LFF"/>
    <s v=""/>
    <s v="G000001457"/>
    <b v="0"/>
    <x v="0"/>
    <x v="0"/>
    <d v="2025-12-02T00:00:00"/>
    <m/>
    <m/>
    <x v="0"/>
    <n v="0"/>
    <s v="Jay-R Lizardo"/>
    <m/>
  </r>
  <r>
    <x v="452"/>
    <x v="1"/>
    <x v="6"/>
    <s v="CLFF_1000$$$DE10GMS041"/>
    <s v="G000001459"/>
    <m/>
    <s v="LFF (MDG-F)"/>
    <s v="DE10GMS041"/>
    <s v="G000001459"/>
    <b v="0"/>
    <x v="0"/>
    <x v="0"/>
    <d v="2025-12-02T00:00:00"/>
    <m/>
    <m/>
    <x v="0"/>
    <n v="0"/>
    <s v="Jay-R Lizardo"/>
    <m/>
  </r>
  <r>
    <x v="452"/>
    <x v="1"/>
    <x v="6"/>
    <s v="CLFF_1000$$$DE10GMS070"/>
    <s v="G000001460"/>
    <m/>
    <s v="LFF (MDG-F)"/>
    <s v="DE10GMS070"/>
    <s v="G000001460"/>
    <b v="0"/>
    <x v="0"/>
    <x v="0"/>
    <d v="2025-12-02T00:00:00"/>
    <m/>
    <m/>
    <x v="0"/>
    <n v="0"/>
    <s v="Jay-R Lizardo"/>
    <m/>
  </r>
  <r>
    <x v="452"/>
    <x v="1"/>
    <x v="6"/>
    <s v="CLFF_1000$$$DE10669632"/>
    <s v="G000001459"/>
    <m/>
    <s v="LFF (MDG-F)"/>
    <s v="DE10669632"/>
    <s v="G000001459"/>
    <b v="0"/>
    <x v="0"/>
    <x v="0"/>
    <d v="2025-12-02T00:00:00"/>
    <m/>
    <m/>
    <x v="0"/>
    <n v="0"/>
    <s v="Jay-R Lizardo"/>
    <m/>
  </r>
  <r>
    <x v="452"/>
    <x v="1"/>
    <x v="5"/>
    <s v="CTEMPLA_1000UY10100040"/>
    <s v="G000001457"/>
    <m/>
    <s v="Non-LFF"/>
    <s v=""/>
    <s v="G000001457"/>
    <b v="0"/>
    <x v="0"/>
    <x v="0"/>
    <d v="2025-12-02T00:00:00"/>
    <m/>
    <m/>
    <x v="0"/>
    <n v="0"/>
    <s v="Jay-R Lizardo"/>
    <m/>
  </r>
  <r>
    <x v="452"/>
    <x v="1"/>
    <x v="5"/>
    <s v="CNOW_7210$$$0000021361"/>
    <s v="G000000736"/>
    <m/>
    <s v="Non-LFF"/>
    <s v=""/>
    <s v="G000000736"/>
    <b v="0"/>
    <x v="0"/>
    <x v="0"/>
    <d v="2025-12-02T00:00:00"/>
    <m/>
    <m/>
    <x v="0"/>
    <n v="0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1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35">
        <item m="1" x="1019"/>
        <item x="0"/>
        <item m="1" x="1089"/>
        <item m="1" x="1510"/>
        <item m="1" x="672"/>
        <item m="1" x="1527"/>
        <item m="1" x="1049"/>
        <item m="1" x="1139"/>
        <item m="1" x="1560"/>
        <item m="1" x="1354"/>
        <item m="1" x="1042"/>
        <item m="1" x="1626"/>
        <item m="1" x="1372"/>
        <item m="1" x="1616"/>
        <item m="1" x="990"/>
        <item m="1" x="891"/>
        <item m="1" x="595"/>
        <item m="1" x="856"/>
        <item m="1" x="1580"/>
        <item m="1" x="648"/>
        <item m="1" x="956"/>
        <item m="1" x="1324"/>
        <item m="1" x="1039"/>
        <item m="1" x="1132"/>
        <item m="1" x="1428"/>
        <item m="1" x="1613"/>
        <item m="1" x="1074"/>
        <item m="1" x="1096"/>
        <item m="1" x="861"/>
        <item m="1" x="1262"/>
        <item m="1" x="1021"/>
        <item m="1" x="1567"/>
        <item m="1" x="1224"/>
        <item m="1" x="657"/>
        <item m="1" x="765"/>
        <item m="1" x="1552"/>
        <item m="1" x="1316"/>
        <item m="1" x="570"/>
        <item m="1" x="1402"/>
        <item m="1" x="1068"/>
        <item m="1" x="1363"/>
        <item m="1" x="949"/>
        <item m="1" x="1301"/>
        <item m="1" x="560"/>
        <item m="1" x="590"/>
        <item m="1" x="1629"/>
        <item m="1" x="1308"/>
        <item m="1" x="1376"/>
        <item m="1" x="1483"/>
        <item m="1" x="1252"/>
        <item m="1" x="1350"/>
        <item m="1" x="1189"/>
        <item m="1" x="644"/>
        <item m="1" x="835"/>
        <item m="1" x="1611"/>
        <item m="1" x="1179"/>
        <item m="1" x="1319"/>
        <item m="1" x="847"/>
        <item m="1" x="808"/>
        <item m="1" x="1100"/>
        <item m="1" x="992"/>
        <item m="1" x="1025"/>
        <item m="1" x="584"/>
        <item m="1" x="723"/>
        <item m="1" x="1385"/>
        <item m="1" x="1602"/>
        <item m="1" x="788"/>
        <item m="1" x="1193"/>
        <item m="1" x="1203"/>
        <item m="1" x="1380"/>
        <item m="1" x="1490"/>
        <item m="1" x="1368"/>
        <item m="1" x="663"/>
        <item m="1" x="1511"/>
        <item m="1" x="1241"/>
        <item m="1" x="1228"/>
        <item m="1" x="763"/>
        <item m="1" x="1116"/>
        <item m="1" x="1463"/>
        <item m="1" x="581"/>
        <item m="1" x="1160"/>
        <item m="1" x="1513"/>
        <item m="1" x="1351"/>
        <item m="1" x="1086"/>
        <item m="1" x="1128"/>
        <item m="1" x="1009"/>
        <item m="1" x="1244"/>
        <item m="1" x="1056"/>
        <item m="1" x="1288"/>
        <item m="1" x="772"/>
        <item m="1" x="1601"/>
        <item m="1" x="1126"/>
        <item m="1" x="1412"/>
        <item m="1" x="489"/>
        <item m="1" x="1617"/>
        <item m="1" x="1153"/>
        <item m="1" x="1442"/>
        <item m="1" x="1355"/>
        <item m="1" x="1133"/>
        <item m="1" x="643"/>
        <item m="1" x="650"/>
        <item m="1" x="690"/>
        <item m="1" x="872"/>
        <item m="1" x="1296"/>
        <item m="1" x="1057"/>
        <item m="1" x="1173"/>
        <item m="1" x="1236"/>
        <item m="1" x="1383"/>
        <item m="1" x="1466"/>
        <item m="1" x="1028"/>
        <item m="1" x="749"/>
        <item m="1" x="592"/>
        <item m="1" x="735"/>
        <item m="1" x="1610"/>
        <item m="1" x="767"/>
        <item m="1" x="1448"/>
        <item m="1" x="1377"/>
        <item m="1" x="995"/>
        <item m="1" x="1067"/>
        <item m="1" x="933"/>
        <item m="1" x="1190"/>
        <item m="1" x="1565"/>
        <item m="1" x="741"/>
        <item m="1" x="689"/>
        <item m="1" x="624"/>
        <item m="1" x="1290"/>
        <item m="1" x="1550"/>
        <item m="1" x="1478"/>
        <item m="1" x="1135"/>
        <item m="1" x="659"/>
        <item m="1" x="1384"/>
        <item m="1" x="836"/>
        <item m="1" x="1090"/>
        <item m="1" x="1265"/>
        <item m="1" x="1373"/>
        <item m="1" x="493"/>
        <item m="1" x="1322"/>
        <item m="1" x="1285"/>
        <item m="1" x="726"/>
        <item m="1" x="1174"/>
        <item m="1" x="1062"/>
        <item m="1" x="1015"/>
        <item m="1" x="748"/>
        <item m="1" x="684"/>
        <item m="1" x="924"/>
        <item m="1" x="1111"/>
        <item m="1" x="518"/>
        <item m="1" x="857"/>
        <item m="1" x="716"/>
        <item m="1" x="458"/>
        <item m="1" x="968"/>
        <item m="1" x="1169"/>
        <item m="1" x="1051"/>
        <item m="1" x="1097"/>
        <item m="1" x="1416"/>
        <item m="1" x="998"/>
        <item m="1" x="1524"/>
        <item m="1" x="1248"/>
        <item m="1" x="1187"/>
        <item m="1" x="701"/>
        <item m="1" x="1334"/>
        <item m="1" x="1612"/>
        <item m="1" x="1300"/>
        <item m="1" x="1284"/>
        <item m="1" x="571"/>
        <item m="1" x="619"/>
        <item m="1" x="1154"/>
        <item m="1" x="660"/>
        <item m="1" x="1597"/>
        <item m="1" x="1263"/>
        <item m="1" x="1188"/>
        <item m="1" x="1140"/>
        <item m="1" x="941"/>
        <item m="1" x="569"/>
        <item m="1" x="669"/>
        <item m="1" x="775"/>
        <item m="1" x="1508"/>
        <item m="1" x="1540"/>
        <item m="1" x="1239"/>
        <item m="1" x="966"/>
        <item m="1" x="1054"/>
        <item m="1" x="564"/>
        <item m="1" x="604"/>
        <item m="1" x="943"/>
        <item m="1" x="1168"/>
        <item m="1" x="1081"/>
        <item m="1" x="739"/>
        <item m="1" x="972"/>
        <item m="1" x="686"/>
        <item m="1" x="881"/>
        <item m="1" x="803"/>
        <item m="1" x="638"/>
        <item m="1" x="774"/>
        <item m="1" x="1144"/>
        <item m="1" x="554"/>
        <item m="1" x="793"/>
        <item m="1" x="585"/>
        <item m="1" x="1278"/>
        <item m="1" x="1467"/>
        <item m="1" x="1077"/>
        <item m="1" x="721"/>
        <item m="1" x="1371"/>
        <item m="1" x="1216"/>
        <item m="1" x="733"/>
        <item m="1" x="734"/>
        <item m="1" x="919"/>
        <item m="1" x="609"/>
        <item m="1" x="798"/>
        <item m="1" x="593"/>
        <item m="1" x="779"/>
        <item m="1" x="1347"/>
        <item m="1" x="858"/>
        <item m="1" x="1225"/>
        <item m="1" x="1275"/>
        <item m="1" x="1409"/>
        <item m="1" x="1413"/>
        <item m="1" x="1130"/>
        <item m="1" x="971"/>
        <item m="1" x="1010"/>
        <item m="1" x="1577"/>
        <item m="1" x="870"/>
        <item m="1" x="682"/>
        <item m="1" x="1060"/>
        <item m="1" x="517"/>
        <item m="1" x="1581"/>
        <item m="1" x="1044"/>
        <item m="1" x="478"/>
        <item m="1" x="1499"/>
        <item m="1" x="1542"/>
        <item m="1" x="1379"/>
        <item m="1" x="756"/>
        <item m="1" x="495"/>
        <item m="1" x="1429"/>
        <item m="1" x="820"/>
        <item m="1" x="456"/>
        <item m="1" x="1600"/>
        <item m="1" x="844"/>
        <item m="1" x="999"/>
        <item m="1" x="1444"/>
        <item m="1" x="531"/>
        <item m="1" x="1356"/>
        <item m="1" x="1164"/>
        <item m="1" x="1029"/>
        <item m="1" x="899"/>
        <item m="1" x="646"/>
        <item m="1" x="1147"/>
        <item m="1" x="849"/>
        <item m="1" x="1387"/>
        <item m="1" x="709"/>
        <item m="1" x="1457"/>
        <item m="1" x="1464"/>
        <item m="1" x="1148"/>
        <item m="1" x="1338"/>
        <item m="1" x="755"/>
        <item m="1" x="1052"/>
        <item m="1" x="1341"/>
        <item m="1" x="925"/>
        <item m="1" x="1215"/>
        <item m="1" x="854"/>
        <item m="1" x="639"/>
        <item m="1" x="843"/>
        <item m="1" x="1609"/>
        <item m="1" x="1551"/>
        <item m="1" x="696"/>
        <item m="1" x="1497"/>
        <item m="1" x="503"/>
        <item m="1" x="1519"/>
        <item m="1" x="538"/>
        <item m="1" x="840"/>
        <item m="1" x="938"/>
        <item m="1" x="885"/>
        <item m="1" x="1492"/>
        <item m="1" x="1395"/>
        <item m="1" x="636"/>
        <item m="1" x="1206"/>
        <item m="1" x="1414"/>
        <item m="1" x="1548"/>
        <item m="1" x="1455"/>
        <item m="1" x="541"/>
        <item m="1" x="1621"/>
        <item m="1" x="692"/>
        <item m="1" x="973"/>
        <item m="1" x="1417"/>
        <item m="1" x="540"/>
        <item m="1" x="1476"/>
        <item m="1" x="705"/>
        <item m="1" x="1349"/>
        <item m="1" x="1213"/>
        <item m="1" x="1191"/>
        <item m="1" x="770"/>
        <item m="1" x="732"/>
        <item m="1" x="1544"/>
        <item m="1" x="485"/>
        <item m="1" x="667"/>
        <item m="1" x="1326"/>
        <item m="1" x="1437"/>
        <item m="1" x="1364"/>
        <item m="1" x="1568"/>
        <item m="1" x="1072"/>
        <item m="1" x="699"/>
        <item m="1" x="819"/>
        <item m="1" x="1138"/>
        <item m="1" x="880"/>
        <item m="1" x="1208"/>
        <item m="1" x="821"/>
        <item m="1" x="623"/>
        <item m="1" x="1276"/>
        <item m="1" x="678"/>
        <item m="1" x="558"/>
        <item m="1" x="1410"/>
        <item m="1" x="1557"/>
        <item m="1" x="1258"/>
        <item m="1" x="523"/>
        <item m="1" x="1449"/>
        <item m="1" x="1247"/>
        <item m="1" x="1357"/>
        <item m="1" x="1496"/>
        <item m="1" x="724"/>
        <item m="1" x="916"/>
        <item m="1" x="754"/>
        <item m="1" x="1022"/>
        <item m="1" x="946"/>
        <item m="1" x="976"/>
        <item m="1" x="1512"/>
        <item m="1" x="958"/>
        <item m="1" x="1161"/>
        <item m="1" x="693"/>
        <item m="1" x="892"/>
        <item m="1" x="866"/>
        <item m="1" x="1209"/>
        <item m="1" x="1112"/>
        <item m="1" x="1340"/>
        <item m="1" x="862"/>
        <item m="1" x="1498"/>
        <item m="1" x="700"/>
        <item m="1" x="626"/>
        <item m="1" x="882"/>
        <item m="1" x="1423"/>
        <item m="1" x="533"/>
        <item m="1" x="534"/>
        <item m="1" x="830"/>
        <item m="1" x="1503"/>
        <item m="1" x="897"/>
        <item m="1" x="542"/>
        <item m="1" x="702"/>
        <item m="1" x="944"/>
        <item m="1" x="1255"/>
        <item m="1" x="1227"/>
        <item m="1" x="898"/>
        <item m="1" x="479"/>
        <item m="1" x="617"/>
        <item m="1" x="829"/>
        <item m="1" x="717"/>
        <item m="1" x="474"/>
        <item m="1" x="1427"/>
        <item m="1" x="1556"/>
        <item m="1" x="1026"/>
        <item m="1" x="1456"/>
        <item m="1" x="1516"/>
        <item m="1" x="539"/>
        <item m="1" x="1554"/>
        <item m="1" x="1292"/>
        <item m="1" x="715"/>
        <item m="1" x="901"/>
        <item m="1" x="805"/>
        <item m="1" x="1167"/>
        <item m="1" x="738"/>
        <item m="1" x="954"/>
        <item m="1" x="1249"/>
        <item m="1" x="1374"/>
        <item m="1" x="877"/>
        <item m="1" x="1005"/>
        <item m="1" x="817"/>
        <item m="1" x="743"/>
        <item m="1" x="1254"/>
        <item m="1" x="1369"/>
        <item m="1" x="1531"/>
        <item m="1" x="573"/>
        <item m="1" x="777"/>
        <item m="1" x="1217"/>
        <item m="1" x="618"/>
        <item m="1" x="905"/>
        <item m="1" x="1286"/>
        <item m="1" x="551"/>
        <item m="1" x="761"/>
        <item m="1" x="871"/>
        <item m="1" x="1477"/>
        <item m="1" x="710"/>
        <item m="1" x="980"/>
        <item m="1" x="1533"/>
        <item m="1" x="661"/>
        <item m="1" x="850"/>
        <item m="1" x="1038"/>
        <item m="1" x="1375"/>
        <item m="1" x="673"/>
        <item m="1" x="929"/>
        <item m="1" x="771"/>
        <item m="1" x="1267"/>
        <item m="1" x="1453"/>
        <item m="1" x="579"/>
        <item m="1" x="799"/>
        <item m="1" x="1535"/>
        <item m="1" x="1500"/>
        <item m="1" x="600"/>
        <item m="1" x="917"/>
        <item m="1" x="1441"/>
        <item m="1" x="1572"/>
        <item m="1" x="1443"/>
        <item m="1" x="1418"/>
        <item m="1" x="549"/>
        <item m="1" x="725"/>
        <item m="1" x="807"/>
        <item m="1" x="796"/>
        <item m="1" x="1023"/>
        <item m="1" x="511"/>
        <item m="1" x="1210"/>
        <item m="1" x="1281"/>
        <item m="1" x="463"/>
        <item m="1" x="1541"/>
        <item m="1" x="1403"/>
        <item m="1" x="1532"/>
        <item m="1" x="1562"/>
        <item m="1" x="1598"/>
        <item m="1" x="1536"/>
        <item m="1" x="900"/>
        <item m="1" x="1260"/>
        <item m="1" x="867"/>
        <item m="1" x="1273"/>
        <item m="1" x="1238"/>
        <item m="1" x="676"/>
        <item m="1" x="714"/>
        <item m="1" x="852"/>
        <item m="1" x="1317"/>
        <item m="1" x="837"/>
        <item m="1" x="583"/>
        <item m="1" x="1582"/>
        <item m="1" x="1332"/>
        <item m="1" x="1165"/>
        <item m="1" x="1197"/>
        <item m="1" x="1246"/>
        <item m="1" x="671"/>
        <item m="1" x="1013"/>
        <item m="1" x="1358"/>
        <item m="1" x="509"/>
        <item m="1" x="752"/>
        <item m="1" x="652"/>
        <item m="1" x="649"/>
        <item m="1" x="653"/>
        <item m="1" x="454"/>
        <item m="1" x="675"/>
        <item m="1" x="1472"/>
        <item m="1" x="476"/>
        <item m="1" x="1122"/>
        <item m="1" x="1559"/>
        <item m="1" x="1370"/>
        <item m="1" x="630"/>
        <item m="1" x="1630"/>
        <item m="1" x="559"/>
        <item m="1" x="926"/>
        <item m="1" x="1149"/>
        <item m="1" x="605"/>
        <item m="1" x="1058"/>
        <item m="1" x="1218"/>
        <item m="1" x="1486"/>
        <item m="1" x="1388"/>
        <item m="1" x="467"/>
        <item m="1" x="1150"/>
        <item m="1" x="550"/>
        <item m="1" x="786"/>
        <item m="1" x="758"/>
        <item m="1" x="520"/>
        <item m="1" x="1113"/>
        <item m="1" x="1120"/>
        <item m="1" x="1220"/>
        <item m="1" x="969"/>
        <item m="1" x="1469"/>
        <item m="1" x="878"/>
        <item m="1" x="1588"/>
        <item m="1" x="1223"/>
        <item m="1" x="1114"/>
        <item m="1" x="778"/>
        <item m="1" x="1186"/>
        <item m="1" x="1484"/>
        <item m="1" x="1549"/>
        <item m="1" x="1528"/>
        <item m="1" x="1458"/>
        <item m="1" x="1207"/>
        <item m="1" x="1320"/>
        <item m="1" x="833"/>
        <item m="1" x="1282"/>
        <item m="1" x="1107"/>
        <item m="1" x="1066"/>
        <item m="1" x="1064"/>
        <item m="1" x="1065"/>
        <item m="1" x="762"/>
        <item m="1" x="806"/>
        <item m="1" x="1419"/>
        <item m="1" x="984"/>
        <item m="1" x="826"/>
        <item m="1" x="868"/>
        <item m="1" x="914"/>
        <item m="1" x="1166"/>
        <item m="1" x="1504"/>
        <item m="1" x="1593"/>
        <item m="1" x="711"/>
        <item m="1" x="662"/>
        <item m="1" x="499"/>
        <item m="1" x="521"/>
        <item m="1" x="818"/>
        <item m="1" x="606"/>
        <item m="1" x="934"/>
        <item m="1" x="1470"/>
        <item m="1" x="811"/>
        <item m="1" x="603"/>
        <item m="1" x="1362"/>
        <item m="1" x="480"/>
        <item m="1" x="1488"/>
        <item m="1" x="1563"/>
        <item m="1" x="1627"/>
        <item m="1" x="1502"/>
        <item m="1" x="745"/>
        <item m="1" x="522"/>
        <item m="1" x="986"/>
        <item m="1" x="1070"/>
        <item m="1" x="1266"/>
        <item m="1" x="1234"/>
        <item m="1" x="1270"/>
        <item m="1" x="1047"/>
        <item m="1" x="1085"/>
        <item m="1" x="1526"/>
        <item m="1" x="1289"/>
        <item m="1" x="1259"/>
        <item m="1" x="1198"/>
        <item m="1" x="1271"/>
        <item m="1" x="472"/>
        <item m="1" x="477"/>
        <item m="1" x="1080"/>
        <item m="1" x="1465"/>
        <item m="1" x="1035"/>
        <item m="1" x="1605"/>
        <item m="1" x="1004"/>
        <item m="1" x="1180"/>
        <item m="1" x="1251"/>
        <item m="1" x="865"/>
        <item m="1" x="697"/>
        <item m="1" x="1073"/>
        <item m="1" x="759"/>
        <item m="1" x="1614"/>
        <item m="1" x="1529"/>
        <item m="1" x="1342"/>
        <item m="1" x="599"/>
        <item m="1" x="526"/>
        <item m="1" x="1099"/>
        <item m="1" x="1343"/>
        <item m="1" x="1632"/>
        <item m="1" x="978"/>
        <item m="1" x="1579"/>
        <item m="1" x="513"/>
        <item m="1" x="627"/>
        <item m="1" x="939"/>
        <item m="1" x="1030"/>
        <item m="1" x="1459"/>
        <item m="1" x="783"/>
        <item m="1" x="1462"/>
        <item m="1" x="879"/>
        <item m="1" x="1451"/>
        <item m="1" x="1615"/>
        <item m="1" x="543"/>
        <item m="1" x="1599"/>
        <item m="1" x="490"/>
        <item m="1" x="1352"/>
        <item m="1" x="970"/>
        <item m="1" x="801"/>
        <item m="1" x="764"/>
        <item m="1" x="908"/>
        <item m="1" x="507"/>
        <item m="1" x="1592"/>
        <item m="1" x="591"/>
        <item m="1" x="612"/>
        <item m="1" x="1485"/>
        <item m="1" x="1564"/>
        <item m="1" x="1078"/>
        <item m="1" x="1219"/>
        <item m="1" x="920"/>
        <item m="1" x="1033"/>
        <item m="1" x="1182"/>
        <item m="1" x="1299"/>
        <item m="1" x="886"/>
        <item m="1" x="1162"/>
        <item m="1" x="981"/>
        <item m="1" x="1618"/>
        <item m="1" x="471"/>
        <item m="1" x="910"/>
        <item m="1" x="851"/>
        <item m="1" x="812"/>
        <item m="1" x="1606"/>
        <item m="1" x="1424"/>
        <item m="1" x="1555"/>
        <item m="1" x="568"/>
        <item m="1" x="1566"/>
        <item m="1" x="1553"/>
        <item m="1" x="1430"/>
        <item m="1" x="665"/>
        <item m="1" x="1034"/>
        <item m="1" x="1127"/>
        <item m="1" x="873"/>
        <item m="1" x="1471"/>
        <item m="1" x="1257"/>
        <item m="1" x="1277"/>
        <item m="1" x="1171"/>
        <item m="1" x="514"/>
        <item m="1" x="1344"/>
        <item m="1" x="1506"/>
        <item m="1" x="911"/>
        <item m="1" x="1625"/>
        <item m="1" x="1119"/>
        <item m="1" x="706"/>
        <item m="1" x="839"/>
        <item m="1" x="875"/>
        <item m="1" x="1534"/>
        <item m="1" x="1518"/>
        <item m="1" x="578"/>
        <item m="1" x="580"/>
        <item m="1" x="494"/>
        <item m="1" x="1454"/>
        <item m="1" x="496"/>
        <item m="1" x="913"/>
        <item m="1" x="813"/>
        <item m="1" x="1269"/>
        <item m="1" x="1212"/>
        <item m="1" x="1561"/>
        <item m="1" x="1493"/>
        <item m="1" x="985"/>
        <item m="1" x="1199"/>
        <item m="1" x="1434"/>
        <item m="1" x="547"/>
        <item m="1" x="979"/>
        <item m="1" x="909"/>
        <item m="1" x="1603"/>
        <item m="1" x="1570"/>
        <item m="1" x="1001"/>
        <item m="1" x="607"/>
        <item m="1" x="902"/>
        <item m="1" x="1075"/>
        <item m="1" x="529"/>
        <item m="1" x="1365"/>
        <item m="1" x="959"/>
        <item m="1" x="769"/>
        <item m="1" x="863"/>
        <item m="1" x="1309"/>
        <item m="1" x="1608"/>
        <item m="1" x="687"/>
        <item m="1" x="1460"/>
        <item m="1" x="681"/>
        <item m="1" x="1245"/>
        <item m="1" x="1017"/>
        <item m="1" x="948"/>
        <item m="1" x="670"/>
        <item m="1" x="737"/>
        <item m="1" x="525"/>
        <item m="1" x="1325"/>
        <item m="1" x="838"/>
        <item m="1" x="562"/>
        <item m="1" x="1176"/>
        <item m="1" x="1491"/>
        <item m="1" x="1031"/>
        <item m="1" x="989"/>
        <item m="1" x="460"/>
        <item m="1" x="1596"/>
        <item m="1" x="846"/>
        <item m="1" x="906"/>
        <item m="1" x="1313"/>
        <item m="1" x="1590"/>
        <item m="1" x="1515"/>
        <item m="1" x="1366"/>
        <item m="1" x="1481"/>
        <item m="1" x="642"/>
        <item m="1" x="841"/>
        <item m="1" x="674"/>
        <item m="1" x="466"/>
        <item m="1" x="1079"/>
        <item m="1" x="528"/>
        <item m="1" x="750"/>
        <item m="1" x="694"/>
        <item m="1" x="640"/>
        <item m="1" x="1595"/>
        <item m="1" x="691"/>
        <item m="1" x="1293"/>
        <item m="1" x="1505"/>
        <item m="1" x="631"/>
        <item m="1" x="535"/>
        <item m="1" x="1328"/>
        <item m="1" x="1304"/>
        <item m="1" x="1345"/>
        <item m="1" x="1264"/>
        <item m="1" x="608"/>
        <item m="1" x="964"/>
        <item m="1" x="1232"/>
        <item m="1" x="1482"/>
        <item m="1" x="1076"/>
        <item m="1" x="1194"/>
        <item m="1" x="1538"/>
        <item m="1" x="950"/>
        <item m="1" x="794"/>
        <item m="1" x="1027"/>
        <item m="1" x="974"/>
        <item m="1" x="904"/>
        <item m="1" x="1421"/>
        <item m="1" x="1108"/>
        <item m="1" x="1204"/>
        <item m="1" x="455"/>
        <item m="1" x="1000"/>
        <item m="1" x="602"/>
        <item m="1" x="869"/>
        <item m="1" x="1007"/>
        <item m="1" x="537"/>
        <item m="1" x="654"/>
        <item m="1" x="1109"/>
        <item m="1" x="1306"/>
        <item m="1" x="1576"/>
        <item m="1" x="1619"/>
        <item m="1" x="1229"/>
        <item m="1" x="577"/>
        <item m="1" x="505"/>
        <item m="1" x="1091"/>
        <item m="1" x="713"/>
        <item m="1" x="987"/>
        <item m="1" x="615"/>
        <item m="1" x="718"/>
        <item m="1" x="1145"/>
        <item m="1" x="1501"/>
        <item m="1" x="1432"/>
        <item m="1" x="848"/>
        <item m="1" x="883"/>
        <item m="1" x="1159"/>
        <item m="1" x="1589"/>
        <item m="1" x="1315"/>
        <item m="1" x="481"/>
        <item m="1" x="1543"/>
        <item m="1" x="589"/>
        <item m="1" x="1235"/>
        <item m="1" x="1280"/>
        <item m="1" x="1283"/>
        <item m="1" x="1623"/>
        <item m="1" x="516"/>
        <item m="1" x="1294"/>
        <item m="1" x="1391"/>
        <item m="1" x="1163"/>
        <item m="1" x="1333"/>
        <item m="1" x="575"/>
        <item m="1" x="967"/>
        <item m="1" x="814"/>
        <item m="1" x="1426"/>
        <item m="1" x="1521"/>
        <item m="1" x="1050"/>
        <item m="1" x="1489"/>
        <item m="1" x="1537"/>
        <item m="1" x="890"/>
        <item m="1" x="1393"/>
        <item m="1" x="1256"/>
        <item m="1" x="1539"/>
        <item m="1" x="1583"/>
        <item m="1" x="1321"/>
        <item m="1" x="931"/>
        <item m="1" x="736"/>
        <item m="1" x="1571"/>
        <item m="1" x="1118"/>
        <item m="1" x="1092"/>
        <item m="1" x="1101"/>
        <item m="1" x="1622"/>
        <item m="1" x="1346"/>
        <item m="1" x="1041"/>
        <item m="1" x="1310"/>
        <item m="1" x="1287"/>
        <item m="1" x="903"/>
        <item m="1" x="804"/>
        <item m="1" x="1303"/>
        <item m="1" x="698"/>
        <item m="1" x="655"/>
        <item m="1" x="597"/>
        <item m="1" x="1584"/>
        <item m="1" x="1200"/>
        <item m="1" x="935"/>
        <item m="1" x="1016"/>
        <item m="1" x="497"/>
        <item m="1" x="1573"/>
        <item m="1" x="1124"/>
        <item m="1" x="1272"/>
        <item m="1" x="720"/>
        <item m="1" x="1404"/>
        <item m="1" x="907"/>
        <item m="1" x="800"/>
        <item m="1" x="1628"/>
        <item m="1" x="930"/>
        <item m="1" x="1569"/>
        <item m="1" x="1155"/>
        <item m="1" x="831"/>
        <item m="1" x="622"/>
        <item m="1" x="565"/>
        <item m="1" x="859"/>
        <item m="1" x="556"/>
        <item m="1" x="527"/>
        <item m="1" x="544"/>
        <item m="1" x="823"/>
        <item m="1" x="668"/>
        <item m="1" x="975"/>
        <item m="1" x="1032"/>
        <item m="1" x="1131"/>
        <item m="1" x="1002"/>
        <item m="1" x="1335"/>
        <item m="1" x="1399"/>
        <item m="1" x="611"/>
        <item m="1" x="621"/>
        <item m="1" x="810"/>
        <item m="1" x="952"/>
        <item m="1" x="742"/>
        <item m="1" x="1295"/>
        <item m="1" x="1045"/>
        <item m="1" x="962"/>
        <item m="1" x="1095"/>
        <item m="1" x="1401"/>
        <item m="1" x="1339"/>
        <item m="1" x="1425"/>
        <item m="1" x="1181"/>
        <item m="1" x="601"/>
        <item m="1" x="1607"/>
        <item m="1" x="1020"/>
        <item m="1" x="635"/>
        <item m="1" x="459"/>
        <item m="1" x="1604"/>
        <item m="1" x="1088"/>
        <item m="1" x="1055"/>
        <item m="1" x="827"/>
        <item m="1" x="707"/>
        <item m="1" x="791"/>
        <item m="1" x="945"/>
        <item m="1" x="1520"/>
        <item m="1" x="1439"/>
        <item m="1" x="815"/>
        <item m="1" x="888"/>
        <item m="1" x="895"/>
        <item m="1" x="1433"/>
        <item m="1" x="1036"/>
        <item m="1" x="508"/>
        <item m="1" x="1069"/>
        <item m="1" x="1348"/>
        <item m="1" x="1474"/>
        <item m="1" x="1367"/>
        <item m="1" x="1175"/>
        <item m="1" x="1473"/>
        <item m="1" x="487"/>
        <item m="1" x="1390"/>
        <item m="1" x="469"/>
        <item m="1" x="809"/>
        <item m="1" x="473"/>
        <item m="1" x="632"/>
        <item m="1" x="722"/>
        <item m="1" x="728"/>
        <item m="1" x="1146"/>
        <item m="1" x="1400"/>
        <item m="1" x="927"/>
        <item m="1" x="498"/>
        <item m="1" x="704"/>
        <item m="1" x="492"/>
        <item m="1" x="1487"/>
        <item m="1" x="712"/>
        <item m="1" x="1048"/>
        <item m="1" x="1507"/>
        <item m="1" x="834"/>
        <item m="1" x="776"/>
        <item m="1" x="1172"/>
        <item m="1" x="729"/>
        <item m="1" x="1037"/>
        <item m="1" x="1331"/>
        <item m="1" x="470"/>
        <item m="1" x="983"/>
        <item m="1" x="1102"/>
        <item m="1" x="594"/>
        <item m="1" x="936"/>
        <item m="1" x="1071"/>
        <item m="1" x="822"/>
        <item m="1" x="860"/>
        <item m="1" x="587"/>
        <item m="1" x="993"/>
        <item m="1" x="457"/>
        <item m="1" x="1129"/>
        <item m="1" x="1522"/>
        <item m="1" x="1243"/>
        <item m="1" x="1237"/>
        <item m="1" x="1136"/>
        <item m="1" x="462"/>
        <item m="1" x="1268"/>
        <item m="1" x="1311"/>
        <item m="1" x="1117"/>
        <item m="1" x="461"/>
        <item m="1" x="1468"/>
        <item m="1" x="1435"/>
        <item m="1" x="465"/>
        <item m="1" x="744"/>
        <item m="1" x="1134"/>
        <item m="1" x="1389"/>
        <item m="1" x="586"/>
        <item m="1" x="482"/>
        <item m="1" x="641"/>
        <item m="1" x="532"/>
        <item m="1" x="940"/>
        <item m="1" x="753"/>
        <item m="1" x="751"/>
        <item m="1" x="922"/>
        <item m="1" x="1024"/>
        <item m="1" x="928"/>
        <item m="1" x="1125"/>
        <item m="1" x="977"/>
        <item m="1" x="842"/>
        <item m="1" x="957"/>
        <item m="1" x="1450"/>
        <item m="1" x="1545"/>
        <item m="1" x="802"/>
        <item m="1" x="1525"/>
        <item m="1" x="567"/>
        <item m="1" x="1514"/>
        <item m="1" x="1211"/>
        <item m="1" x="1382"/>
        <item m="1" x="1461"/>
        <item m="1" x="1141"/>
        <item m="1" x="1353"/>
        <item m="1" x="645"/>
        <item m="1" x="628"/>
        <item m="1" x="1250"/>
        <item m="1" x="1222"/>
        <item m="1" x="784"/>
        <item m="1" x="1620"/>
        <item m="1" x="1192"/>
        <item m="1" x="932"/>
        <item m="1" x="1006"/>
        <item m="1" x="965"/>
        <item m="1" x="1475"/>
        <item m="1" x="1479"/>
        <item m="1" x="475"/>
        <item m="1" x="1359"/>
        <item m="1" x="1405"/>
        <item m="1" x="524"/>
        <item m="1" x="896"/>
        <item m="1" x="887"/>
        <item m="1" x="1394"/>
        <item m="1" x="1093"/>
        <item m="1" x="1297"/>
        <item m="1" x="963"/>
        <item m="1" x="1314"/>
        <item m="1" x="502"/>
        <item m="1" x="625"/>
        <item m="1" x="1594"/>
        <item m="1" x="1214"/>
        <item m="1" x="1586"/>
        <item m="1" x="506"/>
        <item m="1" x="766"/>
        <item m="1" x="582"/>
        <item m="1" x="515"/>
        <item m="1" x="530"/>
        <item m="1" x="1082"/>
        <item m="1" x="1115"/>
        <item m="1" x="787"/>
        <item m="1" x="1205"/>
        <item m="1" x="1523"/>
        <item m="1" x="874"/>
        <item m="1" x="953"/>
        <item m="1" x="1103"/>
        <item m="1" x="1591"/>
        <item m="1" x="768"/>
        <item m="1" x="780"/>
        <item m="1" x="790"/>
        <item m="1" x="1411"/>
        <item m="1" x="1547"/>
        <item m="1" x="464"/>
        <item m="1" x="1291"/>
        <item m="1" x="1587"/>
        <item m="1" x="688"/>
        <item m="1" x="1003"/>
        <item m="1" x="1624"/>
        <item m="1" x="1530"/>
        <item m="1" x="677"/>
        <item m="1" x="789"/>
        <item m="1" x="876"/>
        <item m="1" x="1201"/>
        <item m="1" x="1398"/>
        <item m="1" x="633"/>
        <item m="1" x="1104"/>
        <item m="1" x="629"/>
        <item m="1" x="598"/>
        <item m="1" x="546"/>
        <item m="1" x="1517"/>
        <item m="1" x="1110"/>
        <item m="1" x="1558"/>
        <item m="1" x="951"/>
        <item m="1" x="1575"/>
        <item m="1" x="1327"/>
        <item m="1" x="616"/>
        <item m="1" x="1431"/>
        <item m="1" x="1445"/>
        <item m="1" x="1105"/>
        <item m="1" x="1480"/>
        <item m="1" x="1318"/>
        <item m="1" x="1183"/>
        <item m="1" x="500"/>
        <item m="1" x="1329"/>
        <item m="1" x="1061"/>
        <item m="1" x="994"/>
        <item m="1" x="1337"/>
        <item m="1" x="921"/>
        <item m="1" x="555"/>
        <item m="1" x="727"/>
        <item m="1" x="504"/>
        <item m="1" x="853"/>
        <item m="1" x="1231"/>
        <item m="1" x="816"/>
        <item m="1" x="679"/>
        <item m="1" x="894"/>
        <item m="1" x="572"/>
        <item m="1" x="824"/>
        <item m="1" x="695"/>
        <item m="1" x="1046"/>
        <item m="1" x="1633"/>
        <item m="1" x="1087"/>
        <item m="1" x="683"/>
        <item m="1" x="960"/>
        <item m="1" x="666"/>
        <item m="1" x="719"/>
        <item m="1" x="1011"/>
        <item m="1" x="1279"/>
        <item m="1" x="996"/>
        <item m="1" x="1446"/>
        <item m="1" x="1008"/>
        <item m="1" x="1242"/>
        <item m="1" x="557"/>
        <item m="1" x="1040"/>
        <item m="1" x="680"/>
        <item m="1" x="610"/>
        <item m="1" x="1336"/>
        <item m="1" x="651"/>
        <item m="1" x="1360"/>
        <item m="1" x="552"/>
        <item m="1" x="1177"/>
        <item m="1" x="1184"/>
        <item m="1" x="588"/>
        <item m="1" x="1106"/>
        <item m="1" x="484"/>
        <item m="1" x="1307"/>
        <item m="1" x="1012"/>
        <item m="1" x="1233"/>
        <item m="1" x="1202"/>
        <item m="1" x="1422"/>
        <item m="1" x="1195"/>
        <item m="1" x="773"/>
        <item m="1" x="1274"/>
        <item m="1" x="1408"/>
        <item m="1" x="1098"/>
        <item m="1" x="1230"/>
        <item m="1" x="563"/>
        <item m="1" x="1396"/>
        <item m="1" x="1053"/>
        <item m="1" x="918"/>
        <item m="1" x="1302"/>
        <item m="1" x="828"/>
        <item m="1" x="1151"/>
        <item m="1" x="685"/>
        <item m="1" x="781"/>
        <item m="1" x="1178"/>
        <item m="1" x="947"/>
        <item m="1" x="491"/>
        <item m="1" x="825"/>
        <item m="1" x="1305"/>
        <item m="1" x="1407"/>
        <item m="1" x="510"/>
        <item m="1" x="795"/>
        <item m="1" x="730"/>
        <item m="1" x="1063"/>
        <item m="1" x="1156"/>
        <item m="1" x="596"/>
        <item m="1" x="1578"/>
        <item m="1" x="561"/>
        <item m="1" x="634"/>
        <item m="1" x="1415"/>
        <item m="1" x="923"/>
        <item m="1" x="937"/>
        <item m="1" x="991"/>
        <item m="1" x="566"/>
        <item m="1" x="845"/>
        <item m="1" x="1240"/>
        <item m="1" x="1152"/>
        <item m="1" x="942"/>
        <item m="1" x="889"/>
        <item m="1" x="519"/>
        <item m="1" x="757"/>
        <item m="1" x="1221"/>
        <item m="1" x="855"/>
        <item m="1" x="1018"/>
        <item m="1" x="955"/>
        <item m="1" x="1137"/>
        <item m="1" x="501"/>
        <item m="1" x="982"/>
        <item m="1" x="656"/>
        <item m="1" x="1059"/>
        <item m="1" x="1185"/>
        <item m="1" x="1261"/>
        <item m="1" x="1196"/>
        <item m="1" x="1157"/>
        <item m="1" x="1083"/>
        <item m="1" x="1494"/>
        <item m="1" x="1386"/>
        <item m="1" x="637"/>
        <item m="1" x="1378"/>
        <item m="1" x="832"/>
        <item m="1" x="1142"/>
        <item m="1" x="548"/>
        <item m="1" x="1121"/>
        <item m="1" x="988"/>
        <item m="1" x="1420"/>
        <item m="1" x="574"/>
        <item m="1" x="1631"/>
        <item m="1" x="613"/>
        <item m="1" x="553"/>
        <item m="1" x="1123"/>
        <item m="1" x="1323"/>
        <item m="1" x="1226"/>
        <item m="1" x="512"/>
        <item m="1" x="664"/>
        <item m="1" x="1452"/>
        <item m="1" x="1392"/>
        <item m="1" x="647"/>
        <item m="1" x="620"/>
        <item m="1" x="915"/>
        <item m="1" x="536"/>
        <item m="1" x="1143"/>
        <item m="1" x="576"/>
        <item m="1" x="746"/>
        <item m="1" x="1043"/>
        <item m="1" x="1574"/>
        <item m="1" x="614"/>
        <item m="1" x="884"/>
        <item m="1" x="731"/>
        <item m="1" x="893"/>
        <item m="1" x="1447"/>
        <item m="1" x="1330"/>
        <item m="1" x="792"/>
        <item m="1" x="545"/>
        <item m="1" x="1495"/>
        <item m="1" x="658"/>
        <item m="1" x="1440"/>
        <item m="1" x="997"/>
        <item m="1" x="1381"/>
        <item m="1" x="740"/>
        <item m="1" x="912"/>
        <item m="1" x="1397"/>
        <item m="1" x="1585"/>
        <item m="1" x="1361"/>
        <item m="1" x="760"/>
        <item m="1" x="703"/>
        <item m="1" x="1406"/>
        <item m="1" x="1170"/>
        <item m="1" x="1014"/>
        <item m="1" x="1438"/>
        <item m="1" x="486"/>
        <item m="1" x="483"/>
        <item m="1" x="1158"/>
        <item m="1" x="1298"/>
        <item m="1" x="1253"/>
        <item m="1" x="1436"/>
        <item m="1" x="961"/>
        <item m="1" x="708"/>
        <item m="1" x="782"/>
        <item m="1" x="1312"/>
        <item m="1" x="864"/>
        <item m="1" x="1094"/>
        <item m="1" x="1509"/>
        <item m="1" x="747"/>
        <item m="1" x="1084"/>
        <item m="1" x="468"/>
        <item m="1" x="79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m="1" x="785"/>
        <item m="1" x="1546"/>
        <item m="1" x="488"/>
        <item m="1" x="45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625"/>
    </i>
    <i r="2">
      <x v="3"/>
    </i>
    <i r="2">
      <x v="11"/>
    </i>
    <i r="1">
      <x v="1626"/>
    </i>
    <i r="2">
      <x v="3"/>
    </i>
    <i r="2">
      <x v="10"/>
    </i>
    <i r="2">
      <x v="11"/>
    </i>
    <i r="1">
      <x v="1629"/>
    </i>
    <i r="2">
      <x v="3"/>
    </i>
    <i r="2">
      <x v="8"/>
    </i>
    <i r="2">
      <x v="11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75" totalsRowShown="0" totalsRowDxfId="26">
  <autoFilter ref="A1:C1375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022" totalsRowShown="0">
  <autoFilter ref="A1:S5022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252</v>
      </c>
    </row>
    <row r="5" spans="1:2">
      <c r="A5" s="111" t="s">
        <v>369</v>
      </c>
      <c r="B5" s="150">
        <v>239</v>
      </c>
    </row>
    <row r="6" spans="1:2">
      <c r="A6" s="111" t="s">
        <v>404</v>
      </c>
      <c r="B6" s="150"/>
    </row>
    <row r="7" spans="1:2">
      <c r="A7" s="111" t="s">
        <v>370</v>
      </c>
      <c r="B7" s="150">
        <v>6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5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183</v>
      </c>
    </row>
    <row r="15" spans="1:2">
      <c r="A15" s="111" t="s">
        <v>369</v>
      </c>
      <c r="B15" s="150">
        <v>183</v>
      </c>
    </row>
    <row r="16" spans="1:2">
      <c r="A16" s="17" t="s">
        <v>569</v>
      </c>
      <c r="B16" s="150">
        <v>171</v>
      </c>
    </row>
    <row r="17" spans="1:2">
      <c r="A17" s="111" t="s">
        <v>369</v>
      </c>
      <c r="B17" s="150">
        <v>168</v>
      </c>
    </row>
    <row r="18" spans="1:2">
      <c r="A18" s="111" t="s">
        <v>377</v>
      </c>
      <c r="B18" s="150">
        <v>1</v>
      </c>
    </row>
    <row r="19" spans="1:2">
      <c r="A19" s="111" t="s">
        <v>692</v>
      </c>
      <c r="B19" s="150">
        <v>2</v>
      </c>
    </row>
    <row r="20" spans="1:2">
      <c r="A20" s="17" t="s">
        <v>570</v>
      </c>
      <c r="B20" s="150">
        <v>294</v>
      </c>
    </row>
    <row r="21" spans="1:2">
      <c r="A21" s="111" t="s">
        <v>369</v>
      </c>
      <c r="B21" s="150">
        <v>273</v>
      </c>
    </row>
    <row r="22" spans="1:2">
      <c r="A22" s="111" t="s">
        <v>377</v>
      </c>
      <c r="B22" s="150">
        <v>9</v>
      </c>
    </row>
    <row r="23" spans="1:2">
      <c r="A23" s="111" t="s">
        <v>375</v>
      </c>
      <c r="B23" s="150">
        <v>12</v>
      </c>
    </row>
    <row r="24" spans="1:2">
      <c r="A24" s="17" t="s">
        <v>6998</v>
      </c>
      <c r="B24" s="150">
        <v>4</v>
      </c>
    </row>
    <row r="25" spans="1:2">
      <c r="A25" s="111" t="s">
        <v>369</v>
      </c>
      <c r="B25" s="150">
        <v>4</v>
      </c>
    </row>
    <row r="26" spans="1:2">
      <c r="A26" s="17" t="s">
        <v>7194</v>
      </c>
      <c r="B26" s="150">
        <v>5</v>
      </c>
    </row>
    <row r="27" spans="1:2">
      <c r="A27" s="111" t="s">
        <v>369</v>
      </c>
      <c r="B27" s="150">
        <v>5</v>
      </c>
    </row>
    <row r="28" spans="1:2">
      <c r="A28" s="17" t="s">
        <v>381</v>
      </c>
      <c r="B28" s="150">
        <v>909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5" sqref="D25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190</v>
      </c>
      <c r="C5"/>
      <c r="D5"/>
      <c r="E5"/>
    </row>
    <row r="6" spans="1:6">
      <c r="A6" s="111" t="s">
        <v>7001</v>
      </c>
      <c r="B6" s="150">
        <v>34</v>
      </c>
      <c r="C6" s="126"/>
      <c r="D6" s="124"/>
      <c r="E6" s="124"/>
    </row>
    <row r="7" spans="1:6">
      <c r="A7" s="112" t="s">
        <v>369</v>
      </c>
      <c r="B7" s="150">
        <v>33</v>
      </c>
      <c r="C7"/>
      <c r="D7"/>
      <c r="E7"/>
    </row>
    <row r="8" spans="1:6">
      <c r="A8" s="112" t="s">
        <v>375</v>
      </c>
      <c r="B8" s="150">
        <v>1</v>
      </c>
      <c r="C8" s="56"/>
      <c r="D8" s="124"/>
      <c r="E8" s="124"/>
    </row>
    <row r="9" spans="1:6">
      <c r="A9" s="111" t="s">
        <v>7039</v>
      </c>
      <c r="B9" s="150">
        <v>145</v>
      </c>
      <c r="C9"/>
      <c r="D9"/>
    </row>
    <row r="10" spans="1:6">
      <c r="A10" s="112" t="s">
        <v>369</v>
      </c>
      <c r="B10" s="150">
        <v>130</v>
      </c>
      <c r="C10" s="53"/>
      <c r="D10" s="124"/>
      <c r="E10" s="124"/>
    </row>
    <row r="11" spans="1:6">
      <c r="A11" s="112" t="s">
        <v>377</v>
      </c>
      <c r="B11" s="150">
        <v>3</v>
      </c>
      <c r="C11"/>
      <c r="D11"/>
    </row>
    <row r="12" spans="1:6">
      <c r="A12" s="112" t="s">
        <v>375</v>
      </c>
      <c r="B12" s="150">
        <v>12</v>
      </c>
      <c r="C12" s="126"/>
      <c r="D12"/>
    </row>
    <row r="13" spans="1:6">
      <c r="A13" s="111" t="s">
        <v>7221</v>
      </c>
      <c r="B13" s="150">
        <v>11</v>
      </c>
      <c r="C13"/>
      <c r="D13"/>
    </row>
    <row r="14" spans="1:6">
      <c r="A14" s="112" t="s">
        <v>369</v>
      </c>
      <c r="B14" s="150">
        <v>1</v>
      </c>
      <c r="C14" s="126"/>
      <c r="D14"/>
    </row>
    <row r="15" spans="1:6">
      <c r="A15" s="112" t="s">
        <v>370</v>
      </c>
      <c r="B15" s="150">
        <v>6</v>
      </c>
      <c r="C15"/>
      <c r="D15" s="124"/>
      <c r="E15" s="124"/>
    </row>
    <row r="16" spans="1:6">
      <c r="A16" s="112" t="s">
        <v>375</v>
      </c>
      <c r="B16" s="150">
        <v>4</v>
      </c>
      <c r="C16"/>
      <c r="D16"/>
    </row>
    <row r="17" spans="1:5">
      <c r="A17" s="17" t="s">
        <v>4326</v>
      </c>
      <c r="B17" s="150">
        <v>2</v>
      </c>
      <c r="C17"/>
      <c r="D17" s="124"/>
      <c r="E17" s="124"/>
    </row>
    <row r="18" spans="1:5">
      <c r="A18" s="111" t="s">
        <v>6639</v>
      </c>
      <c r="B18" s="150">
        <v>2</v>
      </c>
      <c r="C18" s="126"/>
      <c r="D18"/>
    </row>
    <row r="19" spans="1:5">
      <c r="A19" s="112" t="s">
        <v>692</v>
      </c>
      <c r="B19" s="150">
        <v>2</v>
      </c>
      <c r="C19" s="47"/>
      <c r="D19"/>
    </row>
    <row r="20" spans="1:5">
      <c r="A20" s="17" t="s">
        <v>381</v>
      </c>
      <c r="B20" s="150">
        <v>192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75"/>
  <sheetViews>
    <sheetView topLeftCell="A1341" workbookViewId="0">
      <selection activeCell="C1372" sqref="C1372:C1375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022"/>
  <sheetViews>
    <sheetView tabSelected="1" topLeftCell="A5002" zoomScale="105" zoomScaleNormal="105" workbookViewId="0">
      <selection activeCell="C5017" sqref="C5017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59.33203125" customWidth="1"/>
    <col min="5" max="5" width="46.88671875" bestFit="1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248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223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223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223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223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223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223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223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223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223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223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223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219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216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216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216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216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216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216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216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216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216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216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216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216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216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216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216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216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216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216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216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216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216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216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216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216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216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216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216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216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216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216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216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216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216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216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216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216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216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216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216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216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216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215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215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215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215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215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215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215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215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215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215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215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215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215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215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215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215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215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215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215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215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215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215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215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215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215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215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215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215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215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215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215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215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215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215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215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215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215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215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215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215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215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215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215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215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215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215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215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215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215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215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215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215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215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215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215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215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215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215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215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214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214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214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214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214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213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213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211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211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210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207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207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207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207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207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207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207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207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207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207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207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207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207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207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207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207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207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207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207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207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207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206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206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206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206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206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201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201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201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196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196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196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196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196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196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196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196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196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196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196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196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196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196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196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196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196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196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192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192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192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187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186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186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186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186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186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186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186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186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186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186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186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186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172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172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171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171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171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161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146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146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146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146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146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146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146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146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146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146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146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146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146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146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146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146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146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146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146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146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143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143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143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143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142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142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142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142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142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142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142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142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142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142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142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142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142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142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142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142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142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142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142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142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142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142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142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142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142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142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142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142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142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142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141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141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141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141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141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141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141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141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141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141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141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141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141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141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141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141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141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141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137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137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137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137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137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137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137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137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137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137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137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137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137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137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137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137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137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137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137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137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137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137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137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137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137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137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137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137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137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137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137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137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137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137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137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137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137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137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137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137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137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137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137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137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137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137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137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137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137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137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137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137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137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137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137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137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137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137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137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137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137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137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137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137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137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137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137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137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137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137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137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137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137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137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137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137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137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137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137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137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137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137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137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137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137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137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137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137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137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137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137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137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131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131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126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126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121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121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121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121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121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121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121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121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121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121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121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121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121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121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121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121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121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121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121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121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121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121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121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121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121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121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121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121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121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121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121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121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121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121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121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121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121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121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121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121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121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121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121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121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121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121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121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121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121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121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121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121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121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121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121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121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121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121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121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121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121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121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121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121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121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121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121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121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121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121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121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121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121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121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121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121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121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121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121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121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121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121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121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121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121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121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121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121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121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121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121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121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121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121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121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121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121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121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121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121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121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121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121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121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121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118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118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118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118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119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116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116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111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111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111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111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111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111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111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111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111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111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111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109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109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109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109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109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109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109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109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109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109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109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109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109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109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109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109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109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109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109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109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109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109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109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109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109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109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109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109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109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109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109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109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109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109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109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109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109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109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109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109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109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109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109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109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109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109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109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109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109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109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109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109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109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109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109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109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109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109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109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109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109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109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109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109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109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109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109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109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109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109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109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109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109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109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109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109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109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109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109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109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109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109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109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109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109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109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109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109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109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109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109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109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109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109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109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109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109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109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109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109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109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109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109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109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109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109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109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109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109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109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109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109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109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109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109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109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109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109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109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109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109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109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109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109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109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109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109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109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109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109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109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109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109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109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109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109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109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109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109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109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109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109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109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109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109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109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109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109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109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109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109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109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109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109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109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109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109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109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109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109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109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109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109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109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109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109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109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109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109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109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109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109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109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109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109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109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109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109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109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109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109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109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109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109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109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109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109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109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109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109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109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109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109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109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109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109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109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109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109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109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109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109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109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109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109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109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109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109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109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109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109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109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109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109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109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109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109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109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109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109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109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109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109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109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109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109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109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109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109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109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109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109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109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109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109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109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109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109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109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109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109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109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109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109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109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109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109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109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109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109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109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109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109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109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109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109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109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109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109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109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109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109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109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109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109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109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109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109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109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109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109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109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109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109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109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109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109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109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109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109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109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109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109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109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109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109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109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109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109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109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109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109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109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109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109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109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109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109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109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109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109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109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109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109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109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109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109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109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109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109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109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109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109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109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109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109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109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109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109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109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109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109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109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109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109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109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109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109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109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109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109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109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109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109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109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107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107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107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107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107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107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107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107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107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107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106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106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106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105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105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105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105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105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105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104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104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102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101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101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101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100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100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100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98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98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98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98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98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98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98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95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95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95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95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95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95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95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95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95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95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95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95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95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95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95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95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95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95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95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95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95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95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95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95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95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95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95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95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95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94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94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92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92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92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92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92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92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92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92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92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92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90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90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90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90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90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90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90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90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89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89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89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89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89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89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89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89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89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89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89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89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89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89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89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89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89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87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87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87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87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87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87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87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87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87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87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87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87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87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87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87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87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87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87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87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87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87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87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87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87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87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87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87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87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87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87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87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87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87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87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87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87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87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87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87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87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87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87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87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87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87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87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87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87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87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87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87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87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87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87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87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87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87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87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87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87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87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87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87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87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87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87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87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87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87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87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87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87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87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87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87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87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87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87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87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87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87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87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87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87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87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87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87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87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87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87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87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87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87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87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87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87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87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87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87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87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87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87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87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87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87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87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87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87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87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87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87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87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87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87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87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87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87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87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87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87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87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87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87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87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87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87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87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87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87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87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87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87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87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87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87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87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87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87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87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87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87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87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87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87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87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87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87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87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87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87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87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87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87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87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87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87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87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87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87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87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87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87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87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87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87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87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87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87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87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87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87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87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87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87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87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87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87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87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87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87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87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87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87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87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87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87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87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87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87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87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87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87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87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87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87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87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87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87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87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87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87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87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87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87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87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87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87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87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87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87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87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87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87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87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87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87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87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87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87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87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87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87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87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87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87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87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87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87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87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87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87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87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87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87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87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87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87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87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87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87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87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87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87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87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87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87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87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87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87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87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87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87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87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87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87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87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87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87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87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87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87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87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87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87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87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87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87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87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87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87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87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87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87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87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87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87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87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87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87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87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87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87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87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87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87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87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87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87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87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87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87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87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87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87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87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86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86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86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86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86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86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86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86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86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86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86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86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86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86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86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86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86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86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86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86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86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86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86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86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86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86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86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86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86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86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86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86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86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86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86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86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86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86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86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86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86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86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86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86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86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86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86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86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86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86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86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86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86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86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86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86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86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86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86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86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86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86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86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86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86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86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86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86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86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86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86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86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86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86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86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86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86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86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86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86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86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86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86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86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86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86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86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86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86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86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86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86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86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86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86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86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86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86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86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86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86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86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86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86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86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86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86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86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86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86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86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86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86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86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86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86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86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86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86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86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86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86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86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86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86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86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86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86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86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86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86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86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86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86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86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86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86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86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86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86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86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86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86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86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86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86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86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86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86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86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86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86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86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86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86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86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86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86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86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86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86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86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86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86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86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86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86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86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86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86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86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86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86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86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86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86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86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86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86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86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86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86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86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86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86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86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86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86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86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86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86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86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86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86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86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86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86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86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86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86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86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86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83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83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83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83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83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83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83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83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83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83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83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83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83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83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83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83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83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83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83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83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83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83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83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83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83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83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83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83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83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83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83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83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83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83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83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83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83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83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83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83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83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83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83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82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82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81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81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81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81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81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81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81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80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80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80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79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79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79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79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79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79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79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79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79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79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79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79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79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79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79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79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79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79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79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79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79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79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79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79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79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79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79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79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79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79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79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79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79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79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79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79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79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79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79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79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79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79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79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79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79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79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79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79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79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79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79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79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79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79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79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79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79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79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79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79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79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79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79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79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79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79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79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79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79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79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79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79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79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79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79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79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79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79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79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79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79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79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79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79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79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79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79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79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79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79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79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79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79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79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78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78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78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78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78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78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78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78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78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78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78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78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78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78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78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78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78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78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78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77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77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77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77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77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77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77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77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77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77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77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77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77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77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77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77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77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77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76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76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76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76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76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76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76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76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76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76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76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76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73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73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73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73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73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73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73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73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73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73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73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73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73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73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73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73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73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73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73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73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73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73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73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73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73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73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73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73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73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72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72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72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72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72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72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72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72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72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72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72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72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72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72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72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72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72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72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72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72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72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72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72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72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72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72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72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72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72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72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72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72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72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72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72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71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71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71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71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71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71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71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71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71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71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71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71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71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71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71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71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71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71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71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71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71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71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71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71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71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71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71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71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71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71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71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71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71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71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71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71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71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71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71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71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71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71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71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71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71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71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71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71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71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71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71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71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71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71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71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71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71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71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71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71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71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71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71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71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71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71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71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71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71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71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71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71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71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71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71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71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71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71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71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71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71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71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71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71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71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71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71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71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71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71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71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71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71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71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71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71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71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71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71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71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71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71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71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71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71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71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71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71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71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71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71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71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71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71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71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71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71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71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71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71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71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71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71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71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71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71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71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71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71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71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71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71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71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71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71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71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71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71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71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71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71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71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71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71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71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71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71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71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71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71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71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71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71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71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71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71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71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71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71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71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71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71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71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71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71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71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71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71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71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71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71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71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71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71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71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71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71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71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71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71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71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71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71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71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71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71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71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71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71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71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71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71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71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71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71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71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71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71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71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71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71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71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71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71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71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71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71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71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71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71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71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71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71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71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71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71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71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71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71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71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71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71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71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71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71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71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71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71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71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71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71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71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71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71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71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71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69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69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69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69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69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69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69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69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69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69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69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69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69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69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69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69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68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68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68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68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68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68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68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68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68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68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68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68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68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68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68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68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68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68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68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68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68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68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68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68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68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68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68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68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68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68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68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68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68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68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68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68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68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68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68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67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67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67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67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67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67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67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67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67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67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67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67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67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67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67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67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67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67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66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66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66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66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66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66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66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66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66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66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66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66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66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66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66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66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66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66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66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66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66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66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66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66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66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66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66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66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66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66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66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66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66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66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66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66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66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66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66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66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66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66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66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66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66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66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66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66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66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66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66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66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66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66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66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66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66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66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66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66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66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66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66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66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66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66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66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66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66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66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66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66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66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66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66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66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66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66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66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66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66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66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66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66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66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66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66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66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66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66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66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66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66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66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66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66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66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66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66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66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66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66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66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66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66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66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66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66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66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66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66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66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66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66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66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62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62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62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62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62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62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62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62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62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62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62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62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61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61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61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61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61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61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61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61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61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61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61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61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61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61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61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61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61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61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61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61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61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61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61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61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61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61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61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61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61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61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61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58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58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58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58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58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58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58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58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58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57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56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56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56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56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56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56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55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55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55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55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55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55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55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55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55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55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55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55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55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55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55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55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55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55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55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55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54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54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54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54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54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54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54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54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54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54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54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54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53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53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53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53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53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53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53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53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53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53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53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53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50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50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50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50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50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50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50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50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50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50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50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50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50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50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50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50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50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50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50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50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50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50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50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50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50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50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50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50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50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50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50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50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50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50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50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50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50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50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50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50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50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50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50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50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50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50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50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50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50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50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49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49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49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49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49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49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49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49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49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49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49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49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49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49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49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49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46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45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45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45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45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45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45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43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43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43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43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43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43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43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43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43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43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43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43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43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43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43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43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43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43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43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43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43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43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43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43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43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43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43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43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43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43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43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43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43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43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43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43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43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43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43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43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43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43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43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43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43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43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43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41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41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41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41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41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41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41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41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41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41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41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41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41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41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41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41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41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41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41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41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41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41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41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41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41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41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41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41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39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39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39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39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34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34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34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34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34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33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33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33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33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33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33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33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33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33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33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33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33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30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30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30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30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30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30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30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30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30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30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30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30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30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30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30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30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30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30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30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30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30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30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30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30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30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30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30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30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30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29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28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27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27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27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27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27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27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27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27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27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27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27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27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27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27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27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27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27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27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27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27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27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27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27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27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27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27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27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26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26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26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26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26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26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26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26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26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26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26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26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26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26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26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26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26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26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26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26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26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26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26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26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26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26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26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26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26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26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26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26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26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26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26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26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26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26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26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25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28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28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23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23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23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23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23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23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23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23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23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23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23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23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23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23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23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23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23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23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23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23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23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23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23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23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23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23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23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23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23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23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23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23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23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23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23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23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23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23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23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23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23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23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23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23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23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23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23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23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23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23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23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23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23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23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23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23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23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23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23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23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23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23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23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23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23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23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23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23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23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23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23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23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23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23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23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23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23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23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23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23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23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23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23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23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23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23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23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23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23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23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23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23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23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21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21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21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21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21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21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21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21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21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21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21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21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21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21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21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21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21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21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21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21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21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21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21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21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21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21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21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21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21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20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18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18</v>
      </c>
      <c r="R4616" s="168" t="s">
        <v>1459</v>
      </c>
      <c r="S4616" s="150"/>
    </row>
    <row r="4617" spans="1:19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18</v>
      </c>
      <c r="R4617" s="168" t="s">
        <v>410</v>
      </c>
      <c r="S4617" s="150"/>
    </row>
    <row r="4618" spans="1:19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15</v>
      </c>
      <c r="R4618" s="168" t="s">
        <v>5709</v>
      </c>
      <c r="S4618" s="150"/>
    </row>
    <row r="4619" spans="1:19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15</v>
      </c>
      <c r="R4619" s="168" t="s">
        <v>5709</v>
      </c>
      <c r="S4619" s="150"/>
    </row>
    <row r="4620" spans="1:19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15</v>
      </c>
      <c r="R4620" s="168" t="s">
        <v>5709</v>
      </c>
      <c r="S4620" s="150"/>
    </row>
    <row r="4621" spans="1:19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15</v>
      </c>
      <c r="R4621" s="168" t="s">
        <v>5709</v>
      </c>
      <c r="S4621" s="150"/>
    </row>
    <row r="4622" spans="1:19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15</v>
      </c>
      <c r="R4622" s="168" t="s">
        <v>5709</v>
      </c>
      <c r="S4622" s="150"/>
    </row>
    <row r="4623" spans="1:19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15</v>
      </c>
      <c r="R4623" s="168" t="s">
        <v>5709</v>
      </c>
      <c r="S4623" s="150"/>
    </row>
    <row r="4624" spans="1:19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15</v>
      </c>
      <c r="R4624" s="168" t="s">
        <v>5709</v>
      </c>
      <c r="S4624" s="150"/>
    </row>
    <row r="4625" spans="1:19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15</v>
      </c>
      <c r="R4625" s="168" t="s">
        <v>5709</v>
      </c>
      <c r="S4625" s="150"/>
    </row>
    <row r="4626" spans="1:19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15</v>
      </c>
      <c r="R4626" s="168" t="s">
        <v>5709</v>
      </c>
      <c r="S4626" s="150"/>
    </row>
    <row r="4627" spans="1:19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15</v>
      </c>
      <c r="R4627" s="168" t="s">
        <v>5709</v>
      </c>
      <c r="S4627" s="150"/>
    </row>
    <row r="4628" spans="1:19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15</v>
      </c>
      <c r="R4628" s="168" t="s">
        <v>5709</v>
      </c>
      <c r="S4628" s="150"/>
    </row>
    <row r="4629" spans="1:19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15</v>
      </c>
      <c r="R4629" s="168" t="s">
        <v>5709</v>
      </c>
      <c r="S4629" s="150"/>
    </row>
    <row r="4630" spans="1:19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15</v>
      </c>
      <c r="R4630" s="168" t="s">
        <v>5709</v>
      </c>
      <c r="S4630" s="150"/>
    </row>
    <row r="4631" spans="1:19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15</v>
      </c>
      <c r="R4631" s="168" t="s">
        <v>5709</v>
      </c>
      <c r="S4631" s="150"/>
    </row>
    <row r="4632" spans="1:19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15</v>
      </c>
      <c r="R4632" s="168" t="s">
        <v>5709</v>
      </c>
      <c r="S4632" s="150"/>
    </row>
    <row r="4633" spans="1:19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15</v>
      </c>
      <c r="R4633" s="168" t="s">
        <v>5709</v>
      </c>
      <c r="S4633" s="150"/>
    </row>
    <row r="4634" spans="1:19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15</v>
      </c>
      <c r="R4634" s="168" t="s">
        <v>5709</v>
      </c>
      <c r="S4634" s="150"/>
    </row>
    <row r="4635" spans="1:19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15</v>
      </c>
      <c r="R4635" s="168" t="s">
        <v>5709</v>
      </c>
      <c r="S4635" s="150"/>
    </row>
    <row r="4636" spans="1:19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15</v>
      </c>
      <c r="R4636" s="168" t="s">
        <v>5709</v>
      </c>
      <c r="S4636" s="150"/>
    </row>
    <row r="4637" spans="1:19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15</v>
      </c>
      <c r="R4637" s="168" t="s">
        <v>5709</v>
      </c>
      <c r="S4637" s="150"/>
    </row>
    <row r="4638" spans="1:19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15</v>
      </c>
      <c r="R4638" s="168" t="s">
        <v>5709</v>
      </c>
      <c r="S4638" s="150"/>
    </row>
    <row r="4639" spans="1:19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15</v>
      </c>
      <c r="R4639" s="168" t="s">
        <v>5709</v>
      </c>
      <c r="S4639" s="150"/>
    </row>
    <row r="4640" spans="1:19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15</v>
      </c>
      <c r="R4640" s="168" t="s">
        <v>5709</v>
      </c>
      <c r="S4640" s="150"/>
    </row>
    <row r="4641" spans="1:19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15</v>
      </c>
      <c r="R4641" s="168" t="s">
        <v>5709</v>
      </c>
      <c r="S4641" s="150"/>
    </row>
    <row r="4642" spans="1:19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15</v>
      </c>
      <c r="R4642" s="168" t="s">
        <v>5709</v>
      </c>
      <c r="S4642" s="150"/>
    </row>
    <row r="4643" spans="1:19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15</v>
      </c>
      <c r="R4643" s="168" t="s">
        <v>5709</v>
      </c>
      <c r="S4643" s="150"/>
    </row>
    <row r="4644" spans="1:19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15</v>
      </c>
      <c r="R4644" s="168" t="s">
        <v>5709</v>
      </c>
      <c r="S4644" s="150"/>
    </row>
    <row r="4645" spans="1:19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15</v>
      </c>
      <c r="R4645" s="168" t="s">
        <v>5709</v>
      </c>
      <c r="S4645" s="150"/>
    </row>
    <row r="4646" spans="1:19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15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15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15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15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15</v>
      </c>
      <c r="R4650" s="168" t="s">
        <v>5709</v>
      </c>
      <c r="S4650" s="150"/>
    </row>
    <row r="4651" spans="1:19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15</v>
      </c>
      <c r="R4651" s="168" t="s">
        <v>5709</v>
      </c>
      <c r="S4651" s="150"/>
    </row>
    <row r="4652" spans="1:19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15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15</v>
      </c>
      <c r="R4653" s="168" t="s">
        <v>5709</v>
      </c>
      <c r="S4653" s="150"/>
    </row>
    <row r="4654" spans="1:19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15</v>
      </c>
      <c r="R4654" s="168" t="s">
        <v>5709</v>
      </c>
      <c r="S4654" s="150"/>
    </row>
    <row r="4655" spans="1:19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15</v>
      </c>
      <c r="R4655" s="168" t="s">
        <v>5709</v>
      </c>
      <c r="S4655" s="150"/>
    </row>
    <row r="4656" spans="1:19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15</v>
      </c>
      <c r="R4656" s="168" t="s">
        <v>489</v>
      </c>
      <c r="S4656" s="150"/>
    </row>
    <row r="4657" spans="1:19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15</v>
      </c>
      <c r="R4657" s="168" t="s">
        <v>489</v>
      </c>
      <c r="S4657" s="150"/>
    </row>
    <row r="4658" spans="1:19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15</v>
      </c>
      <c r="R4658" s="168" t="s">
        <v>489</v>
      </c>
      <c r="S4658" s="150"/>
    </row>
    <row r="4659" spans="1:19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15</v>
      </c>
      <c r="R4659" s="168" t="s">
        <v>489</v>
      </c>
      <c r="S4659" s="150"/>
    </row>
    <row r="4660" spans="1:19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15</v>
      </c>
      <c r="R4660" s="168" t="s">
        <v>489</v>
      </c>
      <c r="S4660" s="150"/>
    </row>
    <row r="4661" spans="1:19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15</v>
      </c>
      <c r="R4661" s="168" t="s">
        <v>489</v>
      </c>
      <c r="S4661" s="150"/>
    </row>
    <row r="4662" spans="1:19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15</v>
      </c>
      <c r="R4662" s="168" t="s">
        <v>489</v>
      </c>
      <c r="S4662" s="150"/>
    </row>
    <row r="4663" spans="1:19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15</v>
      </c>
      <c r="R4663" s="168" t="s">
        <v>489</v>
      </c>
      <c r="S4663" s="150"/>
    </row>
    <row r="4664" spans="1:19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15</v>
      </c>
      <c r="R4664" s="168" t="s">
        <v>489</v>
      </c>
      <c r="S4664" s="150"/>
    </row>
    <row r="4665" spans="1:19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15</v>
      </c>
      <c r="R4665" s="168" t="s">
        <v>489</v>
      </c>
      <c r="S4665" s="150"/>
    </row>
    <row r="4666" spans="1:19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15</v>
      </c>
      <c r="R4666" s="168" t="s">
        <v>489</v>
      </c>
      <c r="S4666" s="150"/>
    </row>
    <row r="4667" spans="1:19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15</v>
      </c>
      <c r="R4667" s="168" t="s">
        <v>489</v>
      </c>
      <c r="S4667" s="150"/>
    </row>
    <row r="4668" spans="1:19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15</v>
      </c>
      <c r="R4668" s="168" t="s">
        <v>489</v>
      </c>
      <c r="S4668" s="150"/>
    </row>
    <row r="4669" spans="1:19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15</v>
      </c>
      <c r="R4669" s="168" t="s">
        <v>489</v>
      </c>
      <c r="S4669" s="150"/>
    </row>
    <row r="4670" spans="1:19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15</v>
      </c>
      <c r="R4670" s="168" t="s">
        <v>489</v>
      </c>
      <c r="S4670" s="150"/>
    </row>
    <row r="4671" spans="1:19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15</v>
      </c>
      <c r="R4671" s="168" t="s">
        <v>489</v>
      </c>
      <c r="S4671" s="150"/>
    </row>
    <row r="4672" spans="1:19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15</v>
      </c>
      <c r="R4672" s="168" t="s">
        <v>489</v>
      </c>
      <c r="S4672" s="150"/>
    </row>
    <row r="4673" spans="1:19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15</v>
      </c>
      <c r="R4673" s="168" t="s">
        <v>489</v>
      </c>
      <c r="S4673" s="150"/>
    </row>
    <row r="4674" spans="1:19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15</v>
      </c>
      <c r="R4674" s="168" t="s">
        <v>489</v>
      </c>
      <c r="S4674" s="150"/>
    </row>
    <row r="4675" spans="1:19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15</v>
      </c>
      <c r="R4675" s="168" t="s">
        <v>489</v>
      </c>
      <c r="S4675" s="150"/>
    </row>
    <row r="4676" spans="1:19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15</v>
      </c>
      <c r="R4676" s="168" t="s">
        <v>489</v>
      </c>
      <c r="S4676" s="150"/>
    </row>
    <row r="4677" spans="1:19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12</v>
      </c>
      <c r="R4677" s="170" t="s">
        <v>6862</v>
      </c>
      <c r="S4677" s="150"/>
    </row>
    <row r="4678" spans="1:19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12</v>
      </c>
      <c r="R4678" s="170" t="s">
        <v>6862</v>
      </c>
      <c r="S4678" s="150"/>
    </row>
    <row r="4679" spans="1:19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12</v>
      </c>
      <c r="R4679" s="170" t="s">
        <v>6862</v>
      </c>
      <c r="S4679" s="150"/>
    </row>
    <row r="4680" spans="1:19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12</v>
      </c>
      <c r="R4680" s="170" t="s">
        <v>6862</v>
      </c>
      <c r="S4680" s="150"/>
    </row>
    <row r="4681" spans="1:19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12</v>
      </c>
      <c r="R4681" s="170" t="s">
        <v>6862</v>
      </c>
      <c r="S4681" s="150"/>
    </row>
    <row r="4682" spans="1:19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12</v>
      </c>
      <c r="R4682" s="170" t="s">
        <v>6862</v>
      </c>
      <c r="S4682" s="150"/>
    </row>
    <row r="4683" spans="1:19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12</v>
      </c>
      <c r="R4683" s="170" t="s">
        <v>6862</v>
      </c>
      <c r="S4683" s="150"/>
    </row>
    <row r="4684" spans="1:19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12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12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12</v>
      </c>
      <c r="R4686" s="170" t="s">
        <v>478</v>
      </c>
      <c r="S4686" s="150"/>
    </row>
    <row r="4687" spans="1:19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12</v>
      </c>
      <c r="R4687" s="170" t="s">
        <v>5682</v>
      </c>
      <c r="S4687" s="150"/>
    </row>
    <row r="4688" spans="1:19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12</v>
      </c>
      <c r="R4688" s="170" t="s">
        <v>738</v>
      </c>
      <c r="S4688" s="150"/>
    </row>
    <row r="4689" spans="1:19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12</v>
      </c>
      <c r="R4689" s="170" t="s">
        <v>738</v>
      </c>
      <c r="S4689" s="150"/>
    </row>
    <row r="4690" spans="1:19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12</v>
      </c>
      <c r="R4690" s="170" t="s">
        <v>738</v>
      </c>
      <c r="S4690" s="150"/>
    </row>
    <row r="4691" spans="1:19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12</v>
      </c>
      <c r="R4691" s="170" t="s">
        <v>738</v>
      </c>
      <c r="S4691" s="150"/>
    </row>
    <row r="4692" spans="1:19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12</v>
      </c>
      <c r="R4692" s="170" t="s">
        <v>738</v>
      </c>
      <c r="S4692" s="150"/>
    </row>
    <row r="4693" spans="1:19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12</v>
      </c>
      <c r="R4693" s="170" t="s">
        <v>738</v>
      </c>
      <c r="S4693" s="150"/>
    </row>
    <row r="4694" spans="1:19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12</v>
      </c>
      <c r="R4694" s="170" t="s">
        <v>738</v>
      </c>
      <c r="S4694" s="150"/>
    </row>
    <row r="4695" spans="1:19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12</v>
      </c>
      <c r="R4695" s="170" t="s">
        <v>738</v>
      </c>
      <c r="S4695" s="150"/>
    </row>
    <row r="4696" spans="1:19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12</v>
      </c>
      <c r="R4696" s="170" t="s">
        <v>738</v>
      </c>
      <c r="S4696" s="150"/>
    </row>
    <row r="4697" spans="1:19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12</v>
      </c>
      <c r="R4697" s="170" t="s">
        <v>738</v>
      </c>
      <c r="S4697" s="150"/>
    </row>
    <row r="4698" spans="1:19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12</v>
      </c>
      <c r="R4698" s="170" t="s">
        <v>738</v>
      </c>
      <c r="S4698" s="150"/>
    </row>
    <row r="4699" spans="1:19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12</v>
      </c>
      <c r="R4699" s="170" t="s">
        <v>738</v>
      </c>
      <c r="S4699" s="150"/>
    </row>
    <row r="4700" spans="1:19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12</v>
      </c>
      <c r="R4700" s="170" t="s">
        <v>484</v>
      </c>
      <c r="S4700" s="150"/>
    </row>
    <row r="4701" spans="1:19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11</v>
      </c>
      <c r="R4701" s="170" t="s">
        <v>484</v>
      </c>
      <c r="S4701" s="150"/>
    </row>
    <row r="4702" spans="1:19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11</v>
      </c>
      <c r="R4702" s="170" t="s">
        <v>484</v>
      </c>
      <c r="S4702" s="150"/>
    </row>
    <row r="4703" spans="1:19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11</v>
      </c>
      <c r="R4703" s="170" t="s">
        <v>478</v>
      </c>
      <c r="S4703" s="150"/>
    </row>
    <row r="4704" spans="1:19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11</v>
      </c>
      <c r="R4704" s="170" t="s">
        <v>478</v>
      </c>
      <c r="S4704" s="150"/>
    </row>
    <row r="4705" spans="1:19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11</v>
      </c>
      <c r="R4705" s="170" t="s">
        <v>478</v>
      </c>
      <c r="S4705" s="150"/>
    </row>
    <row r="4706" spans="1:19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11</v>
      </c>
      <c r="R4706" s="170" t="s">
        <v>478</v>
      </c>
      <c r="S4706" s="150"/>
    </row>
    <row r="4707" spans="1:19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11</v>
      </c>
      <c r="R4707" s="170" t="s">
        <v>478</v>
      </c>
      <c r="S4707" s="150"/>
    </row>
    <row r="4708" spans="1:19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11</v>
      </c>
      <c r="R4708" s="170" t="s">
        <v>478</v>
      </c>
      <c r="S4708" s="150"/>
    </row>
    <row r="4709" spans="1:19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11</v>
      </c>
      <c r="R4709" s="170" t="s">
        <v>478</v>
      </c>
      <c r="S4709" s="150"/>
    </row>
    <row r="4710" spans="1:19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11</v>
      </c>
      <c r="R4710" s="170" t="s">
        <v>478</v>
      </c>
      <c r="S4710" s="150"/>
    </row>
    <row r="4711" spans="1:19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11</v>
      </c>
      <c r="R4711" s="170" t="s">
        <v>478</v>
      </c>
      <c r="S4711" s="150"/>
    </row>
    <row r="4712" spans="1:19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11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11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11</v>
      </c>
      <c r="R4714" s="170" t="s">
        <v>478</v>
      </c>
      <c r="S4714" s="150"/>
    </row>
    <row r="4715" spans="1:19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9</v>
      </c>
      <c r="R4715" s="170" t="s">
        <v>515</v>
      </c>
      <c r="S4715" s="150"/>
    </row>
    <row r="4716" spans="1:19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9</v>
      </c>
      <c r="R4716" s="170" t="s">
        <v>515</v>
      </c>
      <c r="S4716" s="150"/>
    </row>
    <row r="4717" spans="1:19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9</v>
      </c>
      <c r="R4717" s="170" t="s">
        <v>515</v>
      </c>
      <c r="S4717" s="150"/>
    </row>
    <row r="4718" spans="1:19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9</v>
      </c>
      <c r="R4718" s="170" t="s">
        <v>515</v>
      </c>
      <c r="S4718" s="150"/>
    </row>
    <row r="4719" spans="1:19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9</v>
      </c>
      <c r="R4719" s="170" t="s">
        <v>515</v>
      </c>
      <c r="S4719" s="150"/>
    </row>
    <row r="4720" spans="1:19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9</v>
      </c>
      <c r="R4720" s="170" t="s">
        <v>515</v>
      </c>
      <c r="S4720" s="150"/>
    </row>
    <row r="4721" spans="1:19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9</v>
      </c>
      <c r="R4721" s="170" t="s">
        <v>515</v>
      </c>
      <c r="S4721" s="150"/>
    </row>
    <row r="4722" spans="1:19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7</v>
      </c>
      <c r="R4722" s="170" t="s">
        <v>489</v>
      </c>
      <c r="S4722" s="150"/>
    </row>
    <row r="4723" spans="1:19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7</v>
      </c>
      <c r="R4723" s="170" t="s">
        <v>489</v>
      </c>
      <c r="S4723" s="150"/>
    </row>
    <row r="4724" spans="1:19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7</v>
      </c>
      <c r="R4724" s="170" t="s">
        <v>489</v>
      </c>
      <c r="S4724" s="150"/>
    </row>
    <row r="4725" spans="1:19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7</v>
      </c>
      <c r="R4725" s="170" t="s">
        <v>489</v>
      </c>
      <c r="S4725" s="150"/>
    </row>
    <row r="4726" spans="1:19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7</v>
      </c>
      <c r="R4726" s="170" t="s">
        <v>489</v>
      </c>
      <c r="S4726" s="150"/>
    </row>
    <row r="4727" spans="1:19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7</v>
      </c>
      <c r="R4727" s="170" t="s">
        <v>489</v>
      </c>
      <c r="S4727" s="150"/>
    </row>
    <row r="4728" spans="1:19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7</v>
      </c>
      <c r="R4728" s="170" t="s">
        <v>489</v>
      </c>
      <c r="S4728" s="150"/>
    </row>
    <row r="4729" spans="1:19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7</v>
      </c>
      <c r="R4729" s="170" t="s">
        <v>489</v>
      </c>
      <c r="S4729" s="150"/>
    </row>
    <row r="4730" spans="1:19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7</v>
      </c>
      <c r="R4730" s="170" t="s">
        <v>489</v>
      </c>
      <c r="S4730" s="150"/>
    </row>
    <row r="4731" spans="1:19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7</v>
      </c>
      <c r="R4731" s="170" t="s">
        <v>489</v>
      </c>
      <c r="S4731" s="150"/>
    </row>
    <row r="4732" spans="1:19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7</v>
      </c>
      <c r="R4732" s="170" t="s">
        <v>489</v>
      </c>
      <c r="S4732" s="150"/>
    </row>
    <row r="4733" spans="1:19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7</v>
      </c>
      <c r="R4733" s="170" t="s">
        <v>489</v>
      </c>
      <c r="S4733" s="150"/>
    </row>
    <row r="4734" spans="1:19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7</v>
      </c>
      <c r="R4734" s="170" t="s">
        <v>489</v>
      </c>
      <c r="S4734" s="150"/>
    </row>
    <row r="4735" spans="1:19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7</v>
      </c>
      <c r="R4735" s="170" t="s">
        <v>489</v>
      </c>
      <c r="S4735" s="150"/>
    </row>
    <row r="4736" spans="1:19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7</v>
      </c>
      <c r="R4736" s="170" t="s">
        <v>489</v>
      </c>
      <c r="S4736" s="150"/>
    </row>
    <row r="4737" spans="1:19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7</v>
      </c>
      <c r="R4737" s="170" t="s">
        <v>489</v>
      </c>
      <c r="S4737" s="150"/>
    </row>
    <row r="4738" spans="1:19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7</v>
      </c>
      <c r="R4738" s="170" t="s">
        <v>489</v>
      </c>
      <c r="S4738" s="150"/>
    </row>
    <row r="4739" spans="1:19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7</v>
      </c>
      <c r="R4739" s="170" t="s">
        <v>489</v>
      </c>
      <c r="S4739" s="150"/>
    </row>
    <row r="4740" spans="1:19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7</v>
      </c>
      <c r="R4740" s="170" t="s">
        <v>489</v>
      </c>
      <c r="S4740" s="150"/>
    </row>
    <row r="4741" spans="1:19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7</v>
      </c>
      <c r="R4741" s="170" t="s">
        <v>489</v>
      </c>
      <c r="S4741" s="150"/>
    </row>
    <row r="4742" spans="1:19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7</v>
      </c>
      <c r="R4742" s="170" t="s">
        <v>489</v>
      </c>
      <c r="S4742" s="150"/>
    </row>
    <row r="4743" spans="1:19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7</v>
      </c>
      <c r="R4743" s="170" t="s">
        <v>489</v>
      </c>
      <c r="S4743" s="150"/>
    </row>
    <row r="4744" spans="1:19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7</v>
      </c>
      <c r="R4744" s="170" t="s">
        <v>489</v>
      </c>
      <c r="S4744" s="150"/>
    </row>
    <row r="4745" spans="1:19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7</v>
      </c>
      <c r="R4745" s="170" t="s">
        <v>489</v>
      </c>
      <c r="S4745" s="150"/>
    </row>
    <row r="4746" spans="1:19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7</v>
      </c>
      <c r="R4746" s="170" t="s">
        <v>489</v>
      </c>
      <c r="S4746" s="150"/>
    </row>
    <row r="4747" spans="1:19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7</v>
      </c>
      <c r="R4747" s="170" t="s">
        <v>489</v>
      </c>
      <c r="S4747" s="150"/>
    </row>
    <row r="4748" spans="1:19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7</v>
      </c>
      <c r="R4748" s="170" t="s">
        <v>489</v>
      </c>
      <c r="S4748" s="150"/>
    </row>
    <row r="4749" spans="1:19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7</v>
      </c>
      <c r="R4749" s="170" t="s">
        <v>489</v>
      </c>
      <c r="S4749" s="150"/>
    </row>
    <row r="4750" spans="1:19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7</v>
      </c>
      <c r="R4750" s="170" t="s">
        <v>489</v>
      </c>
      <c r="S4750" s="150"/>
    </row>
    <row r="4751" spans="1:19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7</v>
      </c>
      <c r="R4751" s="170" t="s">
        <v>489</v>
      </c>
      <c r="S4751" s="150"/>
    </row>
    <row r="4752" spans="1:19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7</v>
      </c>
      <c r="R4752" s="172" t="s">
        <v>515</v>
      </c>
      <c r="S4752" s="150"/>
    </row>
    <row r="4753" spans="1:19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7</v>
      </c>
      <c r="R4753" s="172" t="s">
        <v>515</v>
      </c>
      <c r="S4753" s="150"/>
    </row>
    <row r="4754" spans="1:19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7</v>
      </c>
      <c r="R4754" s="172" t="s">
        <v>515</v>
      </c>
      <c r="S4754" s="150"/>
    </row>
    <row r="4755" spans="1:19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7</v>
      </c>
      <c r="R4755" s="172" t="s">
        <v>5709</v>
      </c>
      <c r="S4755" s="150"/>
    </row>
    <row r="4756" spans="1:19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7</v>
      </c>
      <c r="R4756" s="172" t="s">
        <v>5709</v>
      </c>
      <c r="S4756" s="150"/>
    </row>
    <row r="4757" spans="1:19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7</v>
      </c>
      <c r="R4757" s="172" t="s">
        <v>5709</v>
      </c>
      <c r="S4757" s="150"/>
    </row>
    <row r="4758" spans="1:19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7</v>
      </c>
      <c r="R4758" s="172" t="s">
        <v>5709</v>
      </c>
      <c r="S4758" s="150"/>
    </row>
    <row r="4759" spans="1:19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7</v>
      </c>
      <c r="R4759" s="172" t="s">
        <v>5709</v>
      </c>
      <c r="S4759" s="150"/>
    </row>
    <row r="4760" spans="1:19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7</v>
      </c>
      <c r="R4760" s="172" t="s">
        <v>5709</v>
      </c>
      <c r="S4760" s="150"/>
    </row>
    <row r="4761" spans="1:19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7</v>
      </c>
      <c r="R4761" s="172" t="s">
        <v>5709</v>
      </c>
      <c r="S4761" s="150"/>
    </row>
    <row r="4762" spans="1:19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7</v>
      </c>
      <c r="R4762" s="172" t="s">
        <v>5709</v>
      </c>
      <c r="S4762" s="150"/>
    </row>
    <row r="4763" spans="1:19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7</v>
      </c>
      <c r="R4763" s="172" t="s">
        <v>5709</v>
      </c>
      <c r="S4763" s="150"/>
    </row>
    <row r="4764" spans="1:19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7</v>
      </c>
      <c r="R4764" s="172" t="s">
        <v>5709</v>
      </c>
      <c r="S4764" s="150"/>
    </row>
    <row r="4765" spans="1:19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7</v>
      </c>
      <c r="R4765" s="172" t="s">
        <v>5709</v>
      </c>
      <c r="S4765" s="150"/>
    </row>
    <row r="4766" spans="1:19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7</v>
      </c>
      <c r="R4766" s="172" t="s">
        <v>5709</v>
      </c>
      <c r="S4766" s="150"/>
    </row>
    <row r="4767" spans="1:19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7</v>
      </c>
      <c r="R4767" s="172" t="s">
        <v>5709</v>
      </c>
      <c r="S4767" s="150"/>
    </row>
    <row r="4768" spans="1:19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7</v>
      </c>
      <c r="R4768" s="172" t="s">
        <v>5709</v>
      </c>
      <c r="S4768" s="150"/>
    </row>
    <row r="4769" spans="1:19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7</v>
      </c>
      <c r="R4769" s="172" t="s">
        <v>5709</v>
      </c>
      <c r="S4769" s="150"/>
    </row>
    <row r="4770" spans="1:19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7</v>
      </c>
      <c r="R4770" s="172" t="s">
        <v>5709</v>
      </c>
      <c r="S4770" s="150"/>
    </row>
    <row r="4771" spans="1:19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7</v>
      </c>
      <c r="R4771" s="172" t="s">
        <v>5709</v>
      </c>
      <c r="S4771" s="150"/>
    </row>
    <row r="4772" spans="1:19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7</v>
      </c>
      <c r="R4772" s="172" t="s">
        <v>5709</v>
      </c>
      <c r="S4772" s="150"/>
    </row>
    <row r="4773" spans="1:19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7</v>
      </c>
      <c r="R4773" s="172" t="s">
        <v>5709</v>
      </c>
      <c r="S4773" s="150"/>
    </row>
    <row r="4774" spans="1:19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7</v>
      </c>
      <c r="R4774" s="172" t="s">
        <v>5709</v>
      </c>
      <c r="S4774" s="150"/>
    </row>
    <row r="4775" spans="1:19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7</v>
      </c>
      <c r="R4775" s="172" t="s">
        <v>5709</v>
      </c>
      <c r="S4775" s="150"/>
    </row>
    <row r="4776" spans="1:19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7</v>
      </c>
      <c r="R4776" s="172" t="s">
        <v>5709</v>
      </c>
      <c r="S4776" s="150"/>
    </row>
    <row r="4777" spans="1:19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7</v>
      </c>
      <c r="R4777" s="172" t="s">
        <v>5709</v>
      </c>
      <c r="S4777" s="150"/>
    </row>
    <row r="4778" spans="1:19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7</v>
      </c>
      <c r="R4778" s="172" t="s">
        <v>5709</v>
      </c>
      <c r="S4778" s="150"/>
    </row>
    <row r="4779" spans="1:19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7</v>
      </c>
      <c r="R4779" s="172" t="s">
        <v>5709</v>
      </c>
      <c r="S4779" s="150"/>
    </row>
    <row r="4780" spans="1:19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7</v>
      </c>
      <c r="R4780" s="172" t="s">
        <v>6982</v>
      </c>
      <c r="S4780" s="150"/>
    </row>
    <row r="4781" spans="1:19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7</v>
      </c>
      <c r="R4781" s="172" t="s">
        <v>6982</v>
      </c>
      <c r="S4781" s="150"/>
    </row>
    <row r="4782" spans="1:19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7</v>
      </c>
      <c r="R4782" s="172" t="s">
        <v>6982</v>
      </c>
      <c r="S4782" s="150"/>
    </row>
    <row r="4783" spans="1:19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7</v>
      </c>
      <c r="R4783" s="172" t="s">
        <v>6982</v>
      </c>
      <c r="S4783" s="150"/>
    </row>
    <row r="4784" spans="1:19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7</v>
      </c>
      <c r="R4784" s="172" t="s">
        <v>6982</v>
      </c>
      <c r="S4784" s="150"/>
    </row>
    <row r="4785" spans="1:19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7</v>
      </c>
      <c r="R4785" s="172" t="s">
        <v>6982</v>
      </c>
      <c r="S4785" s="150"/>
    </row>
    <row r="4786" spans="1:19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6</v>
      </c>
      <c r="R4786" s="173" t="s">
        <v>6990</v>
      </c>
      <c r="S4786" s="150"/>
    </row>
    <row r="4787" spans="1:19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6</v>
      </c>
      <c r="R4787" s="173" t="s">
        <v>6990</v>
      </c>
      <c r="S4787" s="150"/>
    </row>
    <row r="4788" spans="1:19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6</v>
      </c>
      <c r="R4788" s="173" t="s">
        <v>6990</v>
      </c>
      <c r="S4788" s="150"/>
    </row>
    <row r="4789" spans="1:19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6</v>
      </c>
      <c r="R4789" s="173" t="s">
        <v>6990</v>
      </c>
      <c r="S4789" s="150"/>
    </row>
    <row r="4790" spans="1:19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6</v>
      </c>
      <c r="R4790" s="172" t="s">
        <v>515</v>
      </c>
      <c r="S4790" s="150"/>
    </row>
    <row r="4791" spans="1:19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6</v>
      </c>
      <c r="R4791" s="172" t="s">
        <v>515</v>
      </c>
      <c r="S4791" s="150"/>
    </row>
    <row r="4792" spans="1:19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6</v>
      </c>
      <c r="R4792" s="172" t="s">
        <v>515</v>
      </c>
      <c r="S4792" s="150"/>
    </row>
    <row r="4793" spans="1:19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6</v>
      </c>
      <c r="R4793" s="172" t="s">
        <v>515</v>
      </c>
      <c r="S4793" s="150"/>
    </row>
    <row r="4794" spans="1:19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6</v>
      </c>
      <c r="R4794" s="172" t="s">
        <v>515</v>
      </c>
      <c r="S4794" s="150"/>
    </row>
    <row r="4795" spans="1:19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6</v>
      </c>
      <c r="R4795" s="173" t="s">
        <v>489</v>
      </c>
      <c r="S4795" s="150"/>
    </row>
    <row r="4796" spans="1:19">
      <c r="A4796" t="s">
        <v>7001</v>
      </c>
      <c r="B4796" s="150" t="str">
        <f>IFERROR(VLOOKUP(Proc[[#This Row],[App]],Table2[],3,0),"open")</f>
        <v>open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on track</v>
      </c>
      <c r="Q4796" s="3">
        <f ca="1">IF(Proc[[#This Row],[DateClosed]]="",ABS(NETWORKDAYS(Proc[[#This Row],[DateOpened]],TODAY()))-1,ABS(NETWORKDAYS(Proc[[#This Row],[DateOpened]],Proc[[#This Row],[DateClosed]]))-1)</f>
        <v>4</v>
      </c>
      <c r="R4796" s="174" t="s">
        <v>485</v>
      </c>
      <c r="S4796" s="150"/>
    </row>
    <row r="4797" spans="1:19">
      <c r="A4797" t="s">
        <v>7001</v>
      </c>
      <c r="B4797" s="150" t="str">
        <f>IFERROR(VLOOKUP(Proc[[#This Row],[App]],Table2[],3,0),"open")</f>
        <v>open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on track</v>
      </c>
      <c r="Q4797" s="3">
        <f ca="1">IF(Proc[[#This Row],[DateClosed]]="",ABS(NETWORKDAYS(Proc[[#This Row],[DateOpened]],TODAY()))-1,ABS(NETWORKDAYS(Proc[[#This Row],[DateOpened]],Proc[[#This Row],[DateClosed]]))-1)</f>
        <v>4</v>
      </c>
      <c r="R4797" s="174" t="s">
        <v>485</v>
      </c>
      <c r="S4797" s="150"/>
    </row>
    <row r="4798" spans="1:19">
      <c r="A4798" s="149" t="s">
        <v>7001</v>
      </c>
      <c r="B4798" s="150" t="str">
        <f>IFERROR(VLOOKUP(Proc[[#This Row],[App]],Table2[],3,0),"open")</f>
        <v>open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on track</v>
      </c>
      <c r="Q4798" s="3">
        <f ca="1">IF(Proc[[#This Row],[DateClosed]]="",ABS(NETWORKDAYS(Proc[[#This Row],[DateOpened]],TODAY()))-1,ABS(NETWORKDAYS(Proc[[#This Row],[DateOpened]],Proc[[#This Row],[DateClosed]]))-1)</f>
        <v>4</v>
      </c>
      <c r="R4798" s="174" t="s">
        <v>485</v>
      </c>
      <c r="S4798" s="150"/>
    </row>
    <row r="4799" spans="1:19">
      <c r="A4799" s="149" t="s">
        <v>7001</v>
      </c>
      <c r="B4799" s="150" t="str">
        <f>IFERROR(VLOOKUP(Proc[[#This Row],[App]],Table2[],3,0),"open")</f>
        <v>open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on track</v>
      </c>
      <c r="Q4799" s="3">
        <f ca="1">IF(Proc[[#This Row],[DateClosed]]="",ABS(NETWORKDAYS(Proc[[#This Row],[DateOpened]],TODAY()))-1,ABS(NETWORKDAYS(Proc[[#This Row],[DateOpened]],Proc[[#This Row],[DateClosed]]))-1)</f>
        <v>4</v>
      </c>
      <c r="R4799" s="174" t="s">
        <v>485</v>
      </c>
      <c r="S4799" s="150"/>
    </row>
    <row r="4800" spans="1:19">
      <c r="A4800" s="149" t="s">
        <v>7001</v>
      </c>
      <c r="B4800" s="150" t="str">
        <f>IFERROR(VLOOKUP(Proc[[#This Row],[App]],Table2[],3,0),"open")</f>
        <v>open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on track</v>
      </c>
      <c r="Q4800" s="3">
        <f ca="1">IF(Proc[[#This Row],[DateClosed]]="",ABS(NETWORKDAYS(Proc[[#This Row],[DateOpened]],TODAY()))-1,ABS(NETWORKDAYS(Proc[[#This Row],[DateOpened]],Proc[[#This Row],[DateClosed]]))-1)</f>
        <v>4</v>
      </c>
      <c r="R4800" s="174" t="s">
        <v>485</v>
      </c>
      <c r="S4800" s="150"/>
    </row>
    <row r="4801" spans="1:19">
      <c r="A4801" s="149" t="s">
        <v>7001</v>
      </c>
      <c r="B4801" s="150" t="str">
        <f>IFERROR(VLOOKUP(Proc[[#This Row],[App]],Table2[],3,0),"open")</f>
        <v>open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on track</v>
      </c>
      <c r="Q4801" s="3">
        <f ca="1">IF(Proc[[#This Row],[DateClosed]]="",ABS(NETWORKDAYS(Proc[[#This Row],[DateOpened]],TODAY()))-1,ABS(NETWORKDAYS(Proc[[#This Row],[DateOpened]],Proc[[#This Row],[DateClosed]]))-1)</f>
        <v>4</v>
      </c>
      <c r="R4801" s="174" t="s">
        <v>485</v>
      </c>
      <c r="S4801" s="150"/>
    </row>
    <row r="4802" spans="1:19">
      <c r="A4802" s="149" t="s">
        <v>7001</v>
      </c>
      <c r="B4802" s="150" t="str">
        <f>IFERROR(VLOOKUP(Proc[[#This Row],[App]],Table2[],3,0),"open")</f>
        <v>open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on track</v>
      </c>
      <c r="Q4802" s="3">
        <f ca="1">IF(Proc[[#This Row],[DateClosed]]="",ABS(NETWORKDAYS(Proc[[#This Row],[DateOpened]],TODAY()))-1,ABS(NETWORKDAYS(Proc[[#This Row],[DateOpened]],Proc[[#This Row],[DateClosed]]))-1)</f>
        <v>4</v>
      </c>
      <c r="R4802" s="174" t="s">
        <v>485</v>
      </c>
      <c r="S4802" s="150"/>
    </row>
    <row r="4803" spans="1:19">
      <c r="A4803" s="149" t="s">
        <v>7001</v>
      </c>
      <c r="B4803" s="150" t="str">
        <f>IFERROR(VLOOKUP(Proc[[#This Row],[App]],Table2[],3,0),"open")</f>
        <v>open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on track</v>
      </c>
      <c r="Q4803" s="3">
        <f ca="1">IF(Proc[[#This Row],[DateClosed]]="",ABS(NETWORKDAYS(Proc[[#This Row],[DateOpened]],TODAY()))-1,ABS(NETWORKDAYS(Proc[[#This Row],[DateOpened]],Proc[[#This Row],[DateClosed]]))-1)</f>
        <v>4</v>
      </c>
      <c r="R4803" s="174" t="s">
        <v>485</v>
      </c>
      <c r="S4803" s="150"/>
    </row>
    <row r="4804" spans="1:19">
      <c r="A4804" s="149" t="s">
        <v>7001</v>
      </c>
      <c r="B4804" s="150" t="str">
        <f>IFERROR(VLOOKUP(Proc[[#This Row],[App]],Table2[],3,0),"open")</f>
        <v>open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on track</v>
      </c>
      <c r="Q4804" s="3">
        <f ca="1">IF(Proc[[#This Row],[DateClosed]]="",ABS(NETWORKDAYS(Proc[[#This Row],[DateOpened]],TODAY()))-1,ABS(NETWORKDAYS(Proc[[#This Row],[DateOpened]],Proc[[#This Row],[DateClosed]]))-1)</f>
        <v>4</v>
      </c>
      <c r="R4804" s="174" t="s">
        <v>485</v>
      </c>
      <c r="S4804" s="150"/>
    </row>
    <row r="4805" spans="1:19">
      <c r="A4805" s="149" t="s">
        <v>7001</v>
      </c>
      <c r="B4805" s="150" t="str">
        <f>IFERROR(VLOOKUP(Proc[[#This Row],[App]],Table2[],3,0),"open")</f>
        <v>open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on track</v>
      </c>
      <c r="Q4805" s="3">
        <f ca="1">IF(Proc[[#This Row],[DateClosed]]="",ABS(NETWORKDAYS(Proc[[#This Row],[DateOpened]],TODAY()))-1,ABS(NETWORKDAYS(Proc[[#This Row],[DateOpened]],Proc[[#This Row],[DateClosed]]))-1)</f>
        <v>4</v>
      </c>
      <c r="R4805" s="174" t="s">
        <v>485</v>
      </c>
      <c r="S4805" s="150"/>
    </row>
    <row r="4806" spans="1:19">
      <c r="A4806" s="149" t="s">
        <v>7001</v>
      </c>
      <c r="B4806" s="150" t="str">
        <f>IFERROR(VLOOKUP(Proc[[#This Row],[App]],Table2[],3,0),"open")</f>
        <v>open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on track</v>
      </c>
      <c r="Q4806" s="3">
        <f ca="1">IF(Proc[[#This Row],[DateClosed]]="",ABS(NETWORKDAYS(Proc[[#This Row],[DateOpened]],TODAY()))-1,ABS(NETWORKDAYS(Proc[[#This Row],[DateOpened]],Proc[[#This Row],[DateClosed]]))-1)</f>
        <v>4</v>
      </c>
      <c r="R4806" s="174" t="s">
        <v>485</v>
      </c>
      <c r="S4806" s="150"/>
    </row>
    <row r="4807" spans="1:19">
      <c r="A4807" s="149" t="s">
        <v>7001</v>
      </c>
      <c r="B4807" s="150" t="str">
        <f>IFERROR(VLOOKUP(Proc[[#This Row],[App]],Table2[],3,0),"open")</f>
        <v>open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on track</v>
      </c>
      <c r="Q4807" s="3">
        <f ca="1">IF(Proc[[#This Row],[DateClosed]]="",ABS(NETWORKDAYS(Proc[[#This Row],[DateOpened]],TODAY()))-1,ABS(NETWORKDAYS(Proc[[#This Row],[DateOpened]],Proc[[#This Row],[DateClosed]]))-1)</f>
        <v>4</v>
      </c>
      <c r="R4807" s="174" t="s">
        <v>485</v>
      </c>
      <c r="S4807" s="150"/>
    </row>
    <row r="4808" spans="1:19">
      <c r="A4808" s="149" t="s">
        <v>7001</v>
      </c>
      <c r="B4808" s="150" t="str">
        <f>IFERROR(VLOOKUP(Proc[[#This Row],[App]],Table2[],3,0),"open")</f>
        <v>open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on track</v>
      </c>
      <c r="Q4808" s="3">
        <f ca="1">IF(Proc[[#This Row],[DateClosed]]="",ABS(NETWORKDAYS(Proc[[#This Row],[DateOpened]],TODAY()))-1,ABS(NETWORKDAYS(Proc[[#This Row],[DateOpened]],Proc[[#This Row],[DateClosed]]))-1)</f>
        <v>4</v>
      </c>
      <c r="R4808" s="174" t="s">
        <v>485</v>
      </c>
      <c r="S4808" s="150"/>
    </row>
    <row r="4809" spans="1:19">
      <c r="A4809" s="149" t="s">
        <v>7001</v>
      </c>
      <c r="B4809" s="150" t="str">
        <f>IFERROR(VLOOKUP(Proc[[#This Row],[App]],Table2[],3,0),"open")</f>
        <v>open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on track</v>
      </c>
      <c r="Q4809" s="3">
        <f ca="1">IF(Proc[[#This Row],[DateClosed]]="",ABS(NETWORKDAYS(Proc[[#This Row],[DateOpened]],TODAY()))-1,ABS(NETWORKDAYS(Proc[[#This Row],[DateOpened]],Proc[[#This Row],[DateClosed]]))-1)</f>
        <v>4</v>
      </c>
      <c r="R4809" s="174" t="s">
        <v>485</v>
      </c>
      <c r="S4809" s="150"/>
    </row>
    <row r="4810" spans="1:19">
      <c r="A4810" s="149" t="s">
        <v>7001</v>
      </c>
      <c r="B4810" s="150" t="str">
        <f>IFERROR(VLOOKUP(Proc[[#This Row],[App]],Table2[],3,0),"open")</f>
        <v>open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on track</v>
      </c>
      <c r="Q4810" s="3">
        <f ca="1">IF(Proc[[#This Row],[DateClosed]]="",ABS(NETWORKDAYS(Proc[[#This Row],[DateOpened]],TODAY()))-1,ABS(NETWORKDAYS(Proc[[#This Row],[DateOpened]],Proc[[#This Row],[DateClosed]]))-1)</f>
        <v>4</v>
      </c>
      <c r="R4810" s="174" t="s">
        <v>485</v>
      </c>
      <c r="S4810" s="150"/>
    </row>
    <row r="4811" spans="1:19">
      <c r="A4811" s="149" t="s">
        <v>7001</v>
      </c>
      <c r="B4811" s="150" t="str">
        <f>IFERROR(VLOOKUP(Proc[[#This Row],[App]],Table2[],3,0),"open")</f>
        <v>open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on track</v>
      </c>
      <c r="Q4811" s="3">
        <f ca="1">IF(Proc[[#This Row],[DateClosed]]="",ABS(NETWORKDAYS(Proc[[#This Row],[DateOpened]],TODAY()))-1,ABS(NETWORKDAYS(Proc[[#This Row],[DateOpened]],Proc[[#This Row],[DateClosed]]))-1)</f>
        <v>4</v>
      </c>
      <c r="R4811" s="174" t="s">
        <v>485</v>
      </c>
      <c r="S4811" s="150"/>
    </row>
    <row r="4812" spans="1:19">
      <c r="A4812" s="149" t="s">
        <v>7001</v>
      </c>
      <c r="B4812" s="150" t="str">
        <f>IFERROR(VLOOKUP(Proc[[#This Row],[App]],Table2[],3,0),"open")</f>
        <v>open</v>
      </c>
      <c r="C4812" s="149" t="s">
        <v>375</v>
      </c>
      <c r="D4812" t="s">
        <v>7021</v>
      </c>
      <c r="E4812" t="s">
        <v>7002</v>
      </c>
      <c r="F4812" s="150"/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0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on track</v>
      </c>
      <c r="Q4812" s="3">
        <f ca="1">IF(Proc[[#This Row],[DateClosed]]="",ABS(NETWORKDAYS(Proc[[#This Row],[DateOpened]],TODAY()))-1,ABS(NETWORKDAYS(Proc[[#This Row],[DateOpened]],Proc[[#This Row],[DateClosed]]))-1)</f>
        <v>4</v>
      </c>
      <c r="R4812" s="174" t="s">
        <v>485</v>
      </c>
      <c r="S4812" s="150"/>
    </row>
    <row r="4813" spans="1:19">
      <c r="A4813" s="149" t="s">
        <v>7001</v>
      </c>
      <c r="B4813" s="150" t="str">
        <f>IFERROR(VLOOKUP(Proc[[#This Row],[App]],Table2[],3,0),"open")</f>
        <v>open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on track</v>
      </c>
      <c r="Q4813" s="3">
        <f ca="1">IF(Proc[[#This Row],[DateClosed]]="",ABS(NETWORKDAYS(Proc[[#This Row],[DateOpened]],TODAY()))-1,ABS(NETWORKDAYS(Proc[[#This Row],[DateOpened]],Proc[[#This Row],[DateClosed]]))-1)</f>
        <v>4</v>
      </c>
      <c r="R4813" s="174" t="s">
        <v>485</v>
      </c>
      <c r="S4813" s="150"/>
    </row>
    <row r="4814" spans="1:19">
      <c r="A4814" s="149" t="s">
        <v>7001</v>
      </c>
      <c r="B4814" s="150" t="str">
        <f>IFERROR(VLOOKUP(Proc[[#This Row],[App]],Table2[],3,0),"open")</f>
        <v>open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on track</v>
      </c>
      <c r="Q4814" s="3">
        <f ca="1">IF(Proc[[#This Row],[DateClosed]]="",ABS(NETWORKDAYS(Proc[[#This Row],[DateOpened]],TODAY()))-1,ABS(NETWORKDAYS(Proc[[#This Row],[DateOpened]],Proc[[#This Row],[DateClosed]]))-1)</f>
        <v>4</v>
      </c>
      <c r="R4814" s="174" t="s">
        <v>485</v>
      </c>
      <c r="S4814" s="150"/>
    </row>
    <row r="4815" spans="1:19">
      <c r="A4815" s="149" t="s">
        <v>7001</v>
      </c>
      <c r="B4815" s="150" t="str">
        <f>IFERROR(VLOOKUP(Proc[[#This Row],[App]],Table2[],3,0),"open")</f>
        <v>open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on track</v>
      </c>
      <c r="Q4815" s="3">
        <f ca="1">IF(Proc[[#This Row],[DateClosed]]="",ABS(NETWORKDAYS(Proc[[#This Row],[DateOpened]],TODAY()))-1,ABS(NETWORKDAYS(Proc[[#This Row],[DateOpened]],Proc[[#This Row],[DateClosed]]))-1)</f>
        <v>4</v>
      </c>
      <c r="R4815" s="174" t="s">
        <v>485</v>
      </c>
      <c r="S4815" s="150"/>
    </row>
    <row r="4816" spans="1:19">
      <c r="A4816" s="149" t="s">
        <v>7001</v>
      </c>
      <c r="B4816" s="150" t="str">
        <f>IFERROR(VLOOKUP(Proc[[#This Row],[App]],Table2[],3,0),"open")</f>
        <v>open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on track</v>
      </c>
      <c r="Q4816" s="3">
        <f ca="1">IF(Proc[[#This Row],[DateClosed]]="",ABS(NETWORKDAYS(Proc[[#This Row],[DateOpened]],TODAY()))-1,ABS(NETWORKDAYS(Proc[[#This Row],[DateOpened]],Proc[[#This Row],[DateClosed]]))-1)</f>
        <v>4</v>
      </c>
      <c r="R4816" s="174" t="s">
        <v>485</v>
      </c>
      <c r="S4816" s="150"/>
    </row>
    <row r="4817" spans="1:19">
      <c r="A4817" s="149" t="s">
        <v>7001</v>
      </c>
      <c r="B4817" s="150" t="str">
        <f>IFERROR(VLOOKUP(Proc[[#This Row],[App]],Table2[],3,0),"open")</f>
        <v>open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on track</v>
      </c>
      <c r="Q4817" s="3">
        <f ca="1">IF(Proc[[#This Row],[DateClosed]]="",ABS(NETWORKDAYS(Proc[[#This Row],[DateOpened]],TODAY()))-1,ABS(NETWORKDAYS(Proc[[#This Row],[DateOpened]],Proc[[#This Row],[DateClosed]]))-1)</f>
        <v>4</v>
      </c>
      <c r="R4817" s="174" t="s">
        <v>485</v>
      </c>
      <c r="S4817" s="150"/>
    </row>
    <row r="4818" spans="1:19">
      <c r="A4818" s="149" t="s">
        <v>7001</v>
      </c>
      <c r="B4818" s="150" t="str">
        <f>IFERROR(VLOOKUP(Proc[[#This Row],[App]],Table2[],3,0),"open")</f>
        <v>open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on track</v>
      </c>
      <c r="Q4818" s="3">
        <f ca="1">IF(Proc[[#This Row],[DateClosed]]="",ABS(NETWORKDAYS(Proc[[#This Row],[DateOpened]],TODAY()))-1,ABS(NETWORKDAYS(Proc[[#This Row],[DateOpened]],Proc[[#This Row],[DateClosed]]))-1)</f>
        <v>4</v>
      </c>
      <c r="R4818" s="174" t="s">
        <v>485</v>
      </c>
      <c r="S4818" s="150"/>
    </row>
    <row r="4819" spans="1:19">
      <c r="A4819" s="149" t="s">
        <v>7001</v>
      </c>
      <c r="B4819" s="150" t="str">
        <f>IFERROR(VLOOKUP(Proc[[#This Row],[App]],Table2[],3,0),"open")</f>
        <v>open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on track</v>
      </c>
      <c r="Q4819" s="3">
        <f ca="1">IF(Proc[[#This Row],[DateClosed]]="",ABS(NETWORKDAYS(Proc[[#This Row],[DateOpened]],TODAY()))-1,ABS(NETWORKDAYS(Proc[[#This Row],[DateOpened]],Proc[[#This Row],[DateClosed]]))-1)</f>
        <v>4</v>
      </c>
      <c r="R4819" s="174" t="s">
        <v>485</v>
      </c>
      <c r="S4819" s="150"/>
    </row>
    <row r="4820" spans="1:19">
      <c r="A4820" s="149" t="s">
        <v>7001</v>
      </c>
      <c r="B4820" s="150" t="str">
        <f>IFERROR(VLOOKUP(Proc[[#This Row],[App]],Table2[],3,0),"open")</f>
        <v>open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on track</v>
      </c>
      <c r="Q4820" s="3">
        <f ca="1">IF(Proc[[#This Row],[DateClosed]]="",ABS(NETWORKDAYS(Proc[[#This Row],[DateOpened]],TODAY()))-1,ABS(NETWORKDAYS(Proc[[#This Row],[DateOpened]],Proc[[#This Row],[DateClosed]]))-1)</f>
        <v>4</v>
      </c>
      <c r="R4820" s="174" t="s">
        <v>485</v>
      </c>
      <c r="S4820" s="150"/>
    </row>
    <row r="4821" spans="1:19">
      <c r="A4821" s="149" t="s">
        <v>7001</v>
      </c>
      <c r="B4821" s="150" t="str">
        <f>IFERROR(VLOOKUP(Proc[[#This Row],[App]],Table2[],3,0),"open")</f>
        <v>open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on track</v>
      </c>
      <c r="Q4821" s="3">
        <f ca="1">IF(Proc[[#This Row],[DateClosed]]="",ABS(NETWORKDAYS(Proc[[#This Row],[DateOpened]],TODAY()))-1,ABS(NETWORKDAYS(Proc[[#This Row],[DateOpened]],Proc[[#This Row],[DateClosed]]))-1)</f>
        <v>4</v>
      </c>
      <c r="R4821" s="174" t="s">
        <v>485</v>
      </c>
      <c r="S4821" s="150"/>
    </row>
    <row r="4822" spans="1:19">
      <c r="A4822" s="149" t="s">
        <v>7001</v>
      </c>
      <c r="B4822" s="150" t="str">
        <f>IFERROR(VLOOKUP(Proc[[#This Row],[App]],Table2[],3,0),"open")</f>
        <v>open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on track</v>
      </c>
      <c r="Q4822" s="3">
        <f ca="1">IF(Proc[[#This Row],[DateClosed]]="",ABS(NETWORKDAYS(Proc[[#This Row],[DateOpened]],TODAY()))-1,ABS(NETWORKDAYS(Proc[[#This Row],[DateOpened]],Proc[[#This Row],[DateClosed]]))-1)</f>
        <v>4</v>
      </c>
      <c r="R4822" s="174" t="s">
        <v>485</v>
      </c>
      <c r="S4822" s="150"/>
    </row>
    <row r="4823" spans="1:19">
      <c r="A4823" s="149" t="s">
        <v>7001</v>
      </c>
      <c r="B4823" s="150" t="str">
        <f>IFERROR(VLOOKUP(Proc[[#This Row],[App]],Table2[],3,0),"open")</f>
        <v>open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on track</v>
      </c>
      <c r="Q4823" s="3">
        <f ca="1">IF(Proc[[#This Row],[DateClosed]]="",ABS(NETWORKDAYS(Proc[[#This Row],[DateOpened]],TODAY()))-1,ABS(NETWORKDAYS(Proc[[#This Row],[DateOpened]],Proc[[#This Row],[DateClosed]]))-1)</f>
        <v>4</v>
      </c>
      <c r="R4823" s="174" t="s">
        <v>485</v>
      </c>
      <c r="S4823" s="150"/>
    </row>
    <row r="4824" spans="1:19">
      <c r="A4824" s="149" t="s">
        <v>7001</v>
      </c>
      <c r="B4824" s="150" t="str">
        <f>IFERROR(VLOOKUP(Proc[[#This Row],[App]],Table2[],3,0),"open")</f>
        <v>open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on track</v>
      </c>
      <c r="Q4824" s="3">
        <f ca="1">IF(Proc[[#This Row],[DateClosed]]="",ABS(NETWORKDAYS(Proc[[#This Row],[DateOpened]],TODAY()))-1,ABS(NETWORKDAYS(Proc[[#This Row],[DateOpened]],Proc[[#This Row],[DateClosed]]))-1)</f>
        <v>4</v>
      </c>
      <c r="R4824" s="174" t="s">
        <v>485</v>
      </c>
      <c r="S4824" s="150"/>
    </row>
    <row r="4825" spans="1:19">
      <c r="A4825" s="149" t="s">
        <v>7001</v>
      </c>
      <c r="B4825" s="150" t="str">
        <f>IFERROR(VLOOKUP(Proc[[#This Row],[App]],Table2[],3,0),"open")</f>
        <v>open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on track</v>
      </c>
      <c r="Q4825" s="3">
        <f ca="1">IF(Proc[[#This Row],[DateClosed]]="",ABS(NETWORKDAYS(Proc[[#This Row],[DateOpened]],TODAY()))-1,ABS(NETWORKDAYS(Proc[[#This Row],[DateOpened]],Proc[[#This Row],[DateClosed]]))-1)</f>
        <v>4</v>
      </c>
      <c r="R4825" s="174" t="s">
        <v>485</v>
      </c>
      <c r="S4825" s="150"/>
    </row>
    <row r="4826" spans="1:19">
      <c r="A4826" s="149" t="s">
        <v>7001</v>
      </c>
      <c r="B4826" s="150" t="str">
        <f>IFERROR(VLOOKUP(Proc[[#This Row],[App]],Table2[],3,0),"open")</f>
        <v>open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on track</v>
      </c>
      <c r="Q4826" s="3">
        <f ca="1">IF(Proc[[#This Row],[DateClosed]]="",ABS(NETWORKDAYS(Proc[[#This Row],[DateOpened]],TODAY()))-1,ABS(NETWORKDAYS(Proc[[#This Row],[DateOpened]],Proc[[#This Row],[DateClosed]]))-1)</f>
        <v>4</v>
      </c>
      <c r="R4826" s="174" t="s">
        <v>485</v>
      </c>
      <c r="S4826" s="150"/>
    </row>
    <row r="4827" spans="1:19">
      <c r="A4827" s="149" t="s">
        <v>7001</v>
      </c>
      <c r="B4827" s="150" t="str">
        <f>IFERROR(VLOOKUP(Proc[[#This Row],[App]],Table2[],3,0),"open")</f>
        <v>open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on track</v>
      </c>
      <c r="Q4827" s="3">
        <f ca="1">IF(Proc[[#This Row],[DateClosed]]="",ABS(NETWORKDAYS(Proc[[#This Row],[DateOpened]],TODAY()))-1,ABS(NETWORKDAYS(Proc[[#This Row],[DateOpened]],Proc[[#This Row],[DateClosed]]))-1)</f>
        <v>4</v>
      </c>
      <c r="R4827" s="174" t="s">
        <v>485</v>
      </c>
      <c r="S4827" s="150"/>
    </row>
    <row r="4828" spans="1:19">
      <c r="A4828" s="149" t="s">
        <v>7001</v>
      </c>
      <c r="B4828" s="150" t="str">
        <f>IFERROR(VLOOKUP(Proc[[#This Row],[App]],Table2[],3,0),"open")</f>
        <v>open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on track</v>
      </c>
      <c r="Q4828" s="3">
        <f ca="1">IF(Proc[[#This Row],[DateClosed]]="",ABS(NETWORKDAYS(Proc[[#This Row],[DateOpened]],TODAY()))-1,ABS(NETWORKDAYS(Proc[[#This Row],[DateOpened]],Proc[[#This Row],[DateClosed]]))-1)</f>
        <v>4</v>
      </c>
      <c r="R4828" s="174" t="s">
        <v>485</v>
      </c>
      <c r="S4828" s="150"/>
    </row>
    <row r="4829" spans="1:19">
      <c r="A4829" s="149" t="s">
        <v>7001</v>
      </c>
      <c r="B4829" s="150" t="str">
        <f>IFERROR(VLOOKUP(Proc[[#This Row],[App]],Table2[],3,0),"open")</f>
        <v>open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on track</v>
      </c>
      <c r="Q4829" s="3">
        <f ca="1">IF(Proc[[#This Row],[DateClosed]]="",ABS(NETWORKDAYS(Proc[[#This Row],[DateOpened]],TODAY()))-1,ABS(NETWORKDAYS(Proc[[#This Row],[DateOpened]],Proc[[#This Row],[DateClosed]]))-1)</f>
        <v>4</v>
      </c>
      <c r="R4829" s="174" t="s">
        <v>485</v>
      </c>
      <c r="S4829" s="150"/>
    </row>
    <row r="4830" spans="1:19">
      <c r="A4830" t="s">
        <v>7039</v>
      </c>
      <c r="B4830" s="150" t="str">
        <f>IFERROR(VLOOKUP(Proc[[#This Row],[App]],Table2[],3,0),"open")</f>
        <v>open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on track</v>
      </c>
      <c r="Q4830" s="3">
        <f ca="1">IF(Proc[[#This Row],[DateClosed]]="",ABS(NETWORKDAYS(Proc[[#This Row],[DateOpened]],TODAY()))-1,ABS(NETWORKDAYS(Proc[[#This Row],[DateOpened]],Proc[[#This Row],[DateClosed]]))-1)</f>
        <v>3</v>
      </c>
      <c r="R4830" s="174" t="s">
        <v>5709</v>
      </c>
      <c r="S4830" s="150"/>
    </row>
    <row r="4831" spans="1:19">
      <c r="A4831" t="s">
        <v>7039</v>
      </c>
      <c r="B4831" s="150" t="str">
        <f>IFERROR(VLOOKUP(Proc[[#This Row],[App]],Table2[],3,0),"open")</f>
        <v>open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on track</v>
      </c>
      <c r="Q4831" s="3">
        <f ca="1">IF(Proc[[#This Row],[DateClosed]]="",ABS(NETWORKDAYS(Proc[[#This Row],[DateOpened]],TODAY()))-1,ABS(NETWORKDAYS(Proc[[#This Row],[DateOpened]],Proc[[#This Row],[DateClosed]]))-1)</f>
        <v>3</v>
      </c>
      <c r="R4831" s="174" t="s">
        <v>5709</v>
      </c>
      <c r="S4831" s="150"/>
    </row>
    <row r="4832" spans="1:19">
      <c r="A4832" s="149" t="s">
        <v>7039</v>
      </c>
      <c r="B4832" s="150" t="str">
        <f>IFERROR(VLOOKUP(Proc[[#This Row],[App]],Table2[],3,0),"open")</f>
        <v>open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on track</v>
      </c>
      <c r="Q4832" s="3">
        <f ca="1">IF(Proc[[#This Row],[DateClosed]]="",ABS(NETWORKDAYS(Proc[[#This Row],[DateOpened]],TODAY()))-1,ABS(NETWORKDAYS(Proc[[#This Row],[DateOpened]],Proc[[#This Row],[DateClosed]]))-1)</f>
        <v>3</v>
      </c>
      <c r="R4832" s="174" t="s">
        <v>5709</v>
      </c>
      <c r="S4832" s="150"/>
    </row>
    <row r="4833" spans="1:19">
      <c r="A4833" s="149" t="s">
        <v>7039</v>
      </c>
      <c r="B4833" s="150" t="str">
        <f>IFERROR(VLOOKUP(Proc[[#This Row],[App]],Table2[],3,0),"open")</f>
        <v>open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on track</v>
      </c>
      <c r="Q4833" s="3">
        <f ca="1">IF(Proc[[#This Row],[DateClosed]]="",ABS(NETWORKDAYS(Proc[[#This Row],[DateOpened]],TODAY()))-1,ABS(NETWORKDAYS(Proc[[#This Row],[DateOpened]],Proc[[#This Row],[DateClosed]]))-1)</f>
        <v>3</v>
      </c>
      <c r="R4833" s="174" t="s">
        <v>5709</v>
      </c>
      <c r="S4833" s="150"/>
    </row>
    <row r="4834" spans="1:19">
      <c r="A4834" s="149" t="s">
        <v>7039</v>
      </c>
      <c r="B4834" s="150" t="str">
        <f>IFERROR(VLOOKUP(Proc[[#This Row],[App]],Table2[],3,0),"open")</f>
        <v>open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on track</v>
      </c>
      <c r="Q4834" s="3">
        <f ca="1">IF(Proc[[#This Row],[DateClosed]]="",ABS(NETWORKDAYS(Proc[[#This Row],[DateOpened]],TODAY()))-1,ABS(NETWORKDAYS(Proc[[#This Row],[DateOpened]],Proc[[#This Row],[DateClosed]]))-1)</f>
        <v>3</v>
      </c>
      <c r="R4834" s="174" t="s">
        <v>5709</v>
      </c>
      <c r="S4834" s="150"/>
    </row>
    <row r="4835" spans="1:19">
      <c r="A4835" s="149" t="s">
        <v>7039</v>
      </c>
      <c r="B4835" s="150" t="str">
        <f>IFERROR(VLOOKUP(Proc[[#This Row],[App]],Table2[],3,0),"open")</f>
        <v>open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on track</v>
      </c>
      <c r="Q4835" s="3">
        <f ca="1">IF(Proc[[#This Row],[DateClosed]]="",ABS(NETWORKDAYS(Proc[[#This Row],[DateOpened]],TODAY()))-1,ABS(NETWORKDAYS(Proc[[#This Row],[DateOpened]],Proc[[#This Row],[DateClosed]]))-1)</f>
        <v>3</v>
      </c>
      <c r="R4835" s="174" t="s">
        <v>5709</v>
      </c>
      <c r="S4835" s="150"/>
    </row>
    <row r="4836" spans="1:19">
      <c r="A4836" s="149" t="s">
        <v>7039</v>
      </c>
      <c r="B4836" s="150" t="str">
        <f>IFERROR(VLOOKUP(Proc[[#This Row],[App]],Table2[],3,0),"open")</f>
        <v>open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on track</v>
      </c>
      <c r="Q4836" s="3">
        <f ca="1">IF(Proc[[#This Row],[DateClosed]]="",ABS(NETWORKDAYS(Proc[[#This Row],[DateOpened]],TODAY()))-1,ABS(NETWORKDAYS(Proc[[#This Row],[DateOpened]],Proc[[#This Row],[DateClosed]]))-1)</f>
        <v>3</v>
      </c>
      <c r="R4836" s="174" t="s">
        <v>5709</v>
      </c>
      <c r="S4836" s="150"/>
    </row>
    <row r="4837" spans="1:19">
      <c r="A4837" s="149" t="s">
        <v>7039</v>
      </c>
      <c r="B4837" s="150" t="str">
        <f>IFERROR(VLOOKUP(Proc[[#This Row],[App]],Table2[],3,0),"open")</f>
        <v>open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on track</v>
      </c>
      <c r="Q4837" s="3">
        <f ca="1">IF(Proc[[#This Row],[DateClosed]]="",ABS(NETWORKDAYS(Proc[[#This Row],[DateOpened]],TODAY()))-1,ABS(NETWORKDAYS(Proc[[#This Row],[DateOpened]],Proc[[#This Row],[DateClosed]]))-1)</f>
        <v>3</v>
      </c>
      <c r="R4837" s="174" t="s">
        <v>5709</v>
      </c>
      <c r="S4837" s="150"/>
    </row>
    <row r="4838" spans="1:19">
      <c r="A4838" s="149" t="s">
        <v>7039</v>
      </c>
      <c r="B4838" s="150" t="str">
        <f>IFERROR(VLOOKUP(Proc[[#This Row],[App]],Table2[],3,0),"open")</f>
        <v>open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on track</v>
      </c>
      <c r="Q4838" s="3">
        <f ca="1">IF(Proc[[#This Row],[DateClosed]]="",ABS(NETWORKDAYS(Proc[[#This Row],[DateOpened]],TODAY()))-1,ABS(NETWORKDAYS(Proc[[#This Row],[DateOpened]],Proc[[#This Row],[DateClosed]]))-1)</f>
        <v>3</v>
      </c>
      <c r="R4838" s="174" t="s">
        <v>5709</v>
      </c>
      <c r="S4838" s="150"/>
    </row>
    <row r="4839" spans="1:19">
      <c r="A4839" s="149" t="s">
        <v>7039</v>
      </c>
      <c r="B4839" s="150" t="str">
        <f>IFERROR(VLOOKUP(Proc[[#This Row],[App]],Table2[],3,0),"open")</f>
        <v>open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on track</v>
      </c>
      <c r="Q4839" s="3">
        <f ca="1">IF(Proc[[#This Row],[DateClosed]]="",ABS(NETWORKDAYS(Proc[[#This Row],[DateOpened]],TODAY()))-1,ABS(NETWORKDAYS(Proc[[#This Row],[DateOpened]],Proc[[#This Row],[DateClosed]]))-1)</f>
        <v>3</v>
      </c>
      <c r="R4839" s="174" t="s">
        <v>5709</v>
      </c>
      <c r="S4839" s="150"/>
    </row>
    <row r="4840" spans="1:19">
      <c r="A4840" s="149" t="s">
        <v>7039</v>
      </c>
      <c r="B4840" s="150" t="str">
        <f>IFERROR(VLOOKUP(Proc[[#This Row],[App]],Table2[],3,0),"open")</f>
        <v>open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on track</v>
      </c>
      <c r="Q4840" s="3">
        <f ca="1">IF(Proc[[#This Row],[DateClosed]]="",ABS(NETWORKDAYS(Proc[[#This Row],[DateOpened]],TODAY()))-1,ABS(NETWORKDAYS(Proc[[#This Row],[DateOpened]],Proc[[#This Row],[DateClosed]]))-1)</f>
        <v>3</v>
      </c>
      <c r="R4840" s="174" t="s">
        <v>5709</v>
      </c>
      <c r="S4840" s="150"/>
    </row>
    <row r="4841" spans="1:19">
      <c r="A4841" s="149" t="s">
        <v>7039</v>
      </c>
      <c r="B4841" s="150" t="str">
        <f>IFERROR(VLOOKUP(Proc[[#This Row],[App]],Table2[],3,0),"open")</f>
        <v>open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on track</v>
      </c>
      <c r="Q4841" s="3">
        <f ca="1">IF(Proc[[#This Row],[DateClosed]]="",ABS(NETWORKDAYS(Proc[[#This Row],[DateOpened]],TODAY()))-1,ABS(NETWORKDAYS(Proc[[#This Row],[DateOpened]],Proc[[#This Row],[DateClosed]]))-1)</f>
        <v>3</v>
      </c>
      <c r="R4841" s="174" t="s">
        <v>5709</v>
      </c>
      <c r="S4841" s="150"/>
    </row>
    <row r="4842" spans="1:19">
      <c r="A4842" s="149" t="s">
        <v>7039</v>
      </c>
      <c r="B4842" s="150" t="str">
        <f>IFERROR(VLOOKUP(Proc[[#This Row],[App]],Table2[],3,0),"open")</f>
        <v>open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on track</v>
      </c>
      <c r="Q4842" s="3">
        <f ca="1">IF(Proc[[#This Row],[DateClosed]]="",ABS(NETWORKDAYS(Proc[[#This Row],[DateOpened]],TODAY()))-1,ABS(NETWORKDAYS(Proc[[#This Row],[DateOpened]],Proc[[#This Row],[DateClosed]]))-1)</f>
        <v>3</v>
      </c>
      <c r="R4842" s="174" t="s">
        <v>5709</v>
      </c>
      <c r="S4842" s="150"/>
    </row>
    <row r="4843" spans="1:19">
      <c r="A4843" s="149" t="s">
        <v>7039</v>
      </c>
      <c r="B4843" s="150" t="str">
        <f>IFERROR(VLOOKUP(Proc[[#This Row],[App]],Table2[],3,0),"open")</f>
        <v>open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on track</v>
      </c>
      <c r="Q4843" s="3">
        <f ca="1">IF(Proc[[#This Row],[DateClosed]]="",ABS(NETWORKDAYS(Proc[[#This Row],[DateOpened]],TODAY()))-1,ABS(NETWORKDAYS(Proc[[#This Row],[DateOpened]],Proc[[#This Row],[DateClosed]]))-1)</f>
        <v>3</v>
      </c>
      <c r="R4843" s="174" t="s">
        <v>5709</v>
      </c>
      <c r="S4843" s="150"/>
    </row>
    <row r="4844" spans="1:19">
      <c r="A4844" s="149" t="s">
        <v>7039</v>
      </c>
      <c r="B4844" s="150" t="str">
        <f>IFERROR(VLOOKUP(Proc[[#This Row],[App]],Table2[],3,0),"open")</f>
        <v>open</v>
      </c>
      <c r="C4844" s="149" t="s">
        <v>375</v>
      </c>
      <c r="D4844" t="s">
        <v>7246</v>
      </c>
      <c r="E4844" s="149" t="s">
        <v>7229</v>
      </c>
      <c r="F4844" s="150"/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0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on track</v>
      </c>
      <c r="Q4844" s="3">
        <f ca="1">IF(Proc[[#This Row],[DateClosed]]="",ABS(NETWORKDAYS(Proc[[#This Row],[DateOpened]],TODAY()))-1,ABS(NETWORKDAYS(Proc[[#This Row],[DateOpened]],Proc[[#This Row],[DateClosed]]))-1)</f>
        <v>3</v>
      </c>
      <c r="R4844" s="174" t="s">
        <v>5709</v>
      </c>
      <c r="S4844" s="150"/>
    </row>
    <row r="4845" spans="1:19">
      <c r="A4845" s="149" t="s">
        <v>7039</v>
      </c>
      <c r="B4845" s="150" t="str">
        <f>IFERROR(VLOOKUP(Proc[[#This Row],[App]],Table2[],3,0),"open")</f>
        <v>open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on track</v>
      </c>
      <c r="Q4845" s="3">
        <f ca="1">IF(Proc[[#This Row],[DateClosed]]="",ABS(NETWORKDAYS(Proc[[#This Row],[DateOpened]],TODAY()))-1,ABS(NETWORKDAYS(Proc[[#This Row],[DateOpened]],Proc[[#This Row],[DateClosed]]))-1)</f>
        <v>3</v>
      </c>
      <c r="R4845" s="174" t="s">
        <v>5709</v>
      </c>
      <c r="S4845" s="150"/>
    </row>
    <row r="4846" spans="1:19">
      <c r="A4846" s="149" t="s">
        <v>7039</v>
      </c>
      <c r="B4846" s="150" t="str">
        <f>IFERROR(VLOOKUP(Proc[[#This Row],[App]],Table2[],3,0),"open")</f>
        <v>open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on track</v>
      </c>
      <c r="Q4846" s="3">
        <f ca="1">IF(Proc[[#This Row],[DateClosed]]="",ABS(NETWORKDAYS(Proc[[#This Row],[DateOpened]],TODAY()))-1,ABS(NETWORKDAYS(Proc[[#This Row],[DateOpened]],Proc[[#This Row],[DateClosed]]))-1)</f>
        <v>3</v>
      </c>
      <c r="R4846" s="174" t="s">
        <v>5709</v>
      </c>
      <c r="S4846" s="150"/>
    </row>
    <row r="4847" spans="1:19">
      <c r="A4847" s="149" t="s">
        <v>7039</v>
      </c>
      <c r="B4847" s="150" t="str">
        <f>IFERROR(VLOOKUP(Proc[[#This Row],[App]],Table2[],3,0),"open")</f>
        <v>open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on track</v>
      </c>
      <c r="Q4847" s="3">
        <f ca="1">IF(Proc[[#This Row],[DateClosed]]="",ABS(NETWORKDAYS(Proc[[#This Row],[DateOpened]],TODAY()))-1,ABS(NETWORKDAYS(Proc[[#This Row],[DateOpened]],Proc[[#This Row],[DateClosed]]))-1)</f>
        <v>3</v>
      </c>
      <c r="R4847" s="174" t="s">
        <v>5709</v>
      </c>
      <c r="S4847" s="150"/>
    </row>
    <row r="4848" spans="1:19">
      <c r="A4848" s="149" t="s">
        <v>7039</v>
      </c>
      <c r="B4848" s="150" t="str">
        <f>IFERROR(VLOOKUP(Proc[[#This Row],[App]],Table2[],3,0),"open")</f>
        <v>open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on track</v>
      </c>
      <c r="Q4848" s="3">
        <f ca="1">IF(Proc[[#This Row],[DateClosed]]="",ABS(NETWORKDAYS(Proc[[#This Row],[DateOpened]],TODAY()))-1,ABS(NETWORKDAYS(Proc[[#This Row],[DateOpened]],Proc[[#This Row],[DateClosed]]))-1)</f>
        <v>3</v>
      </c>
      <c r="R4848" s="174" t="s">
        <v>5709</v>
      </c>
      <c r="S4848" s="150"/>
    </row>
    <row r="4849" spans="1:19">
      <c r="A4849" s="149" t="s">
        <v>7039</v>
      </c>
      <c r="B4849" s="150" t="str">
        <f>IFERROR(VLOOKUP(Proc[[#This Row],[App]],Table2[],3,0),"open")</f>
        <v>open</v>
      </c>
      <c r="C4849" s="149" t="s">
        <v>377</v>
      </c>
      <c r="D4849" t="s">
        <v>7058</v>
      </c>
      <c r="E4849" s="149" t="s">
        <v>7229</v>
      </c>
      <c r="F4849" s="150"/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on track</v>
      </c>
      <c r="Q4849" s="3">
        <f ca="1">IF(Proc[[#This Row],[DateClosed]]="",ABS(NETWORKDAYS(Proc[[#This Row],[DateOpened]],TODAY()))-1,ABS(NETWORKDAYS(Proc[[#This Row],[DateOpened]],Proc[[#This Row],[DateClosed]]))-1)</f>
        <v>3</v>
      </c>
      <c r="R4849" s="174" t="s">
        <v>5709</v>
      </c>
      <c r="S4849" s="150"/>
    </row>
    <row r="4850" spans="1:19">
      <c r="A4850" s="149" t="s">
        <v>7039</v>
      </c>
      <c r="B4850" s="150" t="str">
        <f>IFERROR(VLOOKUP(Proc[[#This Row],[App]],Table2[],3,0),"open")</f>
        <v>open</v>
      </c>
      <c r="C4850" s="149" t="s">
        <v>377</v>
      </c>
      <c r="D4850" t="s">
        <v>7059</v>
      </c>
      <c r="E4850" s="149" t="s">
        <v>7229</v>
      </c>
      <c r="F4850" s="150"/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on track</v>
      </c>
      <c r="Q4850" s="3">
        <f ca="1">IF(Proc[[#This Row],[DateClosed]]="",ABS(NETWORKDAYS(Proc[[#This Row],[DateOpened]],TODAY()))-1,ABS(NETWORKDAYS(Proc[[#This Row],[DateOpened]],Proc[[#This Row],[DateClosed]]))-1)</f>
        <v>3</v>
      </c>
      <c r="R4850" s="174" t="s">
        <v>5709</v>
      </c>
      <c r="S4850" s="150"/>
    </row>
    <row r="4851" spans="1:19">
      <c r="A4851" s="149" t="s">
        <v>7039</v>
      </c>
      <c r="B4851" s="150" t="str">
        <f>IFERROR(VLOOKUP(Proc[[#This Row],[App]],Table2[],3,0),"open")</f>
        <v>open</v>
      </c>
      <c r="C4851" s="149" t="s">
        <v>377</v>
      </c>
      <c r="D4851" t="s">
        <v>7060</v>
      </c>
      <c r="E4851" s="149" t="s">
        <v>7229</v>
      </c>
      <c r="F4851" s="150"/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on track</v>
      </c>
      <c r="Q4851" s="3">
        <f ca="1">IF(Proc[[#This Row],[DateClosed]]="",ABS(NETWORKDAYS(Proc[[#This Row],[DateOpened]],TODAY()))-1,ABS(NETWORKDAYS(Proc[[#This Row],[DateOpened]],Proc[[#This Row],[DateClosed]]))-1)</f>
        <v>3</v>
      </c>
      <c r="R4851" s="174" t="s">
        <v>5709</v>
      </c>
      <c r="S4851" s="150"/>
    </row>
    <row r="4852" spans="1:19">
      <c r="A4852" s="149" t="s">
        <v>7039</v>
      </c>
      <c r="B4852" s="150" t="str">
        <f>IFERROR(VLOOKUP(Proc[[#This Row],[App]],Table2[],3,0),"open")</f>
        <v>open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on track</v>
      </c>
      <c r="Q4852" s="3">
        <f ca="1">IF(Proc[[#This Row],[DateClosed]]="",ABS(NETWORKDAYS(Proc[[#This Row],[DateOpened]],TODAY()))-1,ABS(NETWORKDAYS(Proc[[#This Row],[DateOpened]],Proc[[#This Row],[DateClosed]]))-1)</f>
        <v>3</v>
      </c>
      <c r="R4852" s="174" t="s">
        <v>5709</v>
      </c>
      <c r="S4852" s="150"/>
    </row>
    <row r="4853" spans="1:19">
      <c r="A4853" s="149" t="s">
        <v>7039</v>
      </c>
      <c r="B4853" s="150" t="str">
        <f>IFERROR(VLOOKUP(Proc[[#This Row],[App]],Table2[],3,0),"open")</f>
        <v>open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on track</v>
      </c>
      <c r="Q4853" s="3">
        <f ca="1">IF(Proc[[#This Row],[DateClosed]]="",ABS(NETWORKDAYS(Proc[[#This Row],[DateOpened]],TODAY()))-1,ABS(NETWORKDAYS(Proc[[#This Row],[DateOpened]],Proc[[#This Row],[DateClosed]]))-1)</f>
        <v>3</v>
      </c>
      <c r="R4853" s="174" t="s">
        <v>5709</v>
      </c>
      <c r="S4853" s="150"/>
    </row>
    <row r="4854" spans="1:19">
      <c r="A4854" s="149" t="s">
        <v>7039</v>
      </c>
      <c r="B4854" s="150" t="str">
        <f>IFERROR(VLOOKUP(Proc[[#This Row],[App]],Table2[],3,0),"open")</f>
        <v>open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on track</v>
      </c>
      <c r="Q4854" s="3">
        <f ca="1">IF(Proc[[#This Row],[DateClosed]]="",ABS(NETWORKDAYS(Proc[[#This Row],[DateOpened]],TODAY()))-1,ABS(NETWORKDAYS(Proc[[#This Row],[DateOpened]],Proc[[#This Row],[DateClosed]]))-1)</f>
        <v>3</v>
      </c>
      <c r="R4854" s="174" t="s">
        <v>5709</v>
      </c>
      <c r="S4854" s="150"/>
    </row>
    <row r="4855" spans="1:19">
      <c r="A4855" s="149" t="s">
        <v>7039</v>
      </c>
      <c r="B4855" s="150" t="str">
        <f>IFERROR(VLOOKUP(Proc[[#This Row],[App]],Table2[],3,0),"open")</f>
        <v>open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on track</v>
      </c>
      <c r="Q4855" s="3">
        <f ca="1">IF(Proc[[#This Row],[DateClosed]]="",ABS(NETWORKDAYS(Proc[[#This Row],[DateOpened]],TODAY()))-1,ABS(NETWORKDAYS(Proc[[#This Row],[DateOpened]],Proc[[#This Row],[DateClosed]]))-1)</f>
        <v>3</v>
      </c>
      <c r="R4855" s="174" t="s">
        <v>5709</v>
      </c>
      <c r="S4855" s="150"/>
    </row>
    <row r="4856" spans="1:19">
      <c r="A4856" s="149" t="s">
        <v>7039</v>
      </c>
      <c r="B4856" s="150" t="str">
        <f>IFERROR(VLOOKUP(Proc[[#This Row],[App]],Table2[],3,0),"open")</f>
        <v>open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on track</v>
      </c>
      <c r="Q4856" s="3">
        <f ca="1">IF(Proc[[#This Row],[DateClosed]]="",ABS(NETWORKDAYS(Proc[[#This Row],[DateOpened]],TODAY()))-1,ABS(NETWORKDAYS(Proc[[#This Row],[DateOpened]],Proc[[#This Row],[DateClosed]]))-1)</f>
        <v>3</v>
      </c>
      <c r="R4856" s="174" t="s">
        <v>5709</v>
      </c>
      <c r="S4856" s="150"/>
    </row>
    <row r="4857" spans="1:19">
      <c r="A4857" s="149" t="s">
        <v>7039</v>
      </c>
      <c r="B4857" s="150" t="str">
        <f>IFERROR(VLOOKUP(Proc[[#This Row],[App]],Table2[],3,0),"open")</f>
        <v>open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on track</v>
      </c>
      <c r="Q4857" s="3">
        <f ca="1">IF(Proc[[#This Row],[DateClosed]]="",ABS(NETWORKDAYS(Proc[[#This Row],[DateOpened]],TODAY()))-1,ABS(NETWORKDAYS(Proc[[#This Row],[DateOpened]],Proc[[#This Row],[DateClosed]]))-1)</f>
        <v>3</v>
      </c>
      <c r="R4857" s="174" t="s">
        <v>5709</v>
      </c>
      <c r="S4857" s="150"/>
    </row>
    <row r="4858" spans="1:19">
      <c r="A4858" s="149" t="s">
        <v>7039</v>
      </c>
      <c r="B4858" s="150" t="str">
        <f>IFERROR(VLOOKUP(Proc[[#This Row],[App]],Table2[],3,0),"open")</f>
        <v>open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on track</v>
      </c>
      <c r="Q4858" s="3">
        <f ca="1">IF(Proc[[#This Row],[DateClosed]]="",ABS(NETWORKDAYS(Proc[[#This Row],[DateOpened]],TODAY()))-1,ABS(NETWORKDAYS(Proc[[#This Row],[DateOpened]],Proc[[#This Row],[DateClosed]]))-1)</f>
        <v>3</v>
      </c>
      <c r="R4858" s="174" t="s">
        <v>5709</v>
      </c>
      <c r="S4858" s="150"/>
    </row>
    <row r="4859" spans="1:19">
      <c r="A4859" s="149" t="s">
        <v>7039</v>
      </c>
      <c r="B4859" s="150" t="str">
        <f>IFERROR(VLOOKUP(Proc[[#This Row],[App]],Table2[],3,0),"open")</f>
        <v>open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on track</v>
      </c>
      <c r="Q4859" s="3">
        <f ca="1">IF(Proc[[#This Row],[DateClosed]]="",ABS(NETWORKDAYS(Proc[[#This Row],[DateOpened]],TODAY()))-1,ABS(NETWORKDAYS(Proc[[#This Row],[DateOpened]],Proc[[#This Row],[DateClosed]]))-1)</f>
        <v>3</v>
      </c>
      <c r="R4859" s="174" t="s">
        <v>5709</v>
      </c>
      <c r="S4859" s="150"/>
    </row>
    <row r="4860" spans="1:19">
      <c r="A4860" s="149" t="s">
        <v>7039</v>
      </c>
      <c r="B4860" s="150" t="str">
        <f>IFERROR(VLOOKUP(Proc[[#This Row],[App]],Table2[],3,0),"open")</f>
        <v>open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on track</v>
      </c>
      <c r="Q4860" s="3">
        <f ca="1">IF(Proc[[#This Row],[DateClosed]]="",ABS(NETWORKDAYS(Proc[[#This Row],[DateOpened]],TODAY()))-1,ABS(NETWORKDAYS(Proc[[#This Row],[DateOpened]],Proc[[#This Row],[DateClosed]]))-1)</f>
        <v>3</v>
      </c>
      <c r="R4860" s="174" t="s">
        <v>5709</v>
      </c>
      <c r="S4860" s="150"/>
    </row>
    <row r="4861" spans="1:19">
      <c r="A4861" s="149" t="s">
        <v>7039</v>
      </c>
      <c r="B4861" s="150" t="str">
        <f>IFERROR(VLOOKUP(Proc[[#This Row],[App]],Table2[],3,0),"open")</f>
        <v>open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on track</v>
      </c>
      <c r="Q4861" s="3">
        <f ca="1">IF(Proc[[#This Row],[DateClosed]]="",ABS(NETWORKDAYS(Proc[[#This Row],[DateOpened]],TODAY()))-1,ABS(NETWORKDAYS(Proc[[#This Row],[DateOpened]],Proc[[#This Row],[DateClosed]]))-1)</f>
        <v>3</v>
      </c>
      <c r="R4861" s="174" t="s">
        <v>5709</v>
      </c>
      <c r="S4861" s="150"/>
    </row>
    <row r="4862" spans="1:19">
      <c r="A4862" s="149" t="s">
        <v>7039</v>
      </c>
      <c r="B4862" s="150" t="str">
        <f>IFERROR(VLOOKUP(Proc[[#This Row],[App]],Table2[],3,0),"open")</f>
        <v>open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on track</v>
      </c>
      <c r="Q4862" s="3">
        <f ca="1">IF(Proc[[#This Row],[DateClosed]]="",ABS(NETWORKDAYS(Proc[[#This Row],[DateOpened]],TODAY()))-1,ABS(NETWORKDAYS(Proc[[#This Row],[DateOpened]],Proc[[#This Row],[DateClosed]]))-1)</f>
        <v>3</v>
      </c>
      <c r="R4862" s="174" t="s">
        <v>5709</v>
      </c>
      <c r="S4862" s="150"/>
    </row>
    <row r="4863" spans="1:19">
      <c r="A4863" s="149" t="s">
        <v>7039</v>
      </c>
      <c r="B4863" s="150" t="str">
        <f>IFERROR(VLOOKUP(Proc[[#This Row],[App]],Table2[],3,0),"open")</f>
        <v>open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on track</v>
      </c>
      <c r="Q4863" s="3">
        <f ca="1">IF(Proc[[#This Row],[DateClosed]]="",ABS(NETWORKDAYS(Proc[[#This Row],[DateOpened]],TODAY()))-1,ABS(NETWORKDAYS(Proc[[#This Row],[DateOpened]],Proc[[#This Row],[DateClosed]]))-1)</f>
        <v>3</v>
      </c>
      <c r="R4863" s="174" t="s">
        <v>5709</v>
      </c>
      <c r="S4863" s="150"/>
    </row>
    <row r="4864" spans="1:19">
      <c r="A4864" s="149" t="s">
        <v>7039</v>
      </c>
      <c r="B4864" s="150" t="str">
        <f>IFERROR(VLOOKUP(Proc[[#This Row],[App]],Table2[],3,0),"open")</f>
        <v>open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on track</v>
      </c>
      <c r="Q4864" s="3">
        <f ca="1">IF(Proc[[#This Row],[DateClosed]]="",ABS(NETWORKDAYS(Proc[[#This Row],[DateOpened]],TODAY()))-1,ABS(NETWORKDAYS(Proc[[#This Row],[DateOpened]],Proc[[#This Row],[DateClosed]]))-1)</f>
        <v>3</v>
      </c>
      <c r="R4864" s="174" t="s">
        <v>5709</v>
      </c>
      <c r="S4864" s="150"/>
    </row>
    <row r="4865" spans="1:19">
      <c r="A4865" s="149" t="s">
        <v>7039</v>
      </c>
      <c r="B4865" s="150" t="str">
        <f>IFERROR(VLOOKUP(Proc[[#This Row],[App]],Table2[],3,0),"open")</f>
        <v>open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on track</v>
      </c>
      <c r="Q4865" s="3">
        <f ca="1">IF(Proc[[#This Row],[DateClosed]]="",ABS(NETWORKDAYS(Proc[[#This Row],[DateOpened]],TODAY()))-1,ABS(NETWORKDAYS(Proc[[#This Row],[DateOpened]],Proc[[#This Row],[DateClosed]]))-1)</f>
        <v>3</v>
      </c>
      <c r="R4865" s="174" t="s">
        <v>5709</v>
      </c>
      <c r="S4865" s="150"/>
    </row>
    <row r="4866" spans="1:19">
      <c r="A4866" s="149" t="s">
        <v>7039</v>
      </c>
      <c r="B4866" s="150" t="str">
        <f>IFERROR(VLOOKUP(Proc[[#This Row],[App]],Table2[],3,0),"open")</f>
        <v>open</v>
      </c>
      <c r="C4866" s="149" t="s">
        <v>375</v>
      </c>
      <c r="D4866" t="s">
        <v>7075</v>
      </c>
      <c r="E4866" s="149" t="s">
        <v>7231</v>
      </c>
      <c r="F4866" s="150"/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0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on track</v>
      </c>
      <c r="Q4866" s="3">
        <f ca="1">IF(Proc[[#This Row],[DateClosed]]="",ABS(NETWORKDAYS(Proc[[#This Row],[DateOpened]],TODAY()))-1,ABS(NETWORKDAYS(Proc[[#This Row],[DateOpened]],Proc[[#This Row],[DateClosed]]))-1)</f>
        <v>3</v>
      </c>
      <c r="R4866" s="174" t="s">
        <v>5709</v>
      </c>
      <c r="S4866" s="150"/>
    </row>
    <row r="4867" spans="1:19">
      <c r="A4867" s="149" t="s">
        <v>7039</v>
      </c>
      <c r="B4867" s="150" t="str">
        <f>IFERROR(VLOOKUP(Proc[[#This Row],[App]],Table2[],3,0),"open")</f>
        <v>open</v>
      </c>
      <c r="C4867" s="149" t="s">
        <v>375</v>
      </c>
      <c r="D4867" t="s">
        <v>7076</v>
      </c>
      <c r="E4867" s="149" t="s">
        <v>7231</v>
      </c>
      <c r="F4867" s="150"/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0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on track</v>
      </c>
      <c r="Q4867" s="3">
        <f ca="1">IF(Proc[[#This Row],[DateClosed]]="",ABS(NETWORKDAYS(Proc[[#This Row],[DateOpened]],TODAY()))-1,ABS(NETWORKDAYS(Proc[[#This Row],[DateOpened]],Proc[[#This Row],[DateClosed]]))-1)</f>
        <v>3</v>
      </c>
      <c r="R4867" s="174" t="s">
        <v>5709</v>
      </c>
      <c r="S4867" s="150"/>
    </row>
    <row r="4868" spans="1:19">
      <c r="A4868" s="149" t="s">
        <v>7039</v>
      </c>
      <c r="B4868" s="150" t="str">
        <f>IFERROR(VLOOKUP(Proc[[#This Row],[App]],Table2[],3,0),"open")</f>
        <v>open</v>
      </c>
      <c r="C4868" s="149" t="s">
        <v>375</v>
      </c>
      <c r="D4868" t="s">
        <v>7077</v>
      </c>
      <c r="E4868" s="149" t="s">
        <v>7231</v>
      </c>
      <c r="F4868" s="150"/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0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on track</v>
      </c>
      <c r="Q4868" s="3">
        <f ca="1">IF(Proc[[#This Row],[DateClosed]]="",ABS(NETWORKDAYS(Proc[[#This Row],[DateOpened]],TODAY()))-1,ABS(NETWORKDAYS(Proc[[#This Row],[DateOpened]],Proc[[#This Row],[DateClosed]]))-1)</f>
        <v>3</v>
      </c>
      <c r="R4868" s="174" t="s">
        <v>5709</v>
      </c>
      <c r="S4868" s="150"/>
    </row>
    <row r="4869" spans="1:19">
      <c r="A4869" s="149" t="s">
        <v>7039</v>
      </c>
      <c r="B4869" s="150" t="str">
        <f>IFERROR(VLOOKUP(Proc[[#This Row],[App]],Table2[],3,0),"open")</f>
        <v>open</v>
      </c>
      <c r="C4869" s="149" t="s">
        <v>375</v>
      </c>
      <c r="D4869" t="s">
        <v>7078</v>
      </c>
      <c r="E4869" s="149" t="s">
        <v>7232</v>
      </c>
      <c r="F4869" s="150"/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0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on track</v>
      </c>
      <c r="Q4869" s="3">
        <f ca="1">IF(Proc[[#This Row],[DateClosed]]="",ABS(NETWORKDAYS(Proc[[#This Row],[DateOpened]],TODAY()))-1,ABS(NETWORKDAYS(Proc[[#This Row],[DateOpened]],Proc[[#This Row],[DateClosed]]))-1)</f>
        <v>3</v>
      </c>
      <c r="R4869" s="174" t="s">
        <v>5709</v>
      </c>
      <c r="S4869" s="150"/>
    </row>
    <row r="4870" spans="1:19">
      <c r="A4870" s="149" t="s">
        <v>7039</v>
      </c>
      <c r="B4870" s="150" t="str">
        <f>IFERROR(VLOOKUP(Proc[[#This Row],[App]],Table2[],3,0),"open")</f>
        <v>open</v>
      </c>
      <c r="C4870" s="149" t="s">
        <v>375</v>
      </c>
      <c r="D4870" t="s">
        <v>7079</v>
      </c>
      <c r="E4870" s="149" t="s">
        <v>7232</v>
      </c>
      <c r="F4870" s="150"/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0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on track</v>
      </c>
      <c r="Q4870" s="3">
        <f ca="1">IF(Proc[[#This Row],[DateClosed]]="",ABS(NETWORKDAYS(Proc[[#This Row],[DateOpened]],TODAY()))-1,ABS(NETWORKDAYS(Proc[[#This Row],[DateOpened]],Proc[[#This Row],[DateClosed]]))-1)</f>
        <v>3</v>
      </c>
      <c r="R4870" s="174" t="s">
        <v>5709</v>
      </c>
      <c r="S4870" s="150"/>
    </row>
    <row r="4871" spans="1:19">
      <c r="A4871" s="149" t="s">
        <v>7039</v>
      </c>
      <c r="B4871" s="150" t="str">
        <f>IFERROR(VLOOKUP(Proc[[#This Row],[App]],Table2[],3,0),"open")</f>
        <v>open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on track</v>
      </c>
      <c r="Q4871" s="3">
        <f ca="1">IF(Proc[[#This Row],[DateClosed]]="",ABS(NETWORKDAYS(Proc[[#This Row],[DateOpened]],TODAY()))-1,ABS(NETWORKDAYS(Proc[[#This Row],[DateOpened]],Proc[[#This Row],[DateClosed]]))-1)</f>
        <v>3</v>
      </c>
      <c r="R4871" s="174" t="s">
        <v>5709</v>
      </c>
      <c r="S4871" s="150"/>
    </row>
    <row r="4872" spans="1:19">
      <c r="A4872" s="149" t="s">
        <v>7039</v>
      </c>
      <c r="B4872" s="150" t="str">
        <f>IFERROR(VLOOKUP(Proc[[#This Row],[App]],Table2[],3,0),"open")</f>
        <v>open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on track</v>
      </c>
      <c r="Q4872" s="3">
        <f ca="1">IF(Proc[[#This Row],[DateClosed]]="",ABS(NETWORKDAYS(Proc[[#This Row],[DateOpened]],TODAY()))-1,ABS(NETWORKDAYS(Proc[[#This Row],[DateOpened]],Proc[[#This Row],[DateClosed]]))-1)</f>
        <v>3</v>
      </c>
      <c r="R4872" s="174" t="s">
        <v>5709</v>
      </c>
      <c r="S4872" s="150"/>
    </row>
    <row r="4873" spans="1:19">
      <c r="A4873" s="149" t="s">
        <v>7039</v>
      </c>
      <c r="B4873" s="150" t="str">
        <f>IFERROR(VLOOKUP(Proc[[#This Row],[App]],Table2[],3,0),"open")</f>
        <v>open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on track</v>
      </c>
      <c r="Q4873" s="3">
        <f ca="1">IF(Proc[[#This Row],[DateClosed]]="",ABS(NETWORKDAYS(Proc[[#This Row],[DateOpened]],TODAY()))-1,ABS(NETWORKDAYS(Proc[[#This Row],[DateOpened]],Proc[[#This Row],[DateClosed]]))-1)</f>
        <v>3</v>
      </c>
      <c r="R4873" s="174" t="s">
        <v>5709</v>
      </c>
      <c r="S4873" s="150"/>
    </row>
    <row r="4874" spans="1:19">
      <c r="A4874" s="149" t="s">
        <v>7039</v>
      </c>
      <c r="B4874" s="150" t="str">
        <f>IFERROR(VLOOKUP(Proc[[#This Row],[App]],Table2[],3,0),"open")</f>
        <v>open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on track</v>
      </c>
      <c r="Q4874" s="3">
        <f ca="1">IF(Proc[[#This Row],[DateClosed]]="",ABS(NETWORKDAYS(Proc[[#This Row],[DateOpened]],TODAY()))-1,ABS(NETWORKDAYS(Proc[[#This Row],[DateOpened]],Proc[[#This Row],[DateClosed]]))-1)</f>
        <v>3</v>
      </c>
      <c r="R4874" s="174" t="s">
        <v>5709</v>
      </c>
      <c r="S4874" s="150"/>
    </row>
    <row r="4875" spans="1:19">
      <c r="A4875" s="149" t="s">
        <v>7039</v>
      </c>
      <c r="B4875" s="150" t="str">
        <f>IFERROR(VLOOKUP(Proc[[#This Row],[App]],Table2[],3,0),"open")</f>
        <v>open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on track</v>
      </c>
      <c r="Q4875" s="3">
        <f ca="1">IF(Proc[[#This Row],[DateClosed]]="",ABS(NETWORKDAYS(Proc[[#This Row],[DateOpened]],TODAY()))-1,ABS(NETWORKDAYS(Proc[[#This Row],[DateOpened]],Proc[[#This Row],[DateClosed]]))-1)</f>
        <v>3</v>
      </c>
      <c r="R4875" s="174" t="s">
        <v>5709</v>
      </c>
      <c r="S4875" s="150"/>
    </row>
    <row r="4876" spans="1:19">
      <c r="A4876" s="149" t="s">
        <v>7039</v>
      </c>
      <c r="B4876" s="150" t="str">
        <f>IFERROR(VLOOKUP(Proc[[#This Row],[App]],Table2[],3,0),"open")</f>
        <v>open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on track</v>
      </c>
      <c r="Q4876" s="3">
        <f ca="1">IF(Proc[[#This Row],[DateClosed]]="",ABS(NETWORKDAYS(Proc[[#This Row],[DateOpened]],TODAY()))-1,ABS(NETWORKDAYS(Proc[[#This Row],[DateOpened]],Proc[[#This Row],[DateClosed]]))-1)</f>
        <v>3</v>
      </c>
      <c r="R4876" s="174" t="s">
        <v>5709</v>
      </c>
      <c r="S4876" s="150"/>
    </row>
    <row r="4877" spans="1:19">
      <c r="A4877" s="149" t="s">
        <v>7039</v>
      </c>
      <c r="B4877" s="150" t="str">
        <f>IFERROR(VLOOKUP(Proc[[#This Row],[App]],Table2[],3,0),"open")</f>
        <v>open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on track</v>
      </c>
      <c r="Q4877" s="3">
        <f ca="1">IF(Proc[[#This Row],[DateClosed]]="",ABS(NETWORKDAYS(Proc[[#This Row],[DateOpened]],TODAY()))-1,ABS(NETWORKDAYS(Proc[[#This Row],[DateOpened]],Proc[[#This Row],[DateClosed]]))-1)</f>
        <v>3</v>
      </c>
      <c r="R4877" s="174" t="s">
        <v>5709</v>
      </c>
      <c r="S4877" s="150"/>
    </row>
    <row r="4878" spans="1:19">
      <c r="A4878" s="149" t="s">
        <v>7039</v>
      </c>
      <c r="B4878" s="150" t="str">
        <f>IFERROR(VLOOKUP(Proc[[#This Row],[App]],Table2[],3,0),"open")</f>
        <v>open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on track</v>
      </c>
      <c r="Q4878" s="3">
        <f ca="1">IF(Proc[[#This Row],[DateClosed]]="",ABS(NETWORKDAYS(Proc[[#This Row],[DateOpened]],TODAY()))-1,ABS(NETWORKDAYS(Proc[[#This Row],[DateOpened]],Proc[[#This Row],[DateClosed]]))-1)</f>
        <v>3</v>
      </c>
      <c r="R4878" s="174" t="s">
        <v>5709</v>
      </c>
      <c r="S4878" s="150"/>
    </row>
    <row r="4879" spans="1:19">
      <c r="A4879" s="149" t="s">
        <v>7039</v>
      </c>
      <c r="B4879" s="150" t="str">
        <f>IFERROR(VLOOKUP(Proc[[#This Row],[App]],Table2[],3,0),"open")</f>
        <v>open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on track</v>
      </c>
      <c r="Q4879" s="3">
        <f ca="1">IF(Proc[[#This Row],[DateClosed]]="",ABS(NETWORKDAYS(Proc[[#This Row],[DateOpened]],TODAY()))-1,ABS(NETWORKDAYS(Proc[[#This Row],[DateOpened]],Proc[[#This Row],[DateClosed]]))-1)</f>
        <v>3</v>
      </c>
      <c r="R4879" s="174" t="s">
        <v>5709</v>
      </c>
      <c r="S4879" s="150"/>
    </row>
    <row r="4880" spans="1:19">
      <c r="A4880" s="149" t="s">
        <v>7039</v>
      </c>
      <c r="B4880" s="150" t="str">
        <f>IFERROR(VLOOKUP(Proc[[#This Row],[App]],Table2[],3,0),"open")</f>
        <v>open</v>
      </c>
      <c r="C4880" s="149" t="s">
        <v>375</v>
      </c>
      <c r="D4880" t="s">
        <v>7089</v>
      </c>
      <c r="E4880" s="149" t="s">
        <v>7233</v>
      </c>
      <c r="F4880" s="150"/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0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on track</v>
      </c>
      <c r="Q4880" s="3">
        <f ca="1">IF(Proc[[#This Row],[DateClosed]]="",ABS(NETWORKDAYS(Proc[[#This Row],[DateOpened]],TODAY()))-1,ABS(NETWORKDAYS(Proc[[#This Row],[DateOpened]],Proc[[#This Row],[DateClosed]]))-1)</f>
        <v>3</v>
      </c>
      <c r="R4880" s="174" t="s">
        <v>5709</v>
      </c>
      <c r="S4880" s="150"/>
    </row>
    <row r="4881" spans="1:19">
      <c r="A4881" s="149" t="s">
        <v>7039</v>
      </c>
      <c r="B4881" s="150" t="str">
        <f>IFERROR(VLOOKUP(Proc[[#This Row],[App]],Table2[],3,0),"open")</f>
        <v>open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on track</v>
      </c>
      <c r="Q4881" s="3">
        <f ca="1">IF(Proc[[#This Row],[DateClosed]]="",ABS(NETWORKDAYS(Proc[[#This Row],[DateOpened]],TODAY()))-1,ABS(NETWORKDAYS(Proc[[#This Row],[DateOpened]],Proc[[#This Row],[DateClosed]]))-1)</f>
        <v>3</v>
      </c>
      <c r="R4881" s="174" t="s">
        <v>5709</v>
      </c>
      <c r="S4881" s="150"/>
    </row>
    <row r="4882" spans="1:19">
      <c r="A4882" s="149" t="s">
        <v>7039</v>
      </c>
      <c r="B4882" s="150" t="str">
        <f>IFERROR(VLOOKUP(Proc[[#This Row],[App]],Table2[],3,0),"open")</f>
        <v>open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on track</v>
      </c>
      <c r="Q4882" s="3">
        <f ca="1">IF(Proc[[#This Row],[DateClosed]]="",ABS(NETWORKDAYS(Proc[[#This Row],[DateOpened]],TODAY()))-1,ABS(NETWORKDAYS(Proc[[#This Row],[DateOpened]],Proc[[#This Row],[DateClosed]]))-1)</f>
        <v>3</v>
      </c>
      <c r="R4882" s="174" t="s">
        <v>5709</v>
      </c>
      <c r="S4882" s="150"/>
    </row>
    <row r="4883" spans="1:19">
      <c r="A4883" s="149" t="s">
        <v>7039</v>
      </c>
      <c r="B4883" s="150" t="str">
        <f>IFERROR(VLOOKUP(Proc[[#This Row],[App]],Table2[],3,0),"open")</f>
        <v>open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on track</v>
      </c>
      <c r="Q4883" s="3">
        <f ca="1">IF(Proc[[#This Row],[DateClosed]]="",ABS(NETWORKDAYS(Proc[[#This Row],[DateOpened]],TODAY()))-1,ABS(NETWORKDAYS(Proc[[#This Row],[DateOpened]],Proc[[#This Row],[DateClosed]]))-1)</f>
        <v>3</v>
      </c>
      <c r="R4883" s="174" t="s">
        <v>5709</v>
      </c>
      <c r="S4883" s="150"/>
    </row>
    <row r="4884" spans="1:19">
      <c r="A4884" s="149" t="s">
        <v>7039</v>
      </c>
      <c r="B4884" s="150" t="str">
        <f>IFERROR(VLOOKUP(Proc[[#This Row],[App]],Table2[],3,0),"open")</f>
        <v>open</v>
      </c>
      <c r="C4884" s="149" t="s">
        <v>375</v>
      </c>
      <c r="D4884" t="s">
        <v>7093</v>
      </c>
      <c r="E4884" s="149" t="s">
        <v>7234</v>
      </c>
      <c r="F4884" s="150"/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0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on track</v>
      </c>
      <c r="Q4884" s="3">
        <f ca="1">IF(Proc[[#This Row],[DateClosed]]="",ABS(NETWORKDAYS(Proc[[#This Row],[DateOpened]],TODAY()))-1,ABS(NETWORKDAYS(Proc[[#This Row],[DateOpened]],Proc[[#This Row],[DateClosed]]))-1)</f>
        <v>3</v>
      </c>
      <c r="R4884" s="174" t="s">
        <v>5709</v>
      </c>
      <c r="S4884" s="150"/>
    </row>
    <row r="4885" spans="1:19">
      <c r="A4885" s="149" t="s">
        <v>7039</v>
      </c>
      <c r="B4885" s="150" t="str">
        <f>IFERROR(VLOOKUP(Proc[[#This Row],[App]],Table2[],3,0),"open")</f>
        <v>open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on track</v>
      </c>
      <c r="Q4885" s="3">
        <f ca="1">IF(Proc[[#This Row],[DateClosed]]="",ABS(NETWORKDAYS(Proc[[#This Row],[DateOpened]],TODAY()))-1,ABS(NETWORKDAYS(Proc[[#This Row],[DateOpened]],Proc[[#This Row],[DateClosed]]))-1)</f>
        <v>3</v>
      </c>
      <c r="R4885" s="174" t="s">
        <v>5709</v>
      </c>
      <c r="S4885" s="150"/>
    </row>
    <row r="4886" spans="1:19">
      <c r="A4886" s="149" t="s">
        <v>7039</v>
      </c>
      <c r="B4886" s="150" t="str">
        <f>IFERROR(VLOOKUP(Proc[[#This Row],[App]],Table2[],3,0),"open")</f>
        <v>open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on track</v>
      </c>
      <c r="Q4886" s="3">
        <f ca="1">IF(Proc[[#This Row],[DateClosed]]="",ABS(NETWORKDAYS(Proc[[#This Row],[DateOpened]],TODAY()))-1,ABS(NETWORKDAYS(Proc[[#This Row],[DateOpened]],Proc[[#This Row],[DateClosed]]))-1)</f>
        <v>3</v>
      </c>
      <c r="R4886" s="174" t="s">
        <v>5709</v>
      </c>
      <c r="S4886" s="150"/>
    </row>
    <row r="4887" spans="1:19">
      <c r="A4887" s="149" t="s">
        <v>7039</v>
      </c>
      <c r="B4887" s="150" t="str">
        <f>IFERROR(VLOOKUP(Proc[[#This Row],[App]],Table2[],3,0),"open")</f>
        <v>open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on track</v>
      </c>
      <c r="Q4887" s="3">
        <f ca="1">IF(Proc[[#This Row],[DateClosed]]="",ABS(NETWORKDAYS(Proc[[#This Row],[DateOpened]],TODAY()))-1,ABS(NETWORKDAYS(Proc[[#This Row],[DateOpened]],Proc[[#This Row],[DateClosed]]))-1)</f>
        <v>3</v>
      </c>
      <c r="R4887" s="174" t="s">
        <v>5709</v>
      </c>
      <c r="S4887" s="150"/>
    </row>
    <row r="4888" spans="1:19">
      <c r="A4888" s="149" t="s">
        <v>7039</v>
      </c>
      <c r="B4888" s="150" t="str">
        <f>IFERROR(VLOOKUP(Proc[[#This Row],[App]],Table2[],3,0),"open")</f>
        <v>open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on track</v>
      </c>
      <c r="Q4888" s="3">
        <f ca="1">IF(Proc[[#This Row],[DateClosed]]="",ABS(NETWORKDAYS(Proc[[#This Row],[DateOpened]],TODAY()))-1,ABS(NETWORKDAYS(Proc[[#This Row],[DateOpened]],Proc[[#This Row],[DateClosed]]))-1)</f>
        <v>3</v>
      </c>
      <c r="R4888" s="174" t="s">
        <v>5709</v>
      </c>
      <c r="S4888" s="150"/>
    </row>
    <row r="4889" spans="1:19">
      <c r="A4889" s="149" t="s">
        <v>7039</v>
      </c>
      <c r="B4889" s="150" t="str">
        <f>IFERROR(VLOOKUP(Proc[[#This Row],[App]],Table2[],3,0),"open")</f>
        <v>open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on track</v>
      </c>
      <c r="Q4889" s="3">
        <f ca="1">IF(Proc[[#This Row],[DateClosed]]="",ABS(NETWORKDAYS(Proc[[#This Row],[DateOpened]],TODAY()))-1,ABS(NETWORKDAYS(Proc[[#This Row],[DateOpened]],Proc[[#This Row],[DateClosed]]))-1)</f>
        <v>3</v>
      </c>
      <c r="R4889" s="174" t="s">
        <v>5709</v>
      </c>
      <c r="S4889" s="150"/>
    </row>
    <row r="4890" spans="1:19">
      <c r="A4890" s="149" t="s">
        <v>7039</v>
      </c>
      <c r="B4890" s="150" t="str">
        <f>IFERROR(VLOOKUP(Proc[[#This Row],[App]],Table2[],3,0),"open")</f>
        <v>open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on track</v>
      </c>
      <c r="Q4890" s="3">
        <f ca="1">IF(Proc[[#This Row],[DateClosed]]="",ABS(NETWORKDAYS(Proc[[#This Row],[DateOpened]],TODAY()))-1,ABS(NETWORKDAYS(Proc[[#This Row],[DateOpened]],Proc[[#This Row],[DateClosed]]))-1)</f>
        <v>3</v>
      </c>
      <c r="R4890" s="174" t="s">
        <v>5709</v>
      </c>
      <c r="S4890" s="150"/>
    </row>
    <row r="4891" spans="1:19">
      <c r="A4891" s="149" t="s">
        <v>7039</v>
      </c>
      <c r="B4891" s="150" t="str">
        <f>IFERROR(VLOOKUP(Proc[[#This Row],[App]],Table2[],3,0),"open")</f>
        <v>open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on track</v>
      </c>
      <c r="Q4891" s="3">
        <f ca="1">IF(Proc[[#This Row],[DateClosed]]="",ABS(NETWORKDAYS(Proc[[#This Row],[DateOpened]],TODAY()))-1,ABS(NETWORKDAYS(Proc[[#This Row],[DateOpened]],Proc[[#This Row],[DateClosed]]))-1)</f>
        <v>3</v>
      </c>
      <c r="R4891" s="174" t="s">
        <v>5709</v>
      </c>
      <c r="S4891" s="150"/>
    </row>
    <row r="4892" spans="1:19">
      <c r="A4892" s="149" t="s">
        <v>7039</v>
      </c>
      <c r="B4892" s="150" t="str">
        <f>IFERROR(VLOOKUP(Proc[[#This Row],[App]],Table2[],3,0),"open")</f>
        <v>open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on track</v>
      </c>
      <c r="Q4892" s="3">
        <f ca="1">IF(Proc[[#This Row],[DateClosed]]="",ABS(NETWORKDAYS(Proc[[#This Row],[DateOpened]],TODAY()))-1,ABS(NETWORKDAYS(Proc[[#This Row],[DateOpened]],Proc[[#This Row],[DateClosed]]))-1)</f>
        <v>3</v>
      </c>
      <c r="R4892" s="174" t="s">
        <v>5709</v>
      </c>
      <c r="S4892" s="150"/>
    </row>
    <row r="4893" spans="1:19">
      <c r="A4893" s="149" t="s">
        <v>7039</v>
      </c>
      <c r="B4893" s="150" t="str">
        <f>IFERROR(VLOOKUP(Proc[[#This Row],[App]],Table2[],3,0),"open")</f>
        <v>open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on track</v>
      </c>
      <c r="Q4893" s="3">
        <f ca="1">IF(Proc[[#This Row],[DateClosed]]="",ABS(NETWORKDAYS(Proc[[#This Row],[DateOpened]],TODAY()))-1,ABS(NETWORKDAYS(Proc[[#This Row],[DateOpened]],Proc[[#This Row],[DateClosed]]))-1)</f>
        <v>3</v>
      </c>
      <c r="R4893" s="174" t="s">
        <v>5709</v>
      </c>
      <c r="S4893" s="150"/>
    </row>
    <row r="4894" spans="1:19">
      <c r="A4894" s="149" t="s">
        <v>7039</v>
      </c>
      <c r="B4894" s="150" t="str">
        <f>IFERROR(VLOOKUP(Proc[[#This Row],[App]],Table2[],3,0),"open")</f>
        <v>open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on track</v>
      </c>
      <c r="Q4894" s="3">
        <f ca="1">IF(Proc[[#This Row],[DateClosed]]="",ABS(NETWORKDAYS(Proc[[#This Row],[DateOpened]],TODAY()))-1,ABS(NETWORKDAYS(Proc[[#This Row],[DateOpened]],Proc[[#This Row],[DateClosed]]))-1)</f>
        <v>3</v>
      </c>
      <c r="R4894" s="174" t="s">
        <v>5709</v>
      </c>
      <c r="S4894" s="150"/>
    </row>
    <row r="4895" spans="1:19">
      <c r="A4895" s="149" t="s">
        <v>7039</v>
      </c>
      <c r="B4895" s="150" t="str">
        <f>IFERROR(VLOOKUP(Proc[[#This Row],[App]],Table2[],3,0),"open")</f>
        <v>open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on track</v>
      </c>
      <c r="Q4895" s="3">
        <f ca="1">IF(Proc[[#This Row],[DateClosed]]="",ABS(NETWORKDAYS(Proc[[#This Row],[DateOpened]],TODAY()))-1,ABS(NETWORKDAYS(Proc[[#This Row],[DateOpened]],Proc[[#This Row],[DateClosed]]))-1)</f>
        <v>3</v>
      </c>
      <c r="R4895" s="174" t="s">
        <v>5709</v>
      </c>
      <c r="S4895" s="150"/>
    </row>
    <row r="4896" spans="1:19">
      <c r="A4896" s="149" t="s">
        <v>7039</v>
      </c>
      <c r="B4896" s="150" t="str">
        <f>IFERROR(VLOOKUP(Proc[[#This Row],[App]],Table2[],3,0),"open")</f>
        <v>open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on track</v>
      </c>
      <c r="Q4896" s="3">
        <f ca="1">IF(Proc[[#This Row],[DateClosed]]="",ABS(NETWORKDAYS(Proc[[#This Row],[DateOpened]],TODAY()))-1,ABS(NETWORKDAYS(Proc[[#This Row],[DateOpened]],Proc[[#This Row],[DateClosed]]))-1)</f>
        <v>3</v>
      </c>
      <c r="R4896" s="174" t="s">
        <v>5709</v>
      </c>
      <c r="S4896" s="150"/>
    </row>
    <row r="4897" spans="1:19">
      <c r="A4897" s="149" t="s">
        <v>7039</v>
      </c>
      <c r="B4897" s="150" t="str">
        <f>IFERROR(VLOOKUP(Proc[[#This Row],[App]],Table2[],3,0),"open")</f>
        <v>open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on track</v>
      </c>
      <c r="Q4897" s="3">
        <f ca="1">IF(Proc[[#This Row],[DateClosed]]="",ABS(NETWORKDAYS(Proc[[#This Row],[DateOpened]],TODAY()))-1,ABS(NETWORKDAYS(Proc[[#This Row],[DateOpened]],Proc[[#This Row],[DateClosed]]))-1)</f>
        <v>3</v>
      </c>
      <c r="R4897" s="174" t="s">
        <v>5709</v>
      </c>
      <c r="S4897" s="150"/>
    </row>
    <row r="4898" spans="1:19">
      <c r="A4898" s="149" t="s">
        <v>7039</v>
      </c>
      <c r="B4898" s="150" t="str">
        <f>IFERROR(VLOOKUP(Proc[[#This Row],[App]],Table2[],3,0),"open")</f>
        <v>open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on track</v>
      </c>
      <c r="Q4898" s="3">
        <f ca="1">IF(Proc[[#This Row],[DateClosed]]="",ABS(NETWORKDAYS(Proc[[#This Row],[DateOpened]],TODAY()))-1,ABS(NETWORKDAYS(Proc[[#This Row],[DateOpened]],Proc[[#This Row],[DateClosed]]))-1)</f>
        <v>3</v>
      </c>
      <c r="R4898" s="174" t="s">
        <v>5709</v>
      </c>
      <c r="S4898" s="150"/>
    </row>
    <row r="4899" spans="1:19">
      <c r="A4899" s="149" t="s">
        <v>7039</v>
      </c>
      <c r="B4899" s="150" t="str">
        <f>IFERROR(VLOOKUP(Proc[[#This Row],[App]],Table2[],3,0),"open")</f>
        <v>open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on track</v>
      </c>
      <c r="Q4899" s="3">
        <f ca="1">IF(Proc[[#This Row],[DateClosed]]="",ABS(NETWORKDAYS(Proc[[#This Row],[DateOpened]],TODAY()))-1,ABS(NETWORKDAYS(Proc[[#This Row],[DateOpened]],Proc[[#This Row],[DateClosed]]))-1)</f>
        <v>3</v>
      </c>
      <c r="R4899" s="174" t="s">
        <v>5709</v>
      </c>
      <c r="S4899" s="150"/>
    </row>
    <row r="4900" spans="1:19">
      <c r="A4900" s="149" t="s">
        <v>7039</v>
      </c>
      <c r="B4900" s="150" t="str">
        <f>IFERROR(VLOOKUP(Proc[[#This Row],[App]],Table2[],3,0),"open")</f>
        <v>open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on track</v>
      </c>
      <c r="Q4900" s="3">
        <f ca="1">IF(Proc[[#This Row],[DateClosed]]="",ABS(NETWORKDAYS(Proc[[#This Row],[DateOpened]],TODAY()))-1,ABS(NETWORKDAYS(Proc[[#This Row],[DateOpened]],Proc[[#This Row],[DateClosed]]))-1)</f>
        <v>3</v>
      </c>
      <c r="R4900" s="174" t="s">
        <v>5709</v>
      </c>
      <c r="S4900" s="150"/>
    </row>
    <row r="4901" spans="1:19">
      <c r="A4901" s="149" t="s">
        <v>7039</v>
      </c>
      <c r="B4901" s="150" t="str">
        <f>IFERROR(VLOOKUP(Proc[[#This Row],[App]],Table2[],3,0),"open")</f>
        <v>open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on track</v>
      </c>
      <c r="Q4901" s="3">
        <f ca="1">IF(Proc[[#This Row],[DateClosed]]="",ABS(NETWORKDAYS(Proc[[#This Row],[DateOpened]],TODAY()))-1,ABS(NETWORKDAYS(Proc[[#This Row],[DateOpened]],Proc[[#This Row],[DateClosed]]))-1)</f>
        <v>3</v>
      </c>
      <c r="R4901" s="174" t="s">
        <v>5709</v>
      </c>
      <c r="S4901" s="150"/>
    </row>
    <row r="4902" spans="1:19">
      <c r="A4902" s="149" t="s">
        <v>7039</v>
      </c>
      <c r="B4902" s="150" t="str">
        <f>IFERROR(VLOOKUP(Proc[[#This Row],[App]],Table2[],3,0),"open")</f>
        <v>open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on track</v>
      </c>
      <c r="Q4902" s="3">
        <f ca="1">IF(Proc[[#This Row],[DateClosed]]="",ABS(NETWORKDAYS(Proc[[#This Row],[DateOpened]],TODAY()))-1,ABS(NETWORKDAYS(Proc[[#This Row],[DateOpened]],Proc[[#This Row],[DateClosed]]))-1)</f>
        <v>3</v>
      </c>
      <c r="R4902" s="174" t="s">
        <v>5709</v>
      </c>
      <c r="S4902" s="150"/>
    </row>
    <row r="4903" spans="1:19">
      <c r="A4903" s="149" t="s">
        <v>7039</v>
      </c>
      <c r="B4903" s="150" t="str">
        <f>IFERROR(VLOOKUP(Proc[[#This Row],[App]],Table2[],3,0),"open")</f>
        <v>open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on track</v>
      </c>
      <c r="Q4903" s="3">
        <f ca="1">IF(Proc[[#This Row],[DateClosed]]="",ABS(NETWORKDAYS(Proc[[#This Row],[DateOpened]],TODAY()))-1,ABS(NETWORKDAYS(Proc[[#This Row],[DateOpened]],Proc[[#This Row],[DateClosed]]))-1)</f>
        <v>3</v>
      </c>
      <c r="R4903" s="174" t="s">
        <v>5709</v>
      </c>
      <c r="S4903" s="150"/>
    </row>
    <row r="4904" spans="1:19">
      <c r="A4904" s="149" t="s">
        <v>7039</v>
      </c>
      <c r="B4904" s="150" t="str">
        <f>IFERROR(VLOOKUP(Proc[[#This Row],[App]],Table2[],3,0),"open")</f>
        <v>open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on track</v>
      </c>
      <c r="Q4904" s="3">
        <f ca="1">IF(Proc[[#This Row],[DateClosed]]="",ABS(NETWORKDAYS(Proc[[#This Row],[DateOpened]],TODAY()))-1,ABS(NETWORKDAYS(Proc[[#This Row],[DateOpened]],Proc[[#This Row],[DateClosed]]))-1)</f>
        <v>3</v>
      </c>
      <c r="R4904" s="174" t="s">
        <v>5709</v>
      </c>
      <c r="S4904" s="150"/>
    </row>
    <row r="4905" spans="1:19">
      <c r="A4905" s="149" t="s">
        <v>7039</v>
      </c>
      <c r="B4905" s="150" t="str">
        <f>IFERROR(VLOOKUP(Proc[[#This Row],[App]],Table2[],3,0),"open")</f>
        <v>open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on track</v>
      </c>
      <c r="Q4905" s="3">
        <f ca="1">IF(Proc[[#This Row],[DateClosed]]="",ABS(NETWORKDAYS(Proc[[#This Row],[DateOpened]],TODAY()))-1,ABS(NETWORKDAYS(Proc[[#This Row],[DateOpened]],Proc[[#This Row],[DateClosed]]))-1)</f>
        <v>3</v>
      </c>
      <c r="R4905" s="174" t="s">
        <v>5709</v>
      </c>
      <c r="S4905" s="150"/>
    </row>
    <row r="4906" spans="1:19">
      <c r="A4906" s="149" t="s">
        <v>7039</v>
      </c>
      <c r="B4906" s="150" t="str">
        <f>IFERROR(VLOOKUP(Proc[[#This Row],[App]],Table2[],3,0),"open")</f>
        <v>open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on track</v>
      </c>
      <c r="Q4906" s="3">
        <f ca="1">IF(Proc[[#This Row],[DateClosed]]="",ABS(NETWORKDAYS(Proc[[#This Row],[DateOpened]],TODAY()))-1,ABS(NETWORKDAYS(Proc[[#This Row],[DateOpened]],Proc[[#This Row],[DateClosed]]))-1)</f>
        <v>3</v>
      </c>
      <c r="R4906" s="174" t="s">
        <v>5709</v>
      </c>
      <c r="S4906" s="150"/>
    </row>
    <row r="4907" spans="1:19">
      <c r="A4907" s="149" t="s">
        <v>7039</v>
      </c>
      <c r="B4907" s="150" t="str">
        <f>IFERROR(VLOOKUP(Proc[[#This Row],[App]],Table2[],3,0),"open")</f>
        <v>open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on track</v>
      </c>
      <c r="Q4907" s="3">
        <f ca="1">IF(Proc[[#This Row],[DateClosed]]="",ABS(NETWORKDAYS(Proc[[#This Row],[DateOpened]],TODAY()))-1,ABS(NETWORKDAYS(Proc[[#This Row],[DateOpened]],Proc[[#This Row],[DateClosed]]))-1)</f>
        <v>3</v>
      </c>
      <c r="R4907" s="174" t="s">
        <v>5709</v>
      </c>
      <c r="S4907" s="150"/>
    </row>
    <row r="4908" spans="1:19">
      <c r="A4908" s="149" t="s">
        <v>7039</v>
      </c>
      <c r="B4908" s="150" t="str">
        <f>IFERROR(VLOOKUP(Proc[[#This Row],[App]],Table2[],3,0),"open")</f>
        <v>open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on track</v>
      </c>
      <c r="Q4908" s="3">
        <f ca="1">IF(Proc[[#This Row],[DateClosed]]="",ABS(NETWORKDAYS(Proc[[#This Row],[DateOpened]],TODAY()))-1,ABS(NETWORKDAYS(Proc[[#This Row],[DateOpened]],Proc[[#This Row],[DateClosed]]))-1)</f>
        <v>3</v>
      </c>
      <c r="R4908" s="174" t="s">
        <v>5709</v>
      </c>
      <c r="S4908" s="150"/>
    </row>
    <row r="4909" spans="1:19">
      <c r="A4909" s="149" t="s">
        <v>7039</v>
      </c>
      <c r="B4909" s="150" t="str">
        <f>IFERROR(VLOOKUP(Proc[[#This Row],[App]],Table2[],3,0),"open")</f>
        <v>open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on track</v>
      </c>
      <c r="Q4909" s="3">
        <f ca="1">IF(Proc[[#This Row],[DateClosed]]="",ABS(NETWORKDAYS(Proc[[#This Row],[DateOpened]],TODAY()))-1,ABS(NETWORKDAYS(Proc[[#This Row],[DateOpened]],Proc[[#This Row],[DateClosed]]))-1)</f>
        <v>3</v>
      </c>
      <c r="R4909" s="174" t="s">
        <v>5709</v>
      </c>
      <c r="S4909" s="150"/>
    </row>
    <row r="4910" spans="1:19">
      <c r="A4910" s="149" t="s">
        <v>7039</v>
      </c>
      <c r="B4910" s="150" t="str">
        <f>IFERROR(VLOOKUP(Proc[[#This Row],[App]],Table2[],3,0),"open")</f>
        <v>open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on track</v>
      </c>
      <c r="Q4910" s="3">
        <f ca="1">IF(Proc[[#This Row],[DateClosed]]="",ABS(NETWORKDAYS(Proc[[#This Row],[DateOpened]],TODAY()))-1,ABS(NETWORKDAYS(Proc[[#This Row],[DateOpened]],Proc[[#This Row],[DateClosed]]))-1)</f>
        <v>3</v>
      </c>
      <c r="R4910" s="174" t="s">
        <v>5709</v>
      </c>
      <c r="S4910" s="150"/>
    </row>
    <row r="4911" spans="1:19">
      <c r="A4911" s="149" t="s">
        <v>7039</v>
      </c>
      <c r="B4911" s="150" t="str">
        <f>IFERROR(VLOOKUP(Proc[[#This Row],[App]],Table2[],3,0),"open")</f>
        <v>open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on track</v>
      </c>
      <c r="Q4911" s="3">
        <f ca="1">IF(Proc[[#This Row],[DateClosed]]="",ABS(NETWORKDAYS(Proc[[#This Row],[DateOpened]],TODAY()))-1,ABS(NETWORKDAYS(Proc[[#This Row],[DateOpened]],Proc[[#This Row],[DateClosed]]))-1)</f>
        <v>3</v>
      </c>
      <c r="R4911" s="174" t="s">
        <v>5709</v>
      </c>
      <c r="S4911" s="150"/>
    </row>
    <row r="4912" spans="1:19">
      <c r="A4912" s="149" t="s">
        <v>7039</v>
      </c>
      <c r="B4912" s="150" t="str">
        <f>IFERROR(VLOOKUP(Proc[[#This Row],[App]],Table2[],3,0),"open")</f>
        <v>open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on track</v>
      </c>
      <c r="Q4912" s="3">
        <f ca="1">IF(Proc[[#This Row],[DateClosed]]="",ABS(NETWORKDAYS(Proc[[#This Row],[DateOpened]],TODAY()))-1,ABS(NETWORKDAYS(Proc[[#This Row],[DateOpened]],Proc[[#This Row],[DateClosed]]))-1)</f>
        <v>3</v>
      </c>
      <c r="R4912" s="174" t="s">
        <v>5709</v>
      </c>
      <c r="S4912" s="150"/>
    </row>
    <row r="4913" spans="1:19">
      <c r="A4913" s="149" t="s">
        <v>7039</v>
      </c>
      <c r="B4913" s="150" t="str">
        <f>IFERROR(VLOOKUP(Proc[[#This Row],[App]],Table2[],3,0),"open")</f>
        <v>open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on track</v>
      </c>
      <c r="Q4913" s="3">
        <f ca="1">IF(Proc[[#This Row],[DateClosed]]="",ABS(NETWORKDAYS(Proc[[#This Row],[DateOpened]],TODAY()))-1,ABS(NETWORKDAYS(Proc[[#This Row],[DateOpened]],Proc[[#This Row],[DateClosed]]))-1)</f>
        <v>3</v>
      </c>
      <c r="R4913" s="174" t="s">
        <v>5709</v>
      </c>
      <c r="S4913" s="150"/>
    </row>
    <row r="4914" spans="1:19">
      <c r="A4914" s="149" t="s">
        <v>7039</v>
      </c>
      <c r="B4914" s="150" t="str">
        <f>IFERROR(VLOOKUP(Proc[[#This Row],[App]],Table2[],3,0),"open")</f>
        <v>open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on track</v>
      </c>
      <c r="Q4914" s="3">
        <f ca="1">IF(Proc[[#This Row],[DateClosed]]="",ABS(NETWORKDAYS(Proc[[#This Row],[DateOpened]],TODAY()))-1,ABS(NETWORKDAYS(Proc[[#This Row],[DateOpened]],Proc[[#This Row],[DateClosed]]))-1)</f>
        <v>3</v>
      </c>
      <c r="R4914" s="174" t="s">
        <v>5709</v>
      </c>
      <c r="S4914" s="150"/>
    </row>
    <row r="4915" spans="1:19">
      <c r="A4915" s="149" t="s">
        <v>7039</v>
      </c>
      <c r="B4915" s="150" t="str">
        <f>IFERROR(VLOOKUP(Proc[[#This Row],[App]],Table2[],3,0),"open")</f>
        <v>open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on track</v>
      </c>
      <c r="Q4915" s="3">
        <f ca="1">IF(Proc[[#This Row],[DateClosed]]="",ABS(NETWORKDAYS(Proc[[#This Row],[DateOpened]],TODAY()))-1,ABS(NETWORKDAYS(Proc[[#This Row],[DateOpened]],Proc[[#This Row],[DateClosed]]))-1)</f>
        <v>3</v>
      </c>
      <c r="R4915" s="174" t="s">
        <v>5709</v>
      </c>
      <c r="S4915" s="150"/>
    </row>
    <row r="4916" spans="1:19">
      <c r="A4916" s="149" t="s">
        <v>7039</v>
      </c>
      <c r="B4916" s="150" t="str">
        <f>IFERROR(VLOOKUP(Proc[[#This Row],[App]],Table2[],3,0),"open")</f>
        <v>open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on track</v>
      </c>
      <c r="Q4916" s="3">
        <f ca="1">IF(Proc[[#This Row],[DateClosed]]="",ABS(NETWORKDAYS(Proc[[#This Row],[DateOpened]],TODAY()))-1,ABS(NETWORKDAYS(Proc[[#This Row],[DateOpened]],Proc[[#This Row],[DateClosed]]))-1)</f>
        <v>3</v>
      </c>
      <c r="R4916" s="174" t="s">
        <v>5709</v>
      </c>
      <c r="S4916" s="150"/>
    </row>
    <row r="4917" spans="1:19">
      <c r="A4917" s="149" t="s">
        <v>7039</v>
      </c>
      <c r="B4917" s="150" t="str">
        <f>IFERROR(VLOOKUP(Proc[[#This Row],[App]],Table2[],3,0),"open")</f>
        <v>open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on track</v>
      </c>
      <c r="Q4917" s="3">
        <f ca="1">IF(Proc[[#This Row],[DateClosed]]="",ABS(NETWORKDAYS(Proc[[#This Row],[DateOpened]],TODAY()))-1,ABS(NETWORKDAYS(Proc[[#This Row],[DateOpened]],Proc[[#This Row],[DateClosed]]))-1)</f>
        <v>3</v>
      </c>
      <c r="R4917" s="174" t="s">
        <v>5709</v>
      </c>
      <c r="S4917" s="150"/>
    </row>
    <row r="4918" spans="1:19">
      <c r="A4918" s="149" t="s">
        <v>7039</v>
      </c>
      <c r="B4918" s="150" t="str">
        <f>IFERROR(VLOOKUP(Proc[[#This Row],[App]],Table2[],3,0),"open")</f>
        <v>open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on track</v>
      </c>
      <c r="Q4918" s="3">
        <f ca="1">IF(Proc[[#This Row],[DateClosed]]="",ABS(NETWORKDAYS(Proc[[#This Row],[DateOpened]],TODAY()))-1,ABS(NETWORKDAYS(Proc[[#This Row],[DateOpened]],Proc[[#This Row],[DateClosed]]))-1)</f>
        <v>3</v>
      </c>
      <c r="R4918" s="174" t="s">
        <v>5709</v>
      </c>
      <c r="S4918" s="150"/>
    </row>
    <row r="4919" spans="1:19">
      <c r="A4919" s="149" t="s">
        <v>7039</v>
      </c>
      <c r="B4919" s="150" t="str">
        <f>IFERROR(VLOOKUP(Proc[[#This Row],[App]],Table2[],3,0),"open")</f>
        <v>open</v>
      </c>
      <c r="C4919" s="149" t="s">
        <v>375</v>
      </c>
      <c r="D4919" t="s">
        <v>7128</v>
      </c>
      <c r="E4919" s="149" t="s">
        <v>7235</v>
      </c>
      <c r="F4919" s="150"/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0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on track</v>
      </c>
      <c r="Q4919" s="3">
        <f ca="1">IF(Proc[[#This Row],[DateClosed]]="",ABS(NETWORKDAYS(Proc[[#This Row],[DateOpened]],TODAY()))-1,ABS(NETWORKDAYS(Proc[[#This Row],[DateOpened]],Proc[[#This Row],[DateClosed]]))-1)</f>
        <v>3</v>
      </c>
      <c r="R4919" s="174" t="s">
        <v>5709</v>
      </c>
      <c r="S4919" s="150"/>
    </row>
    <row r="4920" spans="1:19">
      <c r="A4920" s="149" t="s">
        <v>7039</v>
      </c>
      <c r="B4920" s="150" t="str">
        <f>IFERROR(VLOOKUP(Proc[[#This Row],[App]],Table2[],3,0),"open")</f>
        <v>open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on track</v>
      </c>
      <c r="Q4920" s="3">
        <f ca="1">IF(Proc[[#This Row],[DateClosed]]="",ABS(NETWORKDAYS(Proc[[#This Row],[DateOpened]],TODAY()))-1,ABS(NETWORKDAYS(Proc[[#This Row],[DateOpened]],Proc[[#This Row],[DateClosed]]))-1)</f>
        <v>3</v>
      </c>
      <c r="R4920" s="174" t="s">
        <v>5709</v>
      </c>
      <c r="S4920" s="150"/>
    </row>
    <row r="4921" spans="1:19">
      <c r="A4921" s="149" t="s">
        <v>7039</v>
      </c>
      <c r="B4921" s="150" t="str">
        <f>IFERROR(VLOOKUP(Proc[[#This Row],[App]],Table2[],3,0),"open")</f>
        <v>open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on track</v>
      </c>
      <c r="Q4921" s="3">
        <f ca="1">IF(Proc[[#This Row],[DateClosed]]="",ABS(NETWORKDAYS(Proc[[#This Row],[DateOpened]],TODAY()))-1,ABS(NETWORKDAYS(Proc[[#This Row],[DateOpened]],Proc[[#This Row],[DateClosed]]))-1)</f>
        <v>3</v>
      </c>
      <c r="R4921" s="174" t="s">
        <v>5709</v>
      </c>
      <c r="S4921" s="150"/>
    </row>
    <row r="4922" spans="1:19">
      <c r="A4922" s="149" t="s">
        <v>7039</v>
      </c>
      <c r="B4922" s="150" t="str">
        <f>IFERROR(VLOOKUP(Proc[[#This Row],[App]],Table2[],3,0),"open")</f>
        <v>open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on track</v>
      </c>
      <c r="Q4922" s="3">
        <f ca="1">IF(Proc[[#This Row],[DateClosed]]="",ABS(NETWORKDAYS(Proc[[#This Row],[DateOpened]],TODAY()))-1,ABS(NETWORKDAYS(Proc[[#This Row],[DateOpened]],Proc[[#This Row],[DateClosed]]))-1)</f>
        <v>3</v>
      </c>
      <c r="R4922" s="174" t="s">
        <v>5709</v>
      </c>
      <c r="S4922" s="150"/>
    </row>
    <row r="4923" spans="1:19">
      <c r="A4923" s="149" t="s">
        <v>7039</v>
      </c>
      <c r="B4923" s="150" t="str">
        <f>IFERROR(VLOOKUP(Proc[[#This Row],[App]],Table2[],3,0),"open")</f>
        <v>open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on track</v>
      </c>
      <c r="Q4923" s="3">
        <f ca="1">IF(Proc[[#This Row],[DateClosed]]="",ABS(NETWORKDAYS(Proc[[#This Row],[DateOpened]],TODAY()))-1,ABS(NETWORKDAYS(Proc[[#This Row],[DateOpened]],Proc[[#This Row],[DateClosed]]))-1)</f>
        <v>3</v>
      </c>
      <c r="R4923" s="174" t="s">
        <v>5709</v>
      </c>
      <c r="S4923" s="150"/>
    </row>
    <row r="4924" spans="1:19">
      <c r="A4924" s="149" t="s">
        <v>7039</v>
      </c>
      <c r="B4924" s="150" t="str">
        <f>IFERROR(VLOOKUP(Proc[[#This Row],[App]],Table2[],3,0),"open")</f>
        <v>open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on track</v>
      </c>
      <c r="Q4924" s="3">
        <f ca="1">IF(Proc[[#This Row],[DateClosed]]="",ABS(NETWORKDAYS(Proc[[#This Row],[DateOpened]],TODAY()))-1,ABS(NETWORKDAYS(Proc[[#This Row],[DateOpened]],Proc[[#This Row],[DateClosed]]))-1)</f>
        <v>3</v>
      </c>
      <c r="R4924" s="174" t="s">
        <v>5709</v>
      </c>
      <c r="S4924" s="150"/>
    </row>
    <row r="4925" spans="1:19">
      <c r="A4925" s="149" t="s">
        <v>7039</v>
      </c>
      <c r="B4925" s="150" t="str">
        <f>IFERROR(VLOOKUP(Proc[[#This Row],[App]],Table2[],3,0),"open")</f>
        <v>open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on track</v>
      </c>
      <c r="Q4925" s="3">
        <f ca="1">IF(Proc[[#This Row],[DateClosed]]="",ABS(NETWORKDAYS(Proc[[#This Row],[DateOpened]],TODAY()))-1,ABS(NETWORKDAYS(Proc[[#This Row],[DateOpened]],Proc[[#This Row],[DateClosed]]))-1)</f>
        <v>3</v>
      </c>
      <c r="R4925" s="174" t="s">
        <v>5709</v>
      </c>
      <c r="S4925" s="150"/>
    </row>
    <row r="4926" spans="1:19">
      <c r="A4926" s="149" t="s">
        <v>7039</v>
      </c>
      <c r="B4926" s="150" t="str">
        <f>IFERROR(VLOOKUP(Proc[[#This Row],[App]],Table2[],3,0),"open")</f>
        <v>open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on track</v>
      </c>
      <c r="Q4926" s="3">
        <f ca="1">IF(Proc[[#This Row],[DateClosed]]="",ABS(NETWORKDAYS(Proc[[#This Row],[DateOpened]],TODAY()))-1,ABS(NETWORKDAYS(Proc[[#This Row],[DateOpened]],Proc[[#This Row],[DateClosed]]))-1)</f>
        <v>3</v>
      </c>
      <c r="R4926" s="174" t="s">
        <v>5709</v>
      </c>
      <c r="S4926" s="150"/>
    </row>
    <row r="4927" spans="1:19">
      <c r="A4927" s="149" t="s">
        <v>7039</v>
      </c>
      <c r="B4927" s="150" t="str">
        <f>IFERROR(VLOOKUP(Proc[[#This Row],[App]],Table2[],3,0),"open")</f>
        <v>open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on track</v>
      </c>
      <c r="Q4927" s="3">
        <f ca="1">IF(Proc[[#This Row],[DateClosed]]="",ABS(NETWORKDAYS(Proc[[#This Row],[DateOpened]],TODAY()))-1,ABS(NETWORKDAYS(Proc[[#This Row],[DateOpened]],Proc[[#This Row],[DateClosed]]))-1)</f>
        <v>3</v>
      </c>
      <c r="R4927" s="174" t="s">
        <v>5709</v>
      </c>
      <c r="S4927" s="150"/>
    </row>
    <row r="4928" spans="1:19">
      <c r="A4928" s="149" t="s">
        <v>7039</v>
      </c>
      <c r="B4928" s="150" t="str">
        <f>IFERROR(VLOOKUP(Proc[[#This Row],[App]],Table2[],3,0),"open")</f>
        <v>open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on track</v>
      </c>
      <c r="Q4928" s="3">
        <f ca="1">IF(Proc[[#This Row],[DateClosed]]="",ABS(NETWORKDAYS(Proc[[#This Row],[DateOpened]],TODAY()))-1,ABS(NETWORKDAYS(Proc[[#This Row],[DateOpened]],Proc[[#This Row],[DateClosed]]))-1)</f>
        <v>3</v>
      </c>
      <c r="R4928" s="174" t="s">
        <v>5709</v>
      </c>
      <c r="S4928" s="150"/>
    </row>
    <row r="4929" spans="1:19">
      <c r="A4929" s="149" t="s">
        <v>7039</v>
      </c>
      <c r="B4929" s="150" t="str">
        <f>IFERROR(VLOOKUP(Proc[[#This Row],[App]],Table2[],3,0),"open")</f>
        <v>open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on track</v>
      </c>
      <c r="Q4929" s="3">
        <f ca="1">IF(Proc[[#This Row],[DateClosed]]="",ABS(NETWORKDAYS(Proc[[#This Row],[DateOpened]],TODAY()))-1,ABS(NETWORKDAYS(Proc[[#This Row],[DateOpened]],Proc[[#This Row],[DateClosed]]))-1)</f>
        <v>3</v>
      </c>
      <c r="R4929" s="174" t="s">
        <v>5709</v>
      </c>
      <c r="S4929" s="150"/>
    </row>
    <row r="4930" spans="1:19">
      <c r="A4930" s="149" t="s">
        <v>7039</v>
      </c>
      <c r="B4930" s="150" t="str">
        <f>IFERROR(VLOOKUP(Proc[[#This Row],[App]],Table2[],3,0),"open")</f>
        <v>open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on track</v>
      </c>
      <c r="Q4930" s="3">
        <f ca="1">IF(Proc[[#This Row],[DateClosed]]="",ABS(NETWORKDAYS(Proc[[#This Row],[DateOpened]],TODAY()))-1,ABS(NETWORKDAYS(Proc[[#This Row],[DateOpened]],Proc[[#This Row],[DateClosed]]))-1)</f>
        <v>3</v>
      </c>
      <c r="R4930" s="174" t="s">
        <v>5709</v>
      </c>
      <c r="S4930" s="150"/>
    </row>
    <row r="4931" spans="1:19">
      <c r="A4931" s="149" t="s">
        <v>7039</v>
      </c>
      <c r="B4931" s="150" t="str">
        <f>IFERROR(VLOOKUP(Proc[[#This Row],[App]],Table2[],3,0),"open")</f>
        <v>open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on track</v>
      </c>
      <c r="Q4931" s="3">
        <f ca="1">IF(Proc[[#This Row],[DateClosed]]="",ABS(NETWORKDAYS(Proc[[#This Row],[DateOpened]],TODAY()))-1,ABS(NETWORKDAYS(Proc[[#This Row],[DateOpened]],Proc[[#This Row],[DateClosed]]))-1)</f>
        <v>3</v>
      </c>
      <c r="R4931" s="174" t="s">
        <v>5709</v>
      </c>
      <c r="S4931" s="150"/>
    </row>
    <row r="4932" spans="1:19">
      <c r="A4932" s="149" t="s">
        <v>7039</v>
      </c>
      <c r="B4932" s="150" t="str">
        <f>IFERROR(VLOOKUP(Proc[[#This Row],[App]],Table2[],3,0),"open")</f>
        <v>open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on track</v>
      </c>
      <c r="Q4932" s="3">
        <f ca="1">IF(Proc[[#This Row],[DateClosed]]="",ABS(NETWORKDAYS(Proc[[#This Row],[DateOpened]],TODAY()))-1,ABS(NETWORKDAYS(Proc[[#This Row],[DateOpened]],Proc[[#This Row],[DateClosed]]))-1)</f>
        <v>3</v>
      </c>
      <c r="R4932" s="174" t="s">
        <v>5709</v>
      </c>
      <c r="S4932" s="150"/>
    </row>
    <row r="4933" spans="1:19">
      <c r="A4933" s="149" t="s">
        <v>7039</v>
      </c>
      <c r="B4933" s="150" t="str">
        <f>IFERROR(VLOOKUP(Proc[[#This Row],[App]],Table2[],3,0),"open")</f>
        <v>open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on track</v>
      </c>
      <c r="Q4933" s="3">
        <f ca="1">IF(Proc[[#This Row],[DateClosed]]="",ABS(NETWORKDAYS(Proc[[#This Row],[DateOpened]],TODAY()))-1,ABS(NETWORKDAYS(Proc[[#This Row],[DateOpened]],Proc[[#This Row],[DateClosed]]))-1)</f>
        <v>3</v>
      </c>
      <c r="R4933" s="174" t="s">
        <v>5709</v>
      </c>
      <c r="S4933" s="150"/>
    </row>
    <row r="4934" spans="1:19">
      <c r="A4934" s="149" t="s">
        <v>7039</v>
      </c>
      <c r="B4934" s="150" t="str">
        <f>IFERROR(VLOOKUP(Proc[[#This Row],[App]],Table2[],3,0),"open")</f>
        <v>open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on track</v>
      </c>
      <c r="Q4934" s="3">
        <f ca="1">IF(Proc[[#This Row],[DateClosed]]="",ABS(NETWORKDAYS(Proc[[#This Row],[DateOpened]],TODAY()))-1,ABS(NETWORKDAYS(Proc[[#This Row],[DateOpened]],Proc[[#This Row],[DateClosed]]))-1)</f>
        <v>3</v>
      </c>
      <c r="R4934" s="174" t="s">
        <v>5709</v>
      </c>
      <c r="S4934" s="150"/>
    </row>
    <row r="4935" spans="1:19">
      <c r="A4935" s="149" t="s">
        <v>7039</v>
      </c>
      <c r="B4935" s="150" t="str">
        <f>IFERROR(VLOOKUP(Proc[[#This Row],[App]],Table2[],3,0),"open")</f>
        <v>open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on track</v>
      </c>
      <c r="Q4935" s="3">
        <f ca="1">IF(Proc[[#This Row],[DateClosed]]="",ABS(NETWORKDAYS(Proc[[#This Row],[DateOpened]],TODAY()))-1,ABS(NETWORKDAYS(Proc[[#This Row],[DateOpened]],Proc[[#This Row],[DateClosed]]))-1)</f>
        <v>3</v>
      </c>
      <c r="R4935" s="174" t="s">
        <v>5709</v>
      </c>
      <c r="S4935" s="150"/>
    </row>
    <row r="4936" spans="1:19">
      <c r="A4936" s="149" t="s">
        <v>7039</v>
      </c>
      <c r="B4936" s="150" t="str">
        <f>IFERROR(VLOOKUP(Proc[[#This Row],[App]],Table2[],3,0),"open")</f>
        <v>open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on track</v>
      </c>
      <c r="Q4936" s="3">
        <f ca="1">IF(Proc[[#This Row],[DateClosed]]="",ABS(NETWORKDAYS(Proc[[#This Row],[DateOpened]],TODAY()))-1,ABS(NETWORKDAYS(Proc[[#This Row],[DateOpened]],Proc[[#This Row],[DateClosed]]))-1)</f>
        <v>3</v>
      </c>
      <c r="R4936" s="174" t="s">
        <v>5709</v>
      </c>
      <c r="S4936" s="150"/>
    </row>
    <row r="4937" spans="1:19">
      <c r="A4937" s="149" t="s">
        <v>7039</v>
      </c>
      <c r="B4937" s="150" t="str">
        <f>IFERROR(VLOOKUP(Proc[[#This Row],[App]],Table2[],3,0),"open")</f>
        <v>open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on track</v>
      </c>
      <c r="Q4937" s="3">
        <f ca="1">IF(Proc[[#This Row],[DateClosed]]="",ABS(NETWORKDAYS(Proc[[#This Row],[DateOpened]],TODAY()))-1,ABS(NETWORKDAYS(Proc[[#This Row],[DateOpened]],Proc[[#This Row],[DateClosed]]))-1)</f>
        <v>3</v>
      </c>
      <c r="R4937" s="174" t="s">
        <v>5709</v>
      </c>
      <c r="S4937" s="150"/>
    </row>
    <row r="4938" spans="1:19">
      <c r="A4938" s="149" t="s">
        <v>7039</v>
      </c>
      <c r="B4938" s="150" t="str">
        <f>IFERROR(VLOOKUP(Proc[[#This Row],[App]],Table2[],3,0),"open")</f>
        <v>open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on track</v>
      </c>
      <c r="Q4938" s="3">
        <f ca="1">IF(Proc[[#This Row],[DateClosed]]="",ABS(NETWORKDAYS(Proc[[#This Row],[DateOpened]],TODAY()))-1,ABS(NETWORKDAYS(Proc[[#This Row],[DateOpened]],Proc[[#This Row],[DateClosed]]))-1)</f>
        <v>3</v>
      </c>
      <c r="R4938" s="174" t="s">
        <v>5709</v>
      </c>
      <c r="S4938" s="150"/>
    </row>
    <row r="4939" spans="1:19">
      <c r="A4939" s="149" t="s">
        <v>7039</v>
      </c>
      <c r="B4939" s="150" t="str">
        <f>IFERROR(VLOOKUP(Proc[[#This Row],[App]],Table2[],3,0),"open")</f>
        <v>open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on track</v>
      </c>
      <c r="Q4939" s="3">
        <f ca="1">IF(Proc[[#This Row],[DateClosed]]="",ABS(NETWORKDAYS(Proc[[#This Row],[DateOpened]],TODAY()))-1,ABS(NETWORKDAYS(Proc[[#This Row],[DateOpened]],Proc[[#This Row],[DateClosed]]))-1)</f>
        <v>3</v>
      </c>
      <c r="R4939" s="174" t="s">
        <v>5709</v>
      </c>
      <c r="S4939" s="150"/>
    </row>
    <row r="4940" spans="1:19">
      <c r="A4940" s="149" t="s">
        <v>7039</v>
      </c>
      <c r="B4940" s="150" t="str">
        <f>IFERROR(VLOOKUP(Proc[[#This Row],[App]],Table2[],3,0),"open")</f>
        <v>open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on track</v>
      </c>
      <c r="Q4940" s="3">
        <f ca="1">IF(Proc[[#This Row],[DateClosed]]="",ABS(NETWORKDAYS(Proc[[#This Row],[DateOpened]],TODAY()))-1,ABS(NETWORKDAYS(Proc[[#This Row],[DateOpened]],Proc[[#This Row],[DateClosed]]))-1)</f>
        <v>3</v>
      </c>
      <c r="R4940" s="174" t="s">
        <v>5709</v>
      </c>
      <c r="S4940" s="150"/>
    </row>
    <row r="4941" spans="1:19">
      <c r="A4941" s="149" t="s">
        <v>7039</v>
      </c>
      <c r="B4941" s="150" t="str">
        <f>IFERROR(VLOOKUP(Proc[[#This Row],[App]],Table2[],3,0),"open")</f>
        <v>open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on track</v>
      </c>
      <c r="Q4941" s="3">
        <f ca="1">IF(Proc[[#This Row],[DateClosed]]="",ABS(NETWORKDAYS(Proc[[#This Row],[DateOpened]],TODAY()))-1,ABS(NETWORKDAYS(Proc[[#This Row],[DateOpened]],Proc[[#This Row],[DateClosed]]))-1)</f>
        <v>3</v>
      </c>
      <c r="R4941" s="174" t="s">
        <v>5709</v>
      </c>
      <c r="S4941" s="150"/>
    </row>
    <row r="4942" spans="1:19">
      <c r="A4942" s="149" t="s">
        <v>7039</v>
      </c>
      <c r="B4942" s="150" t="str">
        <f>IFERROR(VLOOKUP(Proc[[#This Row],[App]],Table2[],3,0),"open")</f>
        <v>open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on track</v>
      </c>
      <c r="Q4942" s="3">
        <f ca="1">IF(Proc[[#This Row],[DateClosed]]="",ABS(NETWORKDAYS(Proc[[#This Row],[DateOpened]],TODAY()))-1,ABS(NETWORKDAYS(Proc[[#This Row],[DateOpened]],Proc[[#This Row],[DateClosed]]))-1)</f>
        <v>3</v>
      </c>
      <c r="R4942" s="174" t="s">
        <v>5709</v>
      </c>
      <c r="S4942" s="150"/>
    </row>
    <row r="4943" spans="1:19">
      <c r="A4943" s="149" t="s">
        <v>7039</v>
      </c>
      <c r="B4943" s="150" t="str">
        <f>IFERROR(VLOOKUP(Proc[[#This Row],[App]],Table2[],3,0),"open")</f>
        <v>open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on track</v>
      </c>
      <c r="Q4943" s="3">
        <f ca="1">IF(Proc[[#This Row],[DateClosed]]="",ABS(NETWORKDAYS(Proc[[#This Row],[DateOpened]],TODAY()))-1,ABS(NETWORKDAYS(Proc[[#This Row],[DateOpened]],Proc[[#This Row],[DateClosed]]))-1)</f>
        <v>3</v>
      </c>
      <c r="R4943" s="174" t="s">
        <v>5709</v>
      </c>
      <c r="S4943" s="150"/>
    </row>
    <row r="4944" spans="1:19">
      <c r="A4944" s="149" t="s">
        <v>7039</v>
      </c>
      <c r="B4944" s="150" t="str">
        <f>IFERROR(VLOOKUP(Proc[[#This Row],[App]],Table2[],3,0),"open")</f>
        <v>open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on track</v>
      </c>
      <c r="Q4944" s="3">
        <f ca="1">IF(Proc[[#This Row],[DateClosed]]="",ABS(NETWORKDAYS(Proc[[#This Row],[DateOpened]],TODAY()))-1,ABS(NETWORKDAYS(Proc[[#This Row],[DateOpened]],Proc[[#This Row],[DateClosed]]))-1)</f>
        <v>3</v>
      </c>
      <c r="R4944" s="174" t="s">
        <v>5709</v>
      </c>
      <c r="S4944" s="150"/>
    </row>
    <row r="4945" spans="1:19">
      <c r="A4945" s="149" t="s">
        <v>7039</v>
      </c>
      <c r="B4945" s="150" t="str">
        <f>IFERROR(VLOOKUP(Proc[[#This Row],[App]],Table2[],3,0),"open")</f>
        <v>open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on track</v>
      </c>
      <c r="Q4945" s="3">
        <f ca="1">IF(Proc[[#This Row],[DateClosed]]="",ABS(NETWORKDAYS(Proc[[#This Row],[DateOpened]],TODAY()))-1,ABS(NETWORKDAYS(Proc[[#This Row],[DateOpened]],Proc[[#This Row],[DateClosed]]))-1)</f>
        <v>3</v>
      </c>
      <c r="R4945" s="174" t="s">
        <v>5709</v>
      </c>
      <c r="S4945" s="150"/>
    </row>
    <row r="4946" spans="1:19">
      <c r="A4946" s="149" t="s">
        <v>7039</v>
      </c>
      <c r="B4946" s="150" t="str">
        <f>IFERROR(VLOOKUP(Proc[[#This Row],[App]],Table2[],3,0),"open")</f>
        <v>open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on track</v>
      </c>
      <c r="Q4946" s="3">
        <f ca="1">IF(Proc[[#This Row],[DateClosed]]="",ABS(NETWORKDAYS(Proc[[#This Row],[DateOpened]],TODAY()))-1,ABS(NETWORKDAYS(Proc[[#This Row],[DateOpened]],Proc[[#This Row],[DateClosed]]))-1)</f>
        <v>3</v>
      </c>
      <c r="R4946" s="174" t="s">
        <v>5709</v>
      </c>
      <c r="S4946" s="150"/>
    </row>
    <row r="4947" spans="1:19">
      <c r="A4947" s="149" t="s">
        <v>7039</v>
      </c>
      <c r="B4947" s="150" t="str">
        <f>IFERROR(VLOOKUP(Proc[[#This Row],[App]],Table2[],3,0),"open")</f>
        <v>open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on track</v>
      </c>
      <c r="Q4947" s="3">
        <f ca="1">IF(Proc[[#This Row],[DateClosed]]="",ABS(NETWORKDAYS(Proc[[#This Row],[DateOpened]],TODAY()))-1,ABS(NETWORKDAYS(Proc[[#This Row],[DateOpened]],Proc[[#This Row],[DateClosed]]))-1)</f>
        <v>3</v>
      </c>
      <c r="R4947" s="174" t="s">
        <v>5709</v>
      </c>
      <c r="S4947" s="150"/>
    </row>
    <row r="4948" spans="1:19">
      <c r="A4948" s="149" t="s">
        <v>7039</v>
      </c>
      <c r="B4948" s="150" t="str">
        <f>IFERROR(VLOOKUP(Proc[[#This Row],[App]],Table2[],3,0),"open")</f>
        <v>open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on track</v>
      </c>
      <c r="Q4948" s="3">
        <f ca="1">IF(Proc[[#This Row],[DateClosed]]="",ABS(NETWORKDAYS(Proc[[#This Row],[DateOpened]],TODAY()))-1,ABS(NETWORKDAYS(Proc[[#This Row],[DateOpened]],Proc[[#This Row],[DateClosed]]))-1)</f>
        <v>3</v>
      </c>
      <c r="R4948" s="174" t="s">
        <v>5709</v>
      </c>
      <c r="S4948" s="150"/>
    </row>
    <row r="4949" spans="1:19">
      <c r="A4949" s="149" t="s">
        <v>7039</v>
      </c>
      <c r="B4949" s="150" t="str">
        <f>IFERROR(VLOOKUP(Proc[[#This Row],[App]],Table2[],3,0),"open")</f>
        <v>open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on track</v>
      </c>
      <c r="Q4949" s="3">
        <f ca="1">IF(Proc[[#This Row],[DateClosed]]="",ABS(NETWORKDAYS(Proc[[#This Row],[DateOpened]],TODAY()))-1,ABS(NETWORKDAYS(Proc[[#This Row],[DateOpened]],Proc[[#This Row],[DateClosed]]))-1)</f>
        <v>3</v>
      </c>
      <c r="R4949" s="174" t="s">
        <v>5709</v>
      </c>
      <c r="S4949" s="150"/>
    </row>
    <row r="4950" spans="1:19">
      <c r="A4950" s="149" t="s">
        <v>7039</v>
      </c>
      <c r="B4950" s="150" t="str">
        <f>IFERROR(VLOOKUP(Proc[[#This Row],[App]],Table2[],3,0),"open")</f>
        <v>open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on track</v>
      </c>
      <c r="Q4950" s="3">
        <f ca="1">IF(Proc[[#This Row],[DateClosed]]="",ABS(NETWORKDAYS(Proc[[#This Row],[DateOpened]],TODAY()))-1,ABS(NETWORKDAYS(Proc[[#This Row],[DateOpened]],Proc[[#This Row],[DateClosed]]))-1)</f>
        <v>3</v>
      </c>
      <c r="R4950" s="174" t="s">
        <v>5709</v>
      </c>
      <c r="S4950" s="150"/>
    </row>
    <row r="4951" spans="1:19">
      <c r="A4951" s="149" t="s">
        <v>7039</v>
      </c>
      <c r="B4951" s="150" t="str">
        <f>IFERROR(VLOOKUP(Proc[[#This Row],[App]],Table2[],3,0),"open")</f>
        <v>open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on track</v>
      </c>
      <c r="Q4951" s="3">
        <f ca="1">IF(Proc[[#This Row],[DateClosed]]="",ABS(NETWORKDAYS(Proc[[#This Row],[DateOpened]],TODAY()))-1,ABS(NETWORKDAYS(Proc[[#This Row],[DateOpened]],Proc[[#This Row],[DateClosed]]))-1)</f>
        <v>3</v>
      </c>
      <c r="R4951" s="174" t="s">
        <v>5709</v>
      </c>
      <c r="S4951" s="150"/>
    </row>
    <row r="4952" spans="1:19">
      <c r="A4952" s="149" t="s">
        <v>7039</v>
      </c>
      <c r="B4952" s="150" t="str">
        <f>IFERROR(VLOOKUP(Proc[[#This Row],[App]],Table2[],3,0),"open")</f>
        <v>open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on track</v>
      </c>
      <c r="Q4952" s="3">
        <f ca="1">IF(Proc[[#This Row],[DateClosed]]="",ABS(NETWORKDAYS(Proc[[#This Row],[DateOpened]],TODAY()))-1,ABS(NETWORKDAYS(Proc[[#This Row],[DateOpened]],Proc[[#This Row],[DateClosed]]))-1)</f>
        <v>3</v>
      </c>
      <c r="R4952" s="174" t="s">
        <v>5709</v>
      </c>
      <c r="S4952" s="150"/>
    </row>
    <row r="4953" spans="1:19">
      <c r="A4953" s="149" t="s">
        <v>7039</v>
      </c>
      <c r="B4953" s="150" t="str">
        <f>IFERROR(VLOOKUP(Proc[[#This Row],[App]],Table2[],3,0),"open")</f>
        <v>open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on track</v>
      </c>
      <c r="Q4953" s="3">
        <f ca="1">IF(Proc[[#This Row],[DateClosed]]="",ABS(NETWORKDAYS(Proc[[#This Row],[DateOpened]],TODAY()))-1,ABS(NETWORKDAYS(Proc[[#This Row],[DateOpened]],Proc[[#This Row],[DateClosed]]))-1)</f>
        <v>3</v>
      </c>
      <c r="R4953" s="174" t="s">
        <v>5709</v>
      </c>
      <c r="S4953" s="150"/>
    </row>
    <row r="4954" spans="1:19">
      <c r="A4954" s="149" t="s">
        <v>7039</v>
      </c>
      <c r="B4954" s="150" t="str">
        <f>IFERROR(VLOOKUP(Proc[[#This Row],[App]],Table2[],3,0),"open")</f>
        <v>open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on track</v>
      </c>
      <c r="Q4954" s="3">
        <f ca="1">IF(Proc[[#This Row],[DateClosed]]="",ABS(NETWORKDAYS(Proc[[#This Row],[DateOpened]],TODAY()))-1,ABS(NETWORKDAYS(Proc[[#This Row],[DateOpened]],Proc[[#This Row],[DateClosed]]))-1)</f>
        <v>3</v>
      </c>
      <c r="R4954" s="174" t="s">
        <v>5709</v>
      </c>
      <c r="S4954" s="150"/>
    </row>
    <row r="4955" spans="1:19">
      <c r="A4955" s="149" t="s">
        <v>7039</v>
      </c>
      <c r="B4955" s="150" t="str">
        <f>IFERROR(VLOOKUP(Proc[[#This Row],[App]],Table2[],3,0),"open")</f>
        <v>open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on track</v>
      </c>
      <c r="Q4955" s="3">
        <f ca="1">IF(Proc[[#This Row],[DateClosed]]="",ABS(NETWORKDAYS(Proc[[#This Row],[DateOpened]],TODAY()))-1,ABS(NETWORKDAYS(Proc[[#This Row],[DateOpened]],Proc[[#This Row],[DateClosed]]))-1)</f>
        <v>3</v>
      </c>
      <c r="R4955" s="174" t="s">
        <v>5709</v>
      </c>
      <c r="S4955" s="150"/>
    </row>
    <row r="4956" spans="1:19">
      <c r="A4956" s="149" t="s">
        <v>7039</v>
      </c>
      <c r="B4956" s="150" t="str">
        <f>IFERROR(VLOOKUP(Proc[[#This Row],[App]],Table2[],3,0),"open")</f>
        <v>open</v>
      </c>
      <c r="C4956" s="149" t="s">
        <v>375</v>
      </c>
      <c r="D4956" t="s">
        <v>7165</v>
      </c>
      <c r="E4956" s="149" t="s">
        <v>7238</v>
      </c>
      <c r="F4956" s="150"/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0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on track</v>
      </c>
      <c r="Q4956" s="3">
        <f ca="1">IF(Proc[[#This Row],[DateClosed]]="",ABS(NETWORKDAYS(Proc[[#This Row],[DateOpened]],TODAY()))-1,ABS(NETWORKDAYS(Proc[[#This Row],[DateOpened]],Proc[[#This Row],[DateClosed]]))-1)</f>
        <v>3</v>
      </c>
      <c r="R4956" s="174" t="s">
        <v>5709</v>
      </c>
      <c r="S4956" s="150"/>
    </row>
    <row r="4957" spans="1:19">
      <c r="A4957" s="149" t="s">
        <v>7039</v>
      </c>
      <c r="B4957" s="150" t="str">
        <f>IFERROR(VLOOKUP(Proc[[#This Row],[App]],Table2[],3,0),"open")</f>
        <v>open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on track</v>
      </c>
      <c r="Q4957" s="3">
        <f ca="1">IF(Proc[[#This Row],[DateClosed]]="",ABS(NETWORKDAYS(Proc[[#This Row],[DateOpened]],TODAY()))-1,ABS(NETWORKDAYS(Proc[[#This Row],[DateOpened]],Proc[[#This Row],[DateClosed]]))-1)</f>
        <v>3</v>
      </c>
      <c r="R4957" s="174" t="s">
        <v>5709</v>
      </c>
      <c r="S4957" s="150"/>
    </row>
    <row r="4958" spans="1:19">
      <c r="A4958" s="149" t="s">
        <v>7039</v>
      </c>
      <c r="B4958" s="150" t="str">
        <f>IFERROR(VLOOKUP(Proc[[#This Row],[App]],Table2[],3,0),"open")</f>
        <v>open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on track</v>
      </c>
      <c r="Q4958" s="3">
        <f ca="1">IF(Proc[[#This Row],[DateClosed]]="",ABS(NETWORKDAYS(Proc[[#This Row],[DateOpened]],TODAY()))-1,ABS(NETWORKDAYS(Proc[[#This Row],[DateOpened]],Proc[[#This Row],[DateClosed]]))-1)</f>
        <v>3</v>
      </c>
      <c r="R4958" s="174" t="s">
        <v>5709</v>
      </c>
      <c r="S4958" s="150"/>
    </row>
    <row r="4959" spans="1:19">
      <c r="A4959" s="149" t="s">
        <v>7039</v>
      </c>
      <c r="B4959" s="150" t="str">
        <f>IFERROR(VLOOKUP(Proc[[#This Row],[App]],Table2[],3,0),"open")</f>
        <v>open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on track</v>
      </c>
      <c r="Q4959" s="3">
        <f ca="1">IF(Proc[[#This Row],[DateClosed]]="",ABS(NETWORKDAYS(Proc[[#This Row],[DateOpened]],TODAY()))-1,ABS(NETWORKDAYS(Proc[[#This Row],[DateOpened]],Proc[[#This Row],[DateClosed]]))-1)</f>
        <v>3</v>
      </c>
      <c r="R4959" s="174" t="s">
        <v>5709</v>
      </c>
      <c r="S4959" s="150"/>
    </row>
    <row r="4960" spans="1:19">
      <c r="A4960" s="149" t="s">
        <v>7039</v>
      </c>
      <c r="B4960" s="150" t="str">
        <f>IFERROR(VLOOKUP(Proc[[#This Row],[App]],Table2[],3,0),"open")</f>
        <v>open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on track</v>
      </c>
      <c r="Q4960" s="3">
        <f ca="1">IF(Proc[[#This Row],[DateClosed]]="",ABS(NETWORKDAYS(Proc[[#This Row],[DateOpened]],TODAY()))-1,ABS(NETWORKDAYS(Proc[[#This Row],[DateOpened]],Proc[[#This Row],[DateClosed]]))-1)</f>
        <v>3</v>
      </c>
      <c r="R4960" s="174" t="s">
        <v>5709</v>
      </c>
      <c r="S4960" s="150"/>
    </row>
    <row r="4961" spans="1:19">
      <c r="A4961" s="149" t="s">
        <v>7039</v>
      </c>
      <c r="B4961" s="150" t="str">
        <f>IFERROR(VLOOKUP(Proc[[#This Row],[App]],Table2[],3,0),"open")</f>
        <v>open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on track</v>
      </c>
      <c r="Q4961" s="3">
        <f ca="1">IF(Proc[[#This Row],[DateClosed]]="",ABS(NETWORKDAYS(Proc[[#This Row],[DateOpened]],TODAY()))-1,ABS(NETWORKDAYS(Proc[[#This Row],[DateOpened]],Proc[[#This Row],[DateClosed]]))-1)</f>
        <v>3</v>
      </c>
      <c r="R4961" s="174" t="s">
        <v>5709</v>
      </c>
      <c r="S4961" s="150"/>
    </row>
    <row r="4962" spans="1:19">
      <c r="A4962" s="149" t="s">
        <v>7039</v>
      </c>
      <c r="B4962" s="150" t="str">
        <f>IFERROR(VLOOKUP(Proc[[#This Row],[App]],Table2[],3,0),"open")</f>
        <v>open</v>
      </c>
      <c r="C4962" s="149" t="s">
        <v>375</v>
      </c>
      <c r="D4962" t="s">
        <v>7171</v>
      </c>
      <c r="E4962" s="149" t="s">
        <v>7239</v>
      </c>
      <c r="F4962" s="150"/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0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on track</v>
      </c>
      <c r="Q4962" s="3">
        <f ca="1">IF(Proc[[#This Row],[DateClosed]]="",ABS(NETWORKDAYS(Proc[[#This Row],[DateOpened]],TODAY()))-1,ABS(NETWORKDAYS(Proc[[#This Row],[DateOpened]],Proc[[#This Row],[DateClosed]]))-1)</f>
        <v>3</v>
      </c>
      <c r="R4962" s="174" t="s">
        <v>5709</v>
      </c>
      <c r="S4962" s="150"/>
    </row>
    <row r="4963" spans="1:19">
      <c r="A4963" s="149" t="s">
        <v>7039</v>
      </c>
      <c r="B4963" s="150" t="str">
        <f>IFERROR(VLOOKUP(Proc[[#This Row],[App]],Table2[],3,0),"open")</f>
        <v>open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on track</v>
      </c>
      <c r="Q4963" s="3">
        <f ca="1">IF(Proc[[#This Row],[DateClosed]]="",ABS(NETWORKDAYS(Proc[[#This Row],[DateOpened]],TODAY()))-1,ABS(NETWORKDAYS(Proc[[#This Row],[DateOpened]],Proc[[#This Row],[DateClosed]]))-1)</f>
        <v>3</v>
      </c>
      <c r="R4963" s="174" t="s">
        <v>5709</v>
      </c>
      <c r="S4963" s="150"/>
    </row>
    <row r="4964" spans="1:19">
      <c r="A4964" s="149" t="s">
        <v>7039</v>
      </c>
      <c r="B4964" s="150" t="str">
        <f>IFERROR(VLOOKUP(Proc[[#This Row],[App]],Table2[],3,0),"open")</f>
        <v>open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on track</v>
      </c>
      <c r="Q4964" s="3">
        <f ca="1">IF(Proc[[#This Row],[DateClosed]]="",ABS(NETWORKDAYS(Proc[[#This Row],[DateOpened]],TODAY()))-1,ABS(NETWORKDAYS(Proc[[#This Row],[DateOpened]],Proc[[#This Row],[DateClosed]]))-1)</f>
        <v>3</v>
      </c>
      <c r="R4964" s="174" t="s">
        <v>5709</v>
      </c>
      <c r="S4964" s="150"/>
    </row>
    <row r="4965" spans="1:19">
      <c r="A4965" s="149" t="s">
        <v>7039</v>
      </c>
      <c r="B4965" s="150" t="str">
        <f>IFERROR(VLOOKUP(Proc[[#This Row],[App]],Table2[],3,0),"open")</f>
        <v>open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on track</v>
      </c>
      <c r="Q4965" s="3">
        <f ca="1">IF(Proc[[#This Row],[DateClosed]]="",ABS(NETWORKDAYS(Proc[[#This Row],[DateOpened]],TODAY()))-1,ABS(NETWORKDAYS(Proc[[#This Row],[DateOpened]],Proc[[#This Row],[DateClosed]]))-1)</f>
        <v>3</v>
      </c>
      <c r="R4965" s="174" t="s">
        <v>5709</v>
      </c>
      <c r="S4965" s="150"/>
    </row>
    <row r="4966" spans="1:19">
      <c r="A4966" s="149" t="s">
        <v>7039</v>
      </c>
      <c r="B4966" s="150" t="str">
        <f>IFERROR(VLOOKUP(Proc[[#This Row],[App]],Table2[],3,0),"open")</f>
        <v>open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on track</v>
      </c>
      <c r="Q4966" s="3">
        <f ca="1">IF(Proc[[#This Row],[DateClosed]]="",ABS(NETWORKDAYS(Proc[[#This Row],[DateOpened]],TODAY()))-1,ABS(NETWORKDAYS(Proc[[#This Row],[DateOpened]],Proc[[#This Row],[DateClosed]]))-1)</f>
        <v>3</v>
      </c>
      <c r="R4966" s="174" t="s">
        <v>5709</v>
      </c>
      <c r="S4966" s="150"/>
    </row>
    <row r="4967" spans="1:19">
      <c r="A4967" s="149" t="s">
        <v>7039</v>
      </c>
      <c r="B4967" s="150" t="str">
        <f>IFERROR(VLOOKUP(Proc[[#This Row],[App]],Table2[],3,0),"open")</f>
        <v>open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on track</v>
      </c>
      <c r="Q4967" s="3">
        <f ca="1">IF(Proc[[#This Row],[DateClosed]]="",ABS(NETWORKDAYS(Proc[[#This Row],[DateOpened]],TODAY()))-1,ABS(NETWORKDAYS(Proc[[#This Row],[DateOpened]],Proc[[#This Row],[DateClosed]]))-1)</f>
        <v>3</v>
      </c>
      <c r="R4967" s="174" t="s">
        <v>5709</v>
      </c>
      <c r="S4967" s="150"/>
    </row>
    <row r="4968" spans="1:19">
      <c r="A4968" s="149" t="s">
        <v>7039</v>
      </c>
      <c r="B4968" s="150" t="str">
        <f>IFERROR(VLOOKUP(Proc[[#This Row],[App]],Table2[],3,0),"open")</f>
        <v>open</v>
      </c>
      <c r="C4968" s="149" t="s">
        <v>375</v>
      </c>
      <c r="D4968" t="s">
        <v>7177</v>
      </c>
      <c r="E4968" s="149" t="s">
        <v>7239</v>
      </c>
      <c r="F4968" s="150"/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0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on track</v>
      </c>
      <c r="Q4968" s="3">
        <f ca="1">IF(Proc[[#This Row],[DateClosed]]="",ABS(NETWORKDAYS(Proc[[#This Row],[DateOpened]],TODAY()))-1,ABS(NETWORKDAYS(Proc[[#This Row],[DateOpened]],Proc[[#This Row],[DateClosed]]))-1)</f>
        <v>3</v>
      </c>
      <c r="R4968" s="174" t="s">
        <v>5709</v>
      </c>
      <c r="S4968" s="150"/>
    </row>
    <row r="4969" spans="1:19">
      <c r="A4969" s="149" t="s">
        <v>7039</v>
      </c>
      <c r="B4969" s="150" t="str">
        <f>IFERROR(VLOOKUP(Proc[[#This Row],[App]],Table2[],3,0),"open")</f>
        <v>open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on track</v>
      </c>
      <c r="Q4969" s="3">
        <f ca="1">IF(Proc[[#This Row],[DateClosed]]="",ABS(NETWORKDAYS(Proc[[#This Row],[DateOpened]],TODAY()))-1,ABS(NETWORKDAYS(Proc[[#This Row],[DateOpened]],Proc[[#This Row],[DateClosed]]))-1)</f>
        <v>3</v>
      </c>
      <c r="R4969" s="174" t="s">
        <v>5709</v>
      </c>
      <c r="S4969" s="150"/>
    </row>
    <row r="4970" spans="1:19">
      <c r="A4970" s="149" t="s">
        <v>7039</v>
      </c>
      <c r="B4970" s="150" t="str">
        <f>IFERROR(VLOOKUP(Proc[[#This Row],[App]],Table2[],3,0),"open")</f>
        <v>open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on track</v>
      </c>
      <c r="Q4970" s="3">
        <f ca="1">IF(Proc[[#This Row],[DateClosed]]="",ABS(NETWORKDAYS(Proc[[#This Row],[DateOpened]],TODAY()))-1,ABS(NETWORKDAYS(Proc[[#This Row],[DateOpened]],Proc[[#This Row],[DateClosed]]))-1)</f>
        <v>3</v>
      </c>
      <c r="R4970" s="174" t="s">
        <v>5709</v>
      </c>
      <c r="S4970" s="150"/>
    </row>
    <row r="4971" spans="1:19">
      <c r="A4971" s="149" t="s">
        <v>7039</v>
      </c>
      <c r="B4971" s="150" t="str">
        <f>IFERROR(VLOOKUP(Proc[[#This Row],[App]],Table2[],3,0),"open")</f>
        <v>open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on track</v>
      </c>
      <c r="Q4971" s="3">
        <f ca="1">IF(Proc[[#This Row],[DateClosed]]="",ABS(NETWORKDAYS(Proc[[#This Row],[DateOpened]],TODAY()))-1,ABS(NETWORKDAYS(Proc[[#This Row],[DateOpened]],Proc[[#This Row],[DateClosed]]))-1)</f>
        <v>3</v>
      </c>
      <c r="R4971" s="174" t="s">
        <v>5709</v>
      </c>
      <c r="S4971" s="150"/>
    </row>
    <row r="4972" spans="1:19">
      <c r="A4972" s="149" t="s">
        <v>7039</v>
      </c>
      <c r="B4972" s="150" t="str">
        <f>IFERROR(VLOOKUP(Proc[[#This Row],[App]],Table2[],3,0),"open")</f>
        <v>open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on track</v>
      </c>
      <c r="Q4972" s="3">
        <f ca="1">IF(Proc[[#This Row],[DateClosed]]="",ABS(NETWORKDAYS(Proc[[#This Row],[DateOpened]],TODAY()))-1,ABS(NETWORKDAYS(Proc[[#This Row],[DateOpened]],Proc[[#This Row],[DateClosed]]))-1)</f>
        <v>3</v>
      </c>
      <c r="R4972" s="174" t="s">
        <v>5709</v>
      </c>
      <c r="S4972" s="150"/>
    </row>
    <row r="4973" spans="1:19">
      <c r="A4973" s="149" t="s">
        <v>7039</v>
      </c>
      <c r="B4973" s="150" t="str">
        <f>IFERROR(VLOOKUP(Proc[[#This Row],[App]],Table2[],3,0),"open")</f>
        <v>open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on track</v>
      </c>
      <c r="Q4973" s="3">
        <f ca="1">IF(Proc[[#This Row],[DateClosed]]="",ABS(NETWORKDAYS(Proc[[#This Row],[DateOpened]],TODAY()))-1,ABS(NETWORKDAYS(Proc[[#This Row],[DateOpened]],Proc[[#This Row],[DateClosed]]))-1)</f>
        <v>3</v>
      </c>
      <c r="R4973" s="174" t="s">
        <v>5709</v>
      </c>
      <c r="S4973" s="150"/>
    </row>
    <row r="4974" spans="1:19">
      <c r="A4974" s="149" t="s">
        <v>7039</v>
      </c>
      <c r="B4974" s="150" t="str">
        <f>IFERROR(VLOOKUP(Proc[[#This Row],[App]],Table2[],3,0),"open")</f>
        <v>open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on track</v>
      </c>
      <c r="Q4974" s="3">
        <f ca="1">IF(Proc[[#This Row],[DateClosed]]="",ABS(NETWORKDAYS(Proc[[#This Row],[DateOpened]],TODAY()))-1,ABS(NETWORKDAYS(Proc[[#This Row],[DateOpened]],Proc[[#This Row],[DateClosed]]))-1)</f>
        <v>3</v>
      </c>
      <c r="R4974" s="174" t="s">
        <v>5709</v>
      </c>
      <c r="S4974" s="150"/>
    </row>
    <row r="4975" spans="1:19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on track</v>
      </c>
      <c r="Q4975" s="3">
        <f ca="1">IF(Proc[[#This Row],[DateClosed]]="",ABS(NETWORKDAYS(Proc[[#This Row],[DateOpened]],TODAY()))-1,ABS(NETWORKDAYS(Proc[[#This Row],[DateOpened]],Proc[[#This Row],[DateClosed]]))-1)</f>
        <v>2</v>
      </c>
      <c r="R4975" s="174" t="s">
        <v>7193</v>
      </c>
      <c r="S4975" s="150"/>
    </row>
    <row r="4976" spans="1:19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on track</v>
      </c>
      <c r="Q4976" s="3">
        <f ca="1">IF(Proc[[#This Row],[DateClosed]]="",ABS(NETWORKDAYS(Proc[[#This Row],[DateOpened]],TODAY()))-1,ABS(NETWORKDAYS(Proc[[#This Row],[DateOpened]],Proc[[#This Row],[DateClosed]]))-1)</f>
        <v>2</v>
      </c>
      <c r="R4976" s="174" t="s">
        <v>7193</v>
      </c>
      <c r="S4976" s="150"/>
    </row>
    <row r="4977" spans="1:19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on track</v>
      </c>
      <c r="Q4977" s="3">
        <f ca="1">IF(Proc[[#This Row],[DateClosed]]="",ABS(NETWORKDAYS(Proc[[#This Row],[DateOpened]],TODAY()))-1,ABS(NETWORKDAYS(Proc[[#This Row],[DateOpened]],Proc[[#This Row],[DateClosed]]))-1)</f>
        <v>2</v>
      </c>
      <c r="R4977" s="174" t="s">
        <v>7193</v>
      </c>
      <c r="S4977" s="150"/>
    </row>
    <row r="4978" spans="1:19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on track</v>
      </c>
      <c r="Q4978" s="3">
        <f ca="1">IF(Proc[[#This Row],[DateClosed]]="",ABS(NETWORKDAYS(Proc[[#This Row],[DateOpened]],TODAY()))-1,ABS(NETWORKDAYS(Proc[[#This Row],[DateOpened]],Proc[[#This Row],[DateClosed]]))-1)</f>
        <v>2</v>
      </c>
      <c r="R4978" s="174" t="s">
        <v>7193</v>
      </c>
      <c r="S4978" s="150"/>
    </row>
    <row r="4979" spans="1:19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on track</v>
      </c>
      <c r="Q4979" s="3">
        <f ca="1">IF(Proc[[#This Row],[DateClosed]]="",ABS(NETWORKDAYS(Proc[[#This Row],[DateOpened]],TODAY()))-1,ABS(NETWORKDAYS(Proc[[#This Row],[DateOpened]],Proc[[#This Row],[DateClosed]]))-1)</f>
        <v>2</v>
      </c>
      <c r="R4979" s="174" t="s">
        <v>7193</v>
      </c>
      <c r="S4979" s="150"/>
    </row>
    <row r="4980" spans="1:19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on track</v>
      </c>
      <c r="Q4980" s="3">
        <f ca="1">IF(Proc[[#This Row],[DateClosed]]="",ABS(NETWORKDAYS(Proc[[#This Row],[DateOpened]],TODAY()))-1,ABS(NETWORKDAYS(Proc[[#This Row],[DateOpened]],Proc[[#This Row],[DateClosed]]))-1)</f>
        <v>2</v>
      </c>
      <c r="R4980" s="174" t="s">
        <v>1013</v>
      </c>
      <c r="S4980" s="150"/>
    </row>
    <row r="4981" spans="1:19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on track</v>
      </c>
      <c r="Q4981" s="3">
        <f ca="1">IF(Proc[[#This Row],[DateClosed]]="",ABS(NETWORKDAYS(Proc[[#This Row],[DateOpened]],TODAY()))-1,ABS(NETWORKDAYS(Proc[[#This Row],[DateOpened]],Proc[[#This Row],[DateClosed]]))-1)</f>
        <v>2</v>
      </c>
      <c r="R4981" s="174" t="s">
        <v>1013</v>
      </c>
      <c r="S4981" s="150"/>
    </row>
    <row r="4982" spans="1:19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on track</v>
      </c>
      <c r="Q4982" s="3">
        <f ca="1">IF(Proc[[#This Row],[DateClosed]]="",ABS(NETWORKDAYS(Proc[[#This Row],[DateOpened]],TODAY()))-1,ABS(NETWORKDAYS(Proc[[#This Row],[DateOpened]],Proc[[#This Row],[DateClosed]]))-1)</f>
        <v>2</v>
      </c>
      <c r="R4982" s="174" t="s">
        <v>1013</v>
      </c>
      <c r="S4982" s="150"/>
    </row>
    <row r="4983" spans="1:19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on track</v>
      </c>
      <c r="Q4983" s="3">
        <f ca="1">IF(Proc[[#This Row],[DateClosed]]="",ABS(NETWORKDAYS(Proc[[#This Row],[DateOpened]],TODAY()))-1,ABS(NETWORKDAYS(Proc[[#This Row],[DateOpened]],Proc[[#This Row],[DateClosed]]))-1)</f>
        <v>2</v>
      </c>
      <c r="R4983" s="174" t="s">
        <v>1013</v>
      </c>
      <c r="S4983" s="150"/>
    </row>
    <row r="4984" spans="1:19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on track</v>
      </c>
      <c r="Q4984" s="3">
        <f ca="1">IF(Proc[[#This Row],[DateClosed]]="",ABS(NETWORKDAYS(Proc[[#This Row],[DateOpened]],TODAY()))-1,ABS(NETWORKDAYS(Proc[[#This Row],[DateOpened]],Proc[[#This Row],[DateClosed]]))-1)</f>
        <v>2</v>
      </c>
      <c r="R4984" s="174" t="s">
        <v>1013</v>
      </c>
      <c r="S4984" s="150"/>
    </row>
    <row r="4985" spans="1:19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on track</v>
      </c>
      <c r="Q4985" s="3">
        <f ca="1">IF(Proc[[#This Row],[DateClosed]]="",ABS(NETWORKDAYS(Proc[[#This Row],[DateOpened]],TODAY()))-1,ABS(NETWORKDAYS(Proc[[#This Row],[DateOpened]],Proc[[#This Row],[DateClosed]]))-1)</f>
        <v>2</v>
      </c>
      <c r="R4985" s="174" t="s">
        <v>1013</v>
      </c>
      <c r="S4985" s="150"/>
    </row>
    <row r="4986" spans="1:19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on track</v>
      </c>
      <c r="Q4986" s="3">
        <f ca="1">IF(Proc[[#This Row],[DateClosed]]="",ABS(NETWORKDAYS(Proc[[#This Row],[DateOpened]],TODAY()))-1,ABS(NETWORKDAYS(Proc[[#This Row],[DateOpened]],Proc[[#This Row],[DateClosed]]))-1)</f>
        <v>2</v>
      </c>
      <c r="R4986" s="174" t="s">
        <v>1013</v>
      </c>
      <c r="S4986" s="150"/>
    </row>
    <row r="4987" spans="1:19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on track</v>
      </c>
      <c r="Q4987" s="3">
        <f ca="1">IF(Proc[[#This Row],[DateClosed]]="",ABS(NETWORKDAYS(Proc[[#This Row],[DateOpened]],TODAY()))-1,ABS(NETWORKDAYS(Proc[[#This Row],[DateOpened]],Proc[[#This Row],[DateClosed]]))-1)</f>
        <v>2</v>
      </c>
      <c r="R4987" s="174" t="s">
        <v>1013</v>
      </c>
      <c r="S4987" s="150"/>
    </row>
    <row r="4988" spans="1:19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on track</v>
      </c>
      <c r="Q4988" s="3">
        <f ca="1">IF(Proc[[#This Row],[DateClosed]]="",ABS(NETWORKDAYS(Proc[[#This Row],[DateOpened]],TODAY()))-1,ABS(NETWORKDAYS(Proc[[#This Row],[DateOpened]],Proc[[#This Row],[DateClosed]]))-1)</f>
        <v>2</v>
      </c>
      <c r="R4988" s="174" t="s">
        <v>1013</v>
      </c>
      <c r="S4988" s="150"/>
    </row>
    <row r="4989" spans="1:19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on track</v>
      </c>
      <c r="Q4989" s="3">
        <f ca="1">IF(Proc[[#This Row],[DateClosed]]="",ABS(NETWORKDAYS(Proc[[#This Row],[DateOpened]],TODAY()))-1,ABS(NETWORKDAYS(Proc[[#This Row],[DateOpened]],Proc[[#This Row],[DateClosed]]))-1)</f>
        <v>2</v>
      </c>
      <c r="R4989" s="174" t="s">
        <v>1013</v>
      </c>
      <c r="S4989" s="150"/>
    </row>
    <row r="4990" spans="1:19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on track</v>
      </c>
      <c r="Q4990" s="3">
        <f ca="1">IF(Proc[[#This Row],[DateClosed]]="",ABS(NETWORKDAYS(Proc[[#This Row],[DateOpened]],TODAY()))-1,ABS(NETWORKDAYS(Proc[[#This Row],[DateOpened]],Proc[[#This Row],[DateClosed]]))-1)</f>
        <v>2</v>
      </c>
      <c r="R4990" s="174" t="s">
        <v>1013</v>
      </c>
      <c r="S4990" s="150"/>
    </row>
    <row r="4991" spans="1:19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on track</v>
      </c>
      <c r="Q4991" s="3">
        <f ca="1">IF(Proc[[#This Row],[DateClosed]]="",ABS(NETWORKDAYS(Proc[[#This Row],[DateOpened]],TODAY()))-1,ABS(NETWORKDAYS(Proc[[#This Row],[DateOpened]],Proc[[#This Row],[DateClosed]]))-1)</f>
        <v>2</v>
      </c>
      <c r="R4991" s="174" t="s">
        <v>1013</v>
      </c>
      <c r="S4991" s="150"/>
    </row>
    <row r="4992" spans="1:19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on track</v>
      </c>
      <c r="Q4992" s="3">
        <f ca="1">IF(Proc[[#This Row],[DateClosed]]="",ABS(NETWORKDAYS(Proc[[#This Row],[DateOpened]],TODAY()))-1,ABS(NETWORKDAYS(Proc[[#This Row],[DateOpened]],Proc[[#This Row],[DateClosed]]))-1)</f>
        <v>2</v>
      </c>
      <c r="R4992" s="174" t="s">
        <v>1013</v>
      </c>
      <c r="S4992" s="150"/>
    </row>
    <row r="4993" spans="1:19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on track</v>
      </c>
      <c r="Q4993" s="3">
        <f ca="1">IF(Proc[[#This Row],[DateClosed]]="",ABS(NETWORKDAYS(Proc[[#This Row],[DateOpened]],TODAY()))-1,ABS(NETWORKDAYS(Proc[[#This Row],[DateOpened]],Proc[[#This Row],[DateClosed]]))-1)</f>
        <v>2</v>
      </c>
      <c r="R4993" s="174" t="s">
        <v>1013</v>
      </c>
      <c r="S4993" s="150"/>
    </row>
    <row r="4994" spans="1:19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on track</v>
      </c>
      <c r="Q4994" s="3">
        <f ca="1">IF(Proc[[#This Row],[DateClosed]]="",ABS(NETWORKDAYS(Proc[[#This Row],[DateOpened]],TODAY()))-1,ABS(NETWORKDAYS(Proc[[#This Row],[DateOpened]],Proc[[#This Row],[DateClosed]]))-1)</f>
        <v>2</v>
      </c>
      <c r="R4994" s="174" t="s">
        <v>1013</v>
      </c>
      <c r="S4994" s="150"/>
    </row>
    <row r="4995" spans="1:19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on track</v>
      </c>
      <c r="Q4995" s="3">
        <f ca="1">IF(Proc[[#This Row],[DateClosed]]="",ABS(NETWORKDAYS(Proc[[#This Row],[DateOpened]],TODAY()))-1,ABS(NETWORKDAYS(Proc[[#This Row],[DateOpened]],Proc[[#This Row],[DateClosed]]))-1)</f>
        <v>2</v>
      </c>
      <c r="R4995" s="174" t="s">
        <v>1013</v>
      </c>
      <c r="S4995" s="150"/>
    </row>
    <row r="4996" spans="1:19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on track</v>
      </c>
      <c r="Q4996" s="3">
        <f ca="1">IF(Proc[[#This Row],[DateClosed]]="",ABS(NETWORKDAYS(Proc[[#This Row],[DateOpened]],TODAY()))-1,ABS(NETWORKDAYS(Proc[[#This Row],[DateOpened]],Proc[[#This Row],[DateClosed]]))-1)</f>
        <v>2</v>
      </c>
      <c r="R4996" s="174" t="s">
        <v>1013</v>
      </c>
      <c r="S4996" s="150"/>
    </row>
    <row r="4997" spans="1:19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on track</v>
      </c>
      <c r="Q4997" s="3">
        <f ca="1">IF(Proc[[#This Row],[DateClosed]]="",ABS(NETWORKDAYS(Proc[[#This Row],[DateOpened]],TODAY()))-1,ABS(NETWORKDAYS(Proc[[#This Row],[DateOpened]],Proc[[#This Row],[DateClosed]]))-1)</f>
        <v>2</v>
      </c>
      <c r="R4997" s="174" t="s">
        <v>1013</v>
      </c>
      <c r="S4997" s="150"/>
    </row>
    <row r="4998" spans="1:19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on track</v>
      </c>
      <c r="Q4998" s="3">
        <f ca="1">IF(Proc[[#This Row],[DateClosed]]="",ABS(NETWORKDAYS(Proc[[#This Row],[DateOpened]],TODAY()))-1,ABS(NETWORKDAYS(Proc[[#This Row],[DateOpened]],Proc[[#This Row],[DateClosed]]))-1)</f>
        <v>2</v>
      </c>
      <c r="R4998" s="174" t="s">
        <v>1013</v>
      </c>
      <c r="S4998" s="150"/>
    </row>
    <row r="4999" spans="1:19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on track</v>
      </c>
      <c r="Q4999" s="3">
        <f ca="1">IF(Proc[[#This Row],[DateClosed]]="",ABS(NETWORKDAYS(Proc[[#This Row],[DateOpened]],TODAY()))-1,ABS(NETWORKDAYS(Proc[[#This Row],[DateOpened]],Proc[[#This Row],[DateClosed]]))-1)</f>
        <v>2</v>
      </c>
      <c r="R4999" s="174" t="s">
        <v>1013</v>
      </c>
      <c r="S4999" s="150"/>
    </row>
    <row r="5000" spans="1:19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on track</v>
      </c>
      <c r="Q5000" s="3">
        <f ca="1">IF(Proc[[#This Row],[DateClosed]]="",ABS(NETWORKDAYS(Proc[[#This Row],[DateOpened]],TODAY()))-1,ABS(NETWORKDAYS(Proc[[#This Row],[DateOpened]],Proc[[#This Row],[DateClosed]]))-1)</f>
        <v>2</v>
      </c>
      <c r="R5000" s="174" t="s">
        <v>1013</v>
      </c>
      <c r="S5000" s="150"/>
    </row>
    <row r="5001" spans="1:19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on track</v>
      </c>
      <c r="Q5001" s="3">
        <f ca="1">IF(Proc[[#This Row],[DateClosed]]="",ABS(NETWORKDAYS(Proc[[#This Row],[DateOpened]],TODAY()))-1,ABS(NETWORKDAYS(Proc[[#This Row],[DateOpened]],Proc[[#This Row],[DateClosed]]))-1)</f>
        <v>2</v>
      </c>
      <c r="R5001" s="174" t="s">
        <v>1013</v>
      </c>
      <c r="S5001" s="150"/>
    </row>
    <row r="5002" spans="1:19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on track</v>
      </c>
      <c r="Q5002" s="3">
        <f ca="1">IF(Proc[[#This Row],[DateClosed]]="",ABS(NETWORKDAYS(Proc[[#This Row],[DateOpened]],TODAY()))-1,ABS(NETWORKDAYS(Proc[[#This Row],[DateOpened]],Proc[[#This Row],[DateClosed]]))-1)</f>
        <v>2</v>
      </c>
      <c r="R5002" s="174" t="s">
        <v>1013</v>
      </c>
      <c r="S5002" s="150"/>
    </row>
    <row r="5003" spans="1:19">
      <c r="A5003" t="s">
        <v>7221</v>
      </c>
      <c r="B5003" s="150" t="str">
        <f>IFERROR(VLOOKUP(Proc[[#This Row],[App]],Table2[],3,0),"open")</f>
        <v>open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on track</v>
      </c>
      <c r="Q5003" s="3">
        <f ca="1">IF(Proc[[#This Row],[DateClosed]]="",ABS(NETWORKDAYS(Proc[[#This Row],[DateOpened]],TODAY()))-1,ABS(NETWORKDAYS(Proc[[#This Row],[DateOpened]],Proc[[#This Row],[DateClosed]]))-1)</f>
        <v>1</v>
      </c>
      <c r="R5003" s="174" t="s">
        <v>1459</v>
      </c>
      <c r="S5003" s="150"/>
    </row>
    <row r="5004" spans="1:19">
      <c r="A5004" t="s">
        <v>7221</v>
      </c>
      <c r="B5004" s="150" t="str">
        <f>IFERROR(VLOOKUP(Proc[[#This Row],[App]],Table2[],3,0),"open")</f>
        <v>open</v>
      </c>
      <c r="C5004" s="149" t="s">
        <v>375</v>
      </c>
      <c r="D5004" t="s">
        <v>5278</v>
      </c>
      <c r="E5004" s="149" t="s">
        <v>7223</v>
      </c>
      <c r="F5004" s="150"/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0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on track</v>
      </c>
      <c r="Q5004" s="3">
        <f ca="1">IF(Proc[[#This Row],[DateClosed]]="",ABS(NETWORKDAYS(Proc[[#This Row],[DateOpened]],TODAY()))-1,ABS(NETWORKDAYS(Proc[[#This Row],[DateOpened]],Proc[[#This Row],[DateClosed]]))-1)</f>
        <v>1</v>
      </c>
      <c r="R5004" s="174" t="s">
        <v>1459</v>
      </c>
      <c r="S5004" s="150"/>
    </row>
    <row r="5005" spans="1:19">
      <c r="A5005" s="149" t="s">
        <v>7221</v>
      </c>
      <c r="B5005" s="150" t="str">
        <f>IFERROR(VLOOKUP(Proc[[#This Row],[App]],Table2[],3,0),"open")</f>
        <v>open</v>
      </c>
      <c r="C5005" s="149" t="s">
        <v>370</v>
      </c>
      <c r="D5005" t="s">
        <v>5293</v>
      </c>
      <c r="E5005" s="149" t="s">
        <v>7224</v>
      </c>
      <c r="F5005" s="150"/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0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on track</v>
      </c>
      <c r="Q5005" s="3">
        <f ca="1">IF(Proc[[#This Row],[DateClosed]]="",ABS(NETWORKDAYS(Proc[[#This Row],[DateOpened]],TODAY()))-1,ABS(NETWORKDAYS(Proc[[#This Row],[DateOpened]],Proc[[#This Row],[DateClosed]]))-1)</f>
        <v>1</v>
      </c>
      <c r="R5005" s="174" t="s">
        <v>1459</v>
      </c>
      <c r="S5005" s="150"/>
    </row>
    <row r="5006" spans="1:19">
      <c r="A5006" s="149" t="s">
        <v>7221</v>
      </c>
      <c r="B5006" s="150" t="str">
        <f>IFERROR(VLOOKUP(Proc[[#This Row],[App]],Table2[],3,0),"open")</f>
        <v>open</v>
      </c>
      <c r="C5006" s="149" t="s">
        <v>370</v>
      </c>
      <c r="D5006" t="s">
        <v>5297</v>
      </c>
      <c r="E5006" s="149" t="s">
        <v>7225</v>
      </c>
      <c r="F5006" s="150"/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0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on track</v>
      </c>
      <c r="Q5006" s="3">
        <f ca="1">IF(Proc[[#This Row],[DateClosed]]="",ABS(NETWORKDAYS(Proc[[#This Row],[DateOpened]],TODAY()))-1,ABS(NETWORKDAYS(Proc[[#This Row],[DateOpened]],Proc[[#This Row],[DateClosed]]))-1)</f>
        <v>1</v>
      </c>
      <c r="R5006" s="174" t="s">
        <v>1459</v>
      </c>
      <c r="S5006" s="150"/>
    </row>
    <row r="5007" spans="1:19">
      <c r="A5007" s="149" t="s">
        <v>7221</v>
      </c>
      <c r="B5007" s="150" t="str">
        <f>IFERROR(VLOOKUP(Proc[[#This Row],[App]],Table2[],3,0),"open")</f>
        <v>open</v>
      </c>
      <c r="C5007" s="149" t="s">
        <v>370</v>
      </c>
      <c r="D5007" t="s">
        <v>5440</v>
      </c>
      <c r="E5007" s="149" t="s">
        <v>7226</v>
      </c>
      <c r="F5007" s="150"/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0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on track</v>
      </c>
      <c r="Q5007" s="3">
        <f ca="1">IF(Proc[[#This Row],[DateClosed]]="",ABS(NETWORKDAYS(Proc[[#This Row],[DateOpened]],TODAY()))-1,ABS(NETWORKDAYS(Proc[[#This Row],[DateOpened]],Proc[[#This Row],[DateClosed]]))-1)</f>
        <v>1</v>
      </c>
      <c r="R5007" s="174" t="s">
        <v>1459</v>
      </c>
      <c r="S5007" s="150"/>
    </row>
    <row r="5008" spans="1:19">
      <c r="A5008" s="149" t="s">
        <v>7221</v>
      </c>
      <c r="B5008" s="150" t="str">
        <f>IFERROR(VLOOKUP(Proc[[#This Row],[App]],Table2[],3,0),"open")</f>
        <v>open</v>
      </c>
      <c r="C5008" s="149" t="s">
        <v>370</v>
      </c>
      <c r="D5008" t="s">
        <v>5305</v>
      </c>
      <c r="E5008" s="149" t="s">
        <v>7223</v>
      </c>
      <c r="F5008" s="150"/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0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on track</v>
      </c>
      <c r="Q5008" s="3">
        <f ca="1">IF(Proc[[#This Row],[DateClosed]]="",ABS(NETWORKDAYS(Proc[[#This Row],[DateOpened]],TODAY()))-1,ABS(NETWORKDAYS(Proc[[#This Row],[DateOpened]],Proc[[#This Row],[DateClosed]]))-1)</f>
        <v>1</v>
      </c>
      <c r="R5008" s="174" t="s">
        <v>1459</v>
      </c>
      <c r="S5008" s="150"/>
    </row>
    <row r="5009" spans="1:19">
      <c r="A5009" s="149" t="s">
        <v>7221</v>
      </c>
      <c r="B5009" s="150" t="str">
        <f>IFERROR(VLOOKUP(Proc[[#This Row],[App]],Table2[],3,0),"open")</f>
        <v>open</v>
      </c>
      <c r="C5009" s="149" t="s">
        <v>375</v>
      </c>
      <c r="D5009" t="s">
        <v>5350</v>
      </c>
      <c r="E5009" s="149" t="s">
        <v>7225</v>
      </c>
      <c r="F5009" s="150"/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0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on track</v>
      </c>
      <c r="Q5009" s="3">
        <f ca="1">IF(Proc[[#This Row],[DateClosed]]="",ABS(NETWORKDAYS(Proc[[#This Row],[DateOpened]],TODAY()))-1,ABS(NETWORKDAYS(Proc[[#This Row],[DateOpened]],Proc[[#This Row],[DateClosed]]))-1)</f>
        <v>1</v>
      </c>
      <c r="R5009" s="174" t="s">
        <v>1459</v>
      </c>
      <c r="S5009" s="150"/>
    </row>
    <row r="5010" spans="1:19">
      <c r="A5010" s="149" t="s">
        <v>7221</v>
      </c>
      <c r="B5010" s="150" t="str">
        <f>IFERROR(VLOOKUP(Proc[[#This Row],[App]],Table2[],3,0),"open")</f>
        <v>open</v>
      </c>
      <c r="C5010" s="149" t="s">
        <v>375</v>
      </c>
      <c r="D5010" t="s">
        <v>5438</v>
      </c>
      <c r="E5010" s="149" t="s">
        <v>7226</v>
      </c>
      <c r="F5010" s="150"/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0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on track</v>
      </c>
      <c r="Q5010" s="3">
        <f ca="1">IF(Proc[[#This Row],[DateClosed]]="",ABS(NETWORKDAYS(Proc[[#This Row],[DateOpened]],TODAY()))-1,ABS(NETWORKDAYS(Proc[[#This Row],[DateOpened]],Proc[[#This Row],[DateClosed]]))-1)</f>
        <v>1</v>
      </c>
      <c r="R5010" s="174" t="s">
        <v>1459</v>
      </c>
      <c r="S5010" s="150"/>
    </row>
    <row r="5011" spans="1:19">
      <c r="A5011" s="149" t="s">
        <v>7221</v>
      </c>
      <c r="B5011" s="150" t="str">
        <f>IFERROR(VLOOKUP(Proc[[#This Row],[App]],Table2[],3,0),"open")</f>
        <v>open</v>
      </c>
      <c r="C5011" s="149" t="s">
        <v>375</v>
      </c>
      <c r="D5011" t="s">
        <v>5338</v>
      </c>
      <c r="E5011" s="149" t="s">
        <v>7225</v>
      </c>
      <c r="F5011" s="150"/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0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on track</v>
      </c>
      <c r="Q5011" s="3">
        <f ca="1">IF(Proc[[#This Row],[DateClosed]]="",ABS(NETWORKDAYS(Proc[[#This Row],[DateOpened]],TODAY()))-1,ABS(NETWORKDAYS(Proc[[#This Row],[DateOpened]],Proc[[#This Row],[DateClosed]]))-1)</f>
        <v>1</v>
      </c>
      <c r="R5011" s="174" t="s">
        <v>1459</v>
      </c>
      <c r="S5011" s="150"/>
    </row>
    <row r="5012" spans="1:19">
      <c r="A5012" s="149" t="s">
        <v>7221</v>
      </c>
      <c r="B5012" s="150" t="str">
        <f>IFERROR(VLOOKUP(Proc[[#This Row],[App]],Table2[],3,0),"open")</f>
        <v>open</v>
      </c>
      <c r="C5012" s="149" t="s">
        <v>370</v>
      </c>
      <c r="D5012" t="s">
        <v>5361</v>
      </c>
      <c r="E5012" s="149" t="s">
        <v>7223</v>
      </c>
      <c r="F5012" s="150"/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0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on track</v>
      </c>
      <c r="Q5012" s="3">
        <f ca="1">IF(Proc[[#This Row],[DateClosed]]="",ABS(NETWORKDAYS(Proc[[#This Row],[DateOpened]],TODAY()))-1,ABS(NETWORKDAYS(Proc[[#This Row],[DateOpened]],Proc[[#This Row],[DateClosed]]))-1)</f>
        <v>1</v>
      </c>
      <c r="R5012" s="174" t="s">
        <v>1459</v>
      </c>
      <c r="S5012" s="150"/>
    </row>
    <row r="5013" spans="1:19">
      <c r="A5013" s="149" t="s">
        <v>7221</v>
      </c>
      <c r="B5013" s="150" t="str">
        <f>IFERROR(VLOOKUP(Proc[[#This Row],[App]],Table2[],3,0),"open")</f>
        <v>open</v>
      </c>
      <c r="C5013" s="149" t="s">
        <v>370</v>
      </c>
      <c r="D5013" t="s">
        <v>7222</v>
      </c>
      <c r="E5013" s="149" t="s">
        <v>7227</v>
      </c>
      <c r="F5013" s="150"/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0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on track</v>
      </c>
      <c r="Q5013" s="3">
        <f ca="1">IF(Proc[[#This Row],[DateClosed]]="",ABS(NETWORKDAYS(Proc[[#This Row],[DateOpened]],TODAY()))-1,ABS(NETWORKDAYS(Proc[[#This Row],[DateOpened]],Proc[[#This Row],[DateClosed]]))-1)</f>
        <v>1</v>
      </c>
      <c r="R5013" s="174" t="s">
        <v>1459</v>
      </c>
      <c r="S5013" s="150"/>
    </row>
    <row r="5014" spans="1:19">
      <c r="A5014" t="s">
        <v>7247</v>
      </c>
      <c r="B5014" s="150" t="str">
        <f>IFERROR(VLOOKUP(Proc[[#This Row],[App]],Table2[],3,0),"open")</f>
        <v>open</v>
      </c>
      <c r="C5014" t="s">
        <v>404</v>
      </c>
      <c r="D5014" t="s">
        <v>7248</v>
      </c>
      <c r="E5014" t="s">
        <v>4939</v>
      </c>
      <c r="F5014" s="150"/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0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on track</v>
      </c>
      <c r="Q5014" s="3">
        <f ca="1">IF(Proc[[#This Row],[DateClosed]]="",ABS(NETWORKDAYS(Proc[[#This Row],[DateOpened]],TODAY()))-1,ABS(NETWORKDAYS(Proc[[#This Row],[DateOpened]],Proc[[#This Row],[DateClosed]]))-1)</f>
        <v>0</v>
      </c>
      <c r="R5014" s="175" t="s">
        <v>415</v>
      </c>
      <c r="S5014" s="150"/>
    </row>
    <row r="5015" spans="1:19">
      <c r="A5015" s="149" t="s">
        <v>7247</v>
      </c>
      <c r="B5015" s="150" t="str">
        <f>IFERROR(VLOOKUP(Proc[[#This Row],[App]],Table2[],3,0),"open")</f>
        <v>open</v>
      </c>
      <c r="C5015" t="s">
        <v>404</v>
      </c>
      <c r="D5015" t="s">
        <v>7249</v>
      </c>
      <c r="E5015" t="s">
        <v>4939</v>
      </c>
      <c r="F5015" s="150"/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0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on track</v>
      </c>
      <c r="Q5015" s="3">
        <f ca="1">IF(Proc[[#This Row],[DateClosed]]="",ABS(NETWORKDAYS(Proc[[#This Row],[DateOpened]],TODAY()))-1,ABS(NETWORKDAYS(Proc[[#This Row],[DateOpened]],Proc[[#This Row],[DateClosed]]))-1)</f>
        <v>0</v>
      </c>
      <c r="R5015" s="175" t="s">
        <v>415</v>
      </c>
      <c r="S5015" s="150"/>
    </row>
    <row r="5016" spans="1:19">
      <c r="A5016" s="149" t="s">
        <v>7247</v>
      </c>
      <c r="B5016" s="150" t="str">
        <f>IFERROR(VLOOKUP(Proc[[#This Row],[App]],Table2[],3,0),"open")</f>
        <v>open</v>
      </c>
      <c r="C5016" t="s">
        <v>404</v>
      </c>
      <c r="D5016" t="s">
        <v>7250</v>
      </c>
      <c r="E5016" t="s">
        <v>4939</v>
      </c>
      <c r="F5016" s="150"/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0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on track</v>
      </c>
      <c r="Q5016" s="3">
        <f ca="1">IF(Proc[[#This Row],[DateClosed]]="",ABS(NETWORKDAYS(Proc[[#This Row],[DateOpened]],TODAY()))-1,ABS(NETWORKDAYS(Proc[[#This Row],[DateOpened]],Proc[[#This Row],[DateClosed]]))-1)</f>
        <v>0</v>
      </c>
      <c r="R5016" s="175" t="s">
        <v>415</v>
      </c>
      <c r="S5016" s="150"/>
    </row>
    <row r="5017" spans="1:19">
      <c r="A5017" t="s">
        <v>7252</v>
      </c>
      <c r="B5017" s="150" t="str">
        <f>IFERROR(VLOOKUP(Proc[[#This Row],[App]],Table2[],3,0),"open")</f>
        <v>open</v>
      </c>
      <c r="C5017" s="149" t="s">
        <v>404</v>
      </c>
      <c r="D5017" t="s">
        <v>7251</v>
      </c>
      <c r="E5017" s="149" t="s">
        <v>4939</v>
      </c>
      <c r="F5017" s="150"/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0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on track</v>
      </c>
      <c r="Q5017" s="3">
        <f ca="1">IF(Proc[[#This Row],[DateClosed]]="",ABS(NETWORKDAYS(Proc[[#This Row],[DateOpened]],TODAY()))-1,ABS(NETWORKDAYS(Proc[[#This Row],[DateOpened]],Proc[[#This Row],[DateClosed]]))-1)</f>
        <v>0</v>
      </c>
      <c r="R5017" s="175" t="s">
        <v>415</v>
      </c>
      <c r="S5017" s="150"/>
    </row>
    <row r="5018" spans="1:19">
      <c r="A5018" t="s">
        <v>7252</v>
      </c>
      <c r="B5018" s="150" t="str">
        <f>IFERROR(VLOOKUP(Proc[[#This Row],[App]],Table2[],3,0),"open")</f>
        <v>open</v>
      </c>
      <c r="C5018" s="149" t="s">
        <v>404</v>
      </c>
      <c r="D5018" t="s">
        <v>7253</v>
      </c>
      <c r="E5018" s="149" t="s">
        <v>4939</v>
      </c>
      <c r="F5018" s="150"/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0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on track</v>
      </c>
      <c r="Q5018" s="3">
        <f ca="1">IF(Proc[[#This Row],[DateClosed]]="",ABS(NETWORKDAYS(Proc[[#This Row],[DateOpened]],TODAY()))-1,ABS(NETWORKDAYS(Proc[[#This Row],[DateOpened]],Proc[[#This Row],[DateClosed]]))-1)</f>
        <v>0</v>
      </c>
      <c r="R5018" s="175" t="s">
        <v>415</v>
      </c>
      <c r="S5018" s="150"/>
    </row>
    <row r="5019" spans="1:19">
      <c r="A5019" s="149" t="s">
        <v>7252</v>
      </c>
      <c r="B5019" s="150" t="str">
        <f>IFERROR(VLOOKUP(Proc[[#This Row],[App]],Table2[],3,0),"open")</f>
        <v>open</v>
      </c>
      <c r="C5019" s="149" t="s">
        <v>404</v>
      </c>
      <c r="D5019" t="s">
        <v>7254</v>
      </c>
      <c r="E5019" s="149" t="s">
        <v>4939</v>
      </c>
      <c r="F5019" s="150"/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0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on track</v>
      </c>
      <c r="Q5019" s="3">
        <f ca="1">IF(Proc[[#This Row],[DateClosed]]="",ABS(NETWORKDAYS(Proc[[#This Row],[DateOpened]],TODAY()))-1,ABS(NETWORKDAYS(Proc[[#This Row],[DateOpened]],Proc[[#This Row],[DateClosed]]))-1)</f>
        <v>0</v>
      </c>
      <c r="R5019" s="175" t="s">
        <v>415</v>
      </c>
      <c r="S5019" s="150"/>
    </row>
    <row r="5020" spans="1:19">
      <c r="A5020" s="149" t="s">
        <v>7252</v>
      </c>
      <c r="B5020" s="150" t="str">
        <f>IFERROR(VLOOKUP(Proc[[#This Row],[App]],Table2[],3,0),"open")</f>
        <v>open</v>
      </c>
      <c r="C5020" s="149" t="s">
        <v>404</v>
      </c>
      <c r="D5020" t="s">
        <v>7255</v>
      </c>
      <c r="E5020" s="149" t="s">
        <v>4939</v>
      </c>
      <c r="F5020" s="150"/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0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on track</v>
      </c>
      <c r="Q5020" s="3">
        <f ca="1">IF(Proc[[#This Row],[DateClosed]]="",ABS(NETWORKDAYS(Proc[[#This Row],[DateOpened]],TODAY()))-1,ABS(NETWORKDAYS(Proc[[#This Row],[DateOpened]],Proc[[#This Row],[DateClosed]]))-1)</f>
        <v>0</v>
      </c>
      <c r="R5020" s="175" t="s">
        <v>415</v>
      </c>
      <c r="S5020" s="150"/>
    </row>
    <row r="5021" spans="1:19">
      <c r="A5021" s="149" t="s">
        <v>7252</v>
      </c>
      <c r="B5021" s="150" t="str">
        <f>IFERROR(VLOOKUP(Proc[[#This Row],[App]],Table2[],3,0),"open")</f>
        <v>open</v>
      </c>
      <c r="C5021" s="149" t="s">
        <v>404</v>
      </c>
      <c r="D5021" t="s">
        <v>7256</v>
      </c>
      <c r="E5021" s="149" t="s">
        <v>4939</v>
      </c>
      <c r="F5021" s="150"/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0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on track</v>
      </c>
      <c r="Q5021" s="3">
        <f ca="1">IF(Proc[[#This Row],[DateClosed]]="",ABS(NETWORKDAYS(Proc[[#This Row],[DateOpened]],TODAY()))-1,ABS(NETWORKDAYS(Proc[[#This Row],[DateOpened]],Proc[[#This Row],[DateClosed]]))-1)</f>
        <v>0</v>
      </c>
      <c r="R5021" s="175" t="s">
        <v>415</v>
      </c>
      <c r="S5021" s="150"/>
    </row>
    <row r="5022" spans="1:19">
      <c r="A5022" s="149" t="s">
        <v>7252</v>
      </c>
      <c r="B5022" s="150" t="str">
        <f>IFERROR(VLOOKUP(Proc[[#This Row],[App]],Table2[],3,0),"open")</f>
        <v>open</v>
      </c>
      <c r="C5022" s="149" t="s">
        <v>404</v>
      </c>
      <c r="D5022" t="s">
        <v>7257</v>
      </c>
      <c r="E5022" s="149" t="s">
        <v>4939</v>
      </c>
      <c r="F5022" s="150"/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0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on track</v>
      </c>
      <c r="Q5022" s="3">
        <f ca="1">IF(Proc[[#This Row],[DateClosed]]="",ABS(NETWORKDAYS(Proc[[#This Row],[DateOpened]],TODAY()))-1,ABS(NETWORKDAYS(Proc[[#This Row],[DateOpened]],Proc[[#This Row],[DateClosed]]))-1)</f>
        <v>0</v>
      </c>
      <c r="R5022" s="175" t="s">
        <v>415</v>
      </c>
      <c r="S5022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G2:G5022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2025-12-03T09:49:18Z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