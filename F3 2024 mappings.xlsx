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D7C1B75-229A-4A0F-A840-C02DDF2BEFB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"2520c15f-2a42-4afb-a610-fb4bc3cdac2d"</definedName>
    <definedName name="ID" localSheetId="6" hidden="1">"afa970f6-17e8-46f5-a909-4f1f5d75700f"</definedName>
    <definedName name="ID" localSheetId="5" hidden="1">"54ecf7c1-a8d0-4e4a-b641-d6a67ccf1baf"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79" i="1" l="1"/>
  <c r="H4379" i="1"/>
  <c r="J4379" i="1"/>
  <c r="K4379" i="1"/>
  <c r="Q4379" i="1"/>
  <c r="P4379" i="1" s="1"/>
  <c r="B4378" i="1"/>
  <c r="H4378" i="1"/>
  <c r="J4378" i="1"/>
  <c r="K4378" i="1"/>
  <c r="Q4378" i="1"/>
  <c r="P4378" i="1" s="1"/>
  <c r="B4376" i="1"/>
  <c r="B4377" i="1"/>
  <c r="H4376" i="1"/>
  <c r="H4377" i="1"/>
  <c r="J4376" i="1"/>
  <c r="J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<sst xmlns="http://schemas.openxmlformats.org/spreadsheetml/2006/main" count="39246" uniqueCount="6533">
  <si>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</si>
  <si>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</si>
  <si>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</si>
  <si>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</si>
  <si>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</si>
  <si>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</si>
  <si>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</si>
  <si>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</si>
  <si>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</si>
  <si>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</si>
  <si>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</si>
  <si>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</si>
  <si>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</si>
  <si>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</si>
  <si>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</si>
  <si>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</si>
  <si>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</si>
  <si>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</si>
  <si>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</si>
  <si>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</si>
  <si>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</si>
  <si>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</si>
  <si>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</si>
  <si>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</si>
  <si>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</si>
  <si>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</si>
  <si>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</si>
  <si>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</si>
  <si>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</si>
  <si>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</si>
  <si>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</si>
  <si>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</si>
  <si>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</si>
  <si>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</si>
  <si>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</si>
  <si>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</si>
  <si>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</si>
  <si>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</si>
  <si>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</si>
  <si>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</si>
  <si>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</si>
  <si>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</si>
  <si>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</si>
  <si>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</si>
  <si>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</si>
  <si>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</si>
  <si>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</si>
  <si>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</si>
  <si>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</si>
  <si>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</si>
  <si>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</si>
  <si>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</si>
  <si>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</si>
  <si>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</si>
  <si>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</si>
  <si>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</si>
  <si>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</si>
  <si>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</si>
  <si>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</si>
  <si>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</si>
  <si>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</si>
  <si>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</si>
  <si>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</si>
  <si>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</si>
  <si>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</si>
  <si>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</si>
  <si>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</si>
  <si>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</si>
  <si>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</si>
  <si>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</si>
  <si>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</si>
  <si>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</si>
  <si>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</si>
  <si>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</si>
  <si>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</si>
  <si>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</si>
  <si>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</si>
  <si>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</si>
  <si>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</si>
  <si>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</si>
  <si>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</si>
  <si>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</si>
  <si>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</si>
  <si>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</si>
  <si>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</si>
  <si>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</si>
  <si>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</si>
  <si>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</si>
  <si>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</si>
  <si>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</si>
  <si>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</si>
  <si>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</si>
  <si>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</si>
  <si>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</si>
  <si>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</si>
  <si>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</si>
  <si>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</si>
  <si>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</si>
  <si>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</si>
  <si>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</si>
  <si>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</si>
  <si>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</si>
  <si>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</si>
  <si>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</si>
  <si>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</si>
  <si>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</si>
  <si>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</si>
  <si>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</si>
  <si>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</si>
  <si>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</si>
  <si>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</si>
  <si>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</si>
  <si>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</si>
  <si>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</si>
  <si>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</si>
  <si>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</si>
  <si>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</si>
  <si>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</si>
  <si>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</si>
  <si>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</si>
  <si>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</si>
  <si>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</si>
  <si>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</si>
  <si>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</si>
  <si>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</si>
  <si>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</si>
  <si>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</si>
  <si>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</si>
  <si>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</si>
  <si>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</si>
  <si>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</si>
  <si>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</si>
  <si>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</si>
  <si>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</si>
  <si>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</si>
  <si>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</si>
  <si>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</si>
  <si>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</si>
  <si>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</si>
  <si>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</si>
  <si>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</si>
  <si>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</si>
  <si>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</si>
  <si>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</si>
  <si>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</si>
  <si>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</si>
  <si>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</si>
  <si>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</si>
  <si>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</si>
  <si>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</si>
  <si>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</si>
  <si>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</si>
  <si>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</si>
  <si>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</si>
  <si>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</si>
  <si>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</si>
  <si>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</si>
  <si>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</si>
  <si>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</si>
  <si>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</si>
  <si>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</si>
  <si>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</si>
  <si>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</si>
  <si>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</si>
  <si>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</si>
  <si>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</si>
  <si>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</si>
  <si>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</si>
  <si>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</si>
  <si>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</si>
  <si>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</si>
  <si>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</si>
  <si>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</si>
  <si>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</si>
  <si>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</si>
  <si>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</si>
  <si>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</si>
  <si>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</si>
  <si>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</si>
  <si>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</si>
  <si>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</si>
  <si>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</si>
  <si>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</si>
  <si>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</si>
  <si>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</si>
  <si>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</si>
  <si>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</si>
  <si>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</si>
  <si>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</si>
  <si>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</si>
  <si>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</si>
  <si>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</si>
  <si>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</si>
  <si>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</si>
  <si>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</si>
  <si>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</si>
  <si>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</si>
  <si>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</si>
  <si>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</si>
  <si>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</si>
  <si>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</si>
  <si>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</si>
  <si>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</si>
  <si>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</si>
  <si>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</si>
  <si>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</si>
  <si>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</si>
  <si>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</si>
  <si>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</si>
  <si>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</si>
  <si>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</si>
  <si>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</si>
  <si>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</si>
  <si>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</si>
  <si>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</si>
  <si>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</si>
  <si>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</si>
  <si>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</si>
  <si>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</si>
  <si>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</si>
  <si>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</si>
  <si>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</si>
  <si>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</si>
  <si>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</si>
  <si>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</si>
  <si>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</si>
  <si>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</si>
  <si>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</si>
  <si>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</si>
  <si>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</si>
  <si>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</si>
  <si>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</si>
  <si>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</si>
  <si>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</si>
  <si>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</si>
  <si>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</si>
  <si>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</si>
  <si>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</si>
  <si>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</si>
  <si>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</si>
  <si>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</si>
  <si>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</si>
  <si>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</si>
  <si>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</si>
  <si>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</si>
  <si>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</si>
  <si>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</si>
  <si>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</si>
  <si>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</si>
  <si>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</si>
  <si>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</si>
  <si>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</si>
  <si>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</si>
  <si>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</si>
  <si>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</si>
  <si>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</si>
  <si>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</si>
  <si>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</si>
  <si>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</si>
  <si>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</si>
  <si>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</si>
  <si>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</si>
  <si>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</si>
  <si>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</si>
  <si>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</si>
  <si>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</si>
  <si>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</si>
  <si>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</si>
  <si>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</si>
  <si>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</si>
  <si>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</si>
  <si>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</si>
  <si>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</si>
  <si>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</si>
  <si>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</si>
  <si>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</si>
  <si>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</si>
  <si>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</si>
  <si>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</si>
  <si>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</si>
  <si>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</si>
  <si>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</si>
  <si>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</si>
  <si>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</si>
  <si>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</si>
  <si>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</si>
  <si>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</si>
  <si>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</si>
  <si>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</si>
  <si>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</si>
  <si>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</si>
  <si>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</si>
  <si>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</si>
  <si>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</si>
  <si>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</si>
  <si>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</si>
  <si>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</si>
  <si>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</si>
  <si>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</si>
  <si>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</si>
  <si>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</si>
  <si>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</si>
  <si>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</si>
  <si>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</si>
  <si>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</si>
  <si>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</si>
  <si>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</si>
  <si>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</si>
  <si>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</si>
  <si>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</si>
  <si>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</si>
  <si>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</si>
  <si>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</si>
  <si>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</si>
  <si>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</si>
  <si>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</si>
  <si>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</si>
  <si>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</si>
  <si>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</si>
  <si>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</si>
  <si>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</si>
  <si>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</si>
  <si>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</si>
  <si>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</si>
  <si>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</si>
  <si>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</si>
  <si>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</si>
  <si>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</si>
  <si>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</si>
  <si>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</si>
  <si>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</si>
  <si>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</si>
  <si>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</si>
  <si>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</si>
  <si>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</si>
  <si>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</si>
  <si>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</si>
  <si>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</si>
  <si>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</si>
  <si>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</si>
  <si>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</si>
  <si>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</si>
  <si>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</si>
  <si>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</si>
  <si>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</si>
  <si>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</si>
  <si>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</si>
  <si>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</si>
  <si>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</si>
  <si>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</si>
  <si>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</si>
  <si>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</si>
  <si>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</si>
  <si>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</si>
  <si>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</si>
  <si>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</si>
  <si>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</si>
  <si>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</si>
  <si>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</si>
  <si>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</si>
  <si>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</si>
  <si>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</si>
  <si>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</si>
  <si>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</si>
  <si>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</si>
  <si>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</si>
  <si>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</si>
  <si>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</si>
  <si>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</si>
  <si>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</si>
  <si>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</si>
  <si>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</si>
  <si>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</si>
  <si>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</si>
  <si>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</si>
  <si>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</si>
  <si>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</si>
  <si>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</si>
  <si>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</si>
  <si>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</si>
  <si>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</si>
  <si>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</si>
  <si>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</si>
  <si>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</si>
  <si>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</si>
  <si>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</si>
  <si>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</si>
  <si>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</si>
  <si>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</si>
  <si>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</si>
  <si>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</si>
  <si>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</si>
  <si>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</si>
  <si>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</si>
  <si>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</si>
  <si>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</si>
  <si>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</si>
  <si>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</si>
  <si>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</si>
  <si>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</si>
  <si>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</si>
  <si>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</si>
  <si>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</si>
  <si>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</si>
  <si>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</si>
  <si>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</si>
  <si>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</si>
  <si>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</si>
  <si>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</si>
  <si>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</si>
  <si>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</si>
  <si>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</si>
  <si>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</si>
  <si>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</si>
  <si>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</si>
  <si>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</si>
  <si>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</si>
  <si>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</si>
  <si>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</si>
  <si>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</si>
  <si>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</si>
  <si>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</si>
  <si>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</si>
  <si>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</si>
  <si>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</si>
  <si>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</si>
  <si>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</si>
  <si>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</si>
  <si>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</si>
  <si>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</si>
  <si>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</si>
  <si>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</si>
  <si>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</si>
  <si>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</si>
  <si>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</si>
  <si>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</si>
  <si>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</si>
  <si>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</si>
  <si>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</si>
  <si>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</si>
  <si>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</si>
  <si>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</si>
  <si>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</si>
  <si>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</si>
  <si>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</si>
  <si>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</si>
  <si>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</si>
  <si>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</si>
  <si>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</si>
  <si>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</si>
  <si>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</si>
  <si>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</si>
  <si>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</si>
  <si>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</si>
  <si>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</si>
  <si>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</si>
  <si>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</si>
  <si>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</si>
  <si>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</si>
  <si>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</si>
  <si>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</si>
  <si>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</si>
  <si>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</si>
  <si>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</si>
  <si>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</si>
  <si>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</si>
  <si>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</si>
  <si>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</si>
  <si>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</si>
  <si>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</si>
  <si>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</si>
  <si>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</si>
  <si>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</si>
  <si>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</si>
  <si>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</si>
  <si>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</si>
  <si>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</si>
  <si>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</si>
  <si>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</si>
  <si>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</si>
  <si>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</si>
  <si>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</si>
  <si>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</si>
  <si>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</si>
  <si>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</si>
  <si>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</si>
  <si>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</si>
  <si>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</si>
  <si>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</si>
  <si>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</si>
  <si>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</si>
  <si>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</si>
  <si>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</si>
  <si>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</si>
  <si>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</si>
  <si>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</si>
  <si>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</si>
  <si>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</si>
  <si>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</si>
  <si>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</si>
  <si>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</si>
  <si>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</si>
  <si>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</si>
  <si>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</si>
  <si>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</si>
  <si>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</si>
  <si>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</si>
  <si>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</si>
  <si>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</si>
  <si>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</si>
  <si>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</si>
  <si>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</si>
  <si>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</si>
  <si>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</si>
  <si>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</si>
  <si>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</si>
  <si>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</si>
  <si>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</si>
  <si>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</si>
  <si>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</si>
  <si>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</si>
  <si>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</si>
  <si>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</si>
  <si>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</si>
  <si>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</si>
  <si>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</si>
  <si>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</si>
  <si>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</si>
  <si>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</si>
  <si>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</si>
  <si>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</si>
  <si>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</si>
  <si>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</si>
  <si>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</si>
  <si>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</si>
  <si>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</si>
  <si>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</si>
  <si>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</si>
  <si>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</si>
  <si>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</si>
  <si>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</si>
  <si>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</si>
  <si>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</si>
  <si>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</si>
  <si>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</si>
  <si>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</si>
  <si>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</si>
  <si>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</si>
  <si>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</si>
  <si>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</si>
  <si>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</si>
  <si>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</si>
  <si>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</si>
  <si>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</si>
  <si>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</si>
  <si>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</si>
  <si>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</si>
  <si>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</si>
  <si>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</si>
  <si>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</si>
  <si>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</si>
  <si>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</si>
  <si>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</si>
  <si>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</si>
  <si>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</si>
  <si>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</si>
  <si>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</si>
  <si>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</si>
  <si>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</si>
  <si>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</si>
  <si>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</si>
  <si>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</si>
  <si>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</si>
  <si>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</si>
  <si>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</si>
  <si>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</si>
  <si>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</si>
  <si>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</si>
  <si>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</si>
  <si>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</si>
  <si>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</si>
  <si>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</si>
  <si>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</si>
  <si>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</si>
  <si>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</si>
  <si>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</si>
  <si>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</si>
  <si>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</si>
  <si>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</si>
  <si>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</si>
  <si>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</si>
  <si>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</si>
  <si>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</si>
  <si>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</si>
  <si>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</si>
  <si>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</si>
  <si>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</si>
  <si>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</si>
  <si>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</si>
  <si>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</si>
  <si>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</si>
  <si>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</si>
  <si>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</si>
  <si>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</si>
  <si>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</si>
  <si>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</si>
  <si>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</si>
  <si>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</si>
  <si>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</si>
  <si>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</si>
  <si>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</si>
  <si>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</si>
  <si>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</si>
  <si>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</si>
  <si>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</si>
  <si>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</si>
  <si>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</si>
  <si>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</si>
  <si>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</si>
  <si>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</si>
  <si>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</si>
  <si>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</si>
  <si>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</si>
  <si>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</si>
  <si>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</si>
  <si>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</si>
  <si>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</si>
  <si>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</si>
  <si>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</si>
  <si>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</si>
  <si>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</si>
  <si>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</si>
  <si>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</si>
  <si>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</si>
  <si>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</si>
  <si>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</si>
  <si>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</si>
  <si>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</si>
  <si>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</si>
  <si>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</si>
  <si>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</si>
  <si>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</si>
  <si>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</si>
  <si>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</si>
  <si>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</si>
  <si>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</si>
  <si>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</si>
  <si>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</si>
  <si>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</si>
  <si>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</si>
  <si>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</si>
  <si>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</si>
  <si>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</si>
  <si>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</si>
  <si>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</si>
  <si>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</si>
  <si>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</si>
  <si>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</si>
  <si>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</si>
  <si>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</si>
  <si>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</si>
  <si>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</si>
  <si>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</si>
  <si>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</si>
  <si>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</si>
  <si>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</si>
  <si>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</si>
  <si>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</si>
  <si>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</si>
  <si>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</si>
  <si>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</si>
  <si>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</si>
  <si>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</si>
  <si>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</si>
  <si>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</si>
  <si>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</si>
  <si>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</si>
  <si>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</si>
  <si>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</si>
  <si>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</si>
  <si>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</si>
  <si>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</si>
  <si>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</si>
  <si>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</si>
  <si>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</si>
  <si>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</si>
  <si>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</si>
  <si>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</si>
  <si>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</si>
  <si>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</si>
  <si>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</si>
  <si>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</si>
  <si>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</si>
  <si>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</si>
  <si>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</si>
  <si>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</si>
  <si>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</si>
  <si>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</si>
  <si>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</si>
  <si>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</si>
  <si>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</si>
  <si>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</si>
  <si>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</si>
  <si>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</si>
  <si>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</si>
  <si>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</si>
  <si>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</si>
  <si>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</si>
  <si>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</si>
  <si>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</si>
  <si>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</si>
  <si>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</si>
  <si>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</si>
  <si>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</si>
  <si>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</si>
  <si>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</si>
  <si>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</si>
  <si>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</si>
  <si>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</si>
  <si>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</si>
  <si>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</si>
  <si>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</si>
  <si>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</si>
  <si>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</si>
  <si>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</si>
  <si>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</si>
  <si>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</si>
  <si>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</si>
  <si>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</si>
  <si>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</si>
  <si>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</si>
  <si>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</si>
  <si>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</si>
  <si>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</si>
  <si>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</si>
  <si>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</si>
  <si>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</si>
  <si>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</si>
  <si>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</si>
  <si>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</si>
  <si>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</si>
  <si>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</si>
  <si>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</si>
  <si>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</si>
  <si>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</si>
  <si>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</si>
  <si>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</si>
  <si>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</si>
  <si>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</si>
  <si>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</si>
  <si>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</si>
  <si>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</si>
  <si>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</si>
  <si>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</si>
  <si>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</si>
  <si>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</si>
  <si>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</si>
  <si>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</si>
  <si>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</si>
  <si>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</si>
  <si>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</si>
  <si>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</si>
  <si>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</si>
  <si>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</si>
  <si>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</si>
  <si>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</si>
  <si>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</si>
  <si>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</si>
  <si>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</si>
  <si>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</si>
  <si>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</si>
  <si>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</si>
  <si>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</si>
  <si>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</si>
  <si>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</si>
  <si>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</si>
  <si>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</si>
  <si>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</si>
  <si>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</si>
  <si>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</si>
  <si>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</si>
  <si>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</si>
  <si>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</si>
  <si>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</si>
  <si>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</si>
  <si>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</si>
  <si>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</si>
  <si>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</si>
  <si>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</si>
  <si>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</si>
  <si>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</si>
  <si>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</si>
  <si>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</si>
  <si>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</si>
  <si>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</si>
  <si>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</si>
  <si>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</si>
  <si>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</si>
  <si>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</si>
  <si>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</si>
  <si>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</si>
  <si>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</si>
  <si>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</si>
  <si>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</si>
  <si>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</si>
  <si>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</si>
  <si>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</si>
  <si>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</si>
  <si>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</si>
  <si>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</si>
  <si>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</si>
  <si>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</si>
  <si>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</si>
  <si>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</si>
  <si>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</si>
  <si>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</si>
  <si>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</si>
  <si>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</si>
  <si>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</si>
  <si>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</si>
  <si>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</si>
  <si>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</si>
  <si>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</si>
  <si>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</si>
  <si>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</si>
  <si>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</si>
  <si>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</si>
  <si>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</si>
  <si>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</si>
  <si>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</si>
  <si>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</si>
  <si>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</si>
  <si>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</si>
  <si>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</si>
  <si>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</si>
  <si>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</si>
  <si>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</si>
  <si>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</si>
  <si>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</si>
  <si>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</si>
  <si>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</si>
  <si>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</si>
  <si>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</si>
  <si>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</si>
  <si>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</si>
  <si>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</si>
  <si>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</si>
  <si>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</si>
  <si>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</si>
  <si>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</si>
  <si>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</si>
  <si>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</si>
  <si>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</si>
  <si>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</si>
  <si>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</si>
  <si>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</si>
  <si>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</si>
  <si>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</si>
  <si>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</si>
  <si>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</si>
  <si>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</si>
  <si>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</si>
  <si>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</si>
  <si>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</si>
  <si>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</si>
  <si>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</si>
  <si>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</si>
  <si>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</si>
  <si>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</si>
  <si>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</si>
  <si>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</si>
  <si>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</si>
  <si>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</si>
  <si>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</si>
  <si>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</si>
  <si>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</si>
  <si>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</si>
  <si>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</si>
  <si>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</si>
  <si>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</si>
  <si>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</si>
  <si>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</si>
  <si>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</si>
  <si>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</si>
  <si>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</si>
  <si>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</si>
  <si>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</si>
  <si>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</si>
  <si>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</si>
  <si>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</si>
  <si>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</si>
  <si>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</si>
  <si>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</si>
  <si>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</si>
  <si>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</si>
  <si>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</si>
  <si>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</si>
  <si>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</si>
  <si>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</si>
  <si>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</si>
  <si>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</si>
  <si>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</si>
  <si>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</si>
  <si>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</si>
  <si>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</si>
  <si>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</si>
  <si>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</si>
  <si>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</si>
  <si>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</si>
  <si>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</si>
  <si>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</si>
  <si>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</si>
  <si>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</si>
  <si>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</si>
  <si>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</si>
  <si>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</si>
  <si>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</si>
  <si>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</si>
  <si>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</si>
  <si>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</si>
  <si>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</si>
  <si>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</si>
  <si>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</si>
  <si>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</si>
  <si>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</si>
  <si>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</si>
  <si>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</si>
  <si>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</si>
  <si>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</si>
  <si>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</si>
  <si>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</si>
  <si>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</si>
  <si>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</si>
  <si>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</si>
  <si>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</si>
  <si>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</si>
  <si>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</si>
  <si>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</si>
  <si>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</si>
  <si>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</si>
  <si>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</si>
  <si>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</si>
  <si>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</si>
  <si>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</si>
  <si>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</si>
  <si>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</si>
  <si>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</si>
  <si>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</si>
  <si>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</si>
  <si>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</si>
  <si>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</si>
  <si>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</si>
  <si>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</si>
  <si>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</si>
  <si>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</si>
  <si>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</si>
  <si>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</si>
  <si>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</si>
  <si>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</si>
  <si>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</si>
  <si>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</si>
  <si>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</si>
  <si>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</si>
  <si>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</si>
  <si>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</si>
  <si>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</si>
  <si>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</si>
  <si>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</si>
  <si>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</si>
  <si>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</si>
  <si>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</si>
  <si>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</si>
  <si>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</si>
  <si>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</si>
  <si>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</si>
  <si>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</si>
  <si>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</si>
  <si>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</si>
  <si>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</si>
  <si>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</si>
  <si>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</si>
  <si>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</si>
  <si>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</si>
  <si>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</si>
  <si>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</si>
  <si>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</si>
  <si>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</si>
  <si>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</si>
  <si>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</si>
  <si>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</si>
  <si>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</si>
  <si>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</si>
  <si>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</si>
  <si>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</si>
  <si>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</si>
  <si>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</si>
  <si>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</si>
  <si>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</si>
  <si>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</si>
  <si>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</si>
  <si>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</si>
  <si>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</si>
  <si>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</si>
  <si>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</si>
  <si>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</si>
  <si>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</si>
  <si>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</si>
  <si>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</si>
  <si>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</si>
  <si>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</si>
  <si>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</si>
  <si>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</si>
  <si>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</si>
  <si>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</si>
  <si>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</si>
  <si>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</si>
  <si>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</si>
  <si>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</si>
  <si>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</si>
  <si>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</si>
  <si>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</si>
  <si>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</si>
  <si>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</si>
  <si>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</si>
  <si>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</si>
  <si>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</si>
  <si>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</si>
  <si>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</si>
  <si>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</si>
  <si>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</si>
  <si>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</si>
  <si>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</si>
  <si>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</si>
  <si>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</si>
  <si>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</si>
  <si>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</si>
  <si>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</si>
  <si>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</si>
  <si>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</si>
  <si>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</si>
  <si>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</si>
  <si>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</si>
  <si>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</si>
  <si>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</si>
  <si>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</si>
  <si>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</si>
  <si>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</si>
  <si>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</si>
  <si>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</si>
  <si>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</si>
  <si>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</si>
  <si>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</si>
  <si>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</si>
  <si>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</si>
  <si>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</si>
  <si>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</si>
  <si>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</si>
  <si>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</si>
  <si>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</si>
  <si>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</si>
  <si>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</si>
  <si>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</si>
  <si>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</si>
  <si>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</si>
  <si>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</si>
  <si>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</si>
  <si>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</si>
  <si>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</si>
  <si>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</si>
  <si>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</si>
  <si>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</si>
  <si>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</si>
  <si>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</si>
  <si>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</si>
  <si>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</si>
  <si>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</si>
  <si>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</si>
  <si>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</si>
  <si>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</si>
  <si>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</si>
  <si>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</si>
  <si>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</si>
  <si>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</si>
  <si>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</si>
  <si>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</si>
  <si>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</si>
  <si>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</si>
  <si>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</si>
  <si>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</si>
  <si>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</si>
  <si>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</si>
  <si>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</si>
  <si>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</si>
  <si>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</si>
  <si>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</si>
  <si>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</si>
  <si>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</si>
  <si>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</si>
  <si>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</si>
  <si>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</si>
  <si>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</si>
  <si>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</si>
  <si>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</si>
  <si>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</si>
  <si>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</si>
  <si>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</si>
  <si>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</si>
  <si>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</si>
  <si>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</si>
  <si>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</si>
  <si>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</si>
  <si>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</si>
  <si>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</si>
  <si>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</si>
  <si>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</si>
  <si>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</si>
  <si>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</si>
  <si>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</si>
  <si>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</si>
  <si>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</si>
  <si>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</si>
  <si>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</si>
  <si>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</si>
  <si>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</si>
  <si>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</si>
  <si>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</si>
  <si>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</si>
  <si>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</si>
  <si>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</si>
  <si>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</si>
  <si>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</si>
  <si>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</si>
  <si>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</si>
  <si>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</si>
  <si>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</si>
  <si>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</si>
  <si>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</si>
  <si>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</si>
  <si>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</si>
  <si>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</si>
  <si>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</si>
  <si>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</si>
  <si>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</si>
  <si>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</si>
  <si>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</si>
  <si>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</si>
  <si>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</si>
  <si>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</si>
  <si>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</si>
  <si>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</si>
  <si>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</si>
  <si>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</si>
  <si>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</si>
  <si>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</si>
  <si>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</si>
  <si>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</si>
  <si>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</si>
  <si>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</si>
  <si>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</si>
  <si>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</si>
  <si>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</si>
  <si>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</si>
  <si>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</si>
  <si>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</si>
  <si>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</si>
  <si>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</si>
  <si>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</si>
  <si>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</si>
  <si>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</si>
  <si>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</si>
  <si>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</si>
  <si>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</si>
  <si>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</si>
  <si>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</si>
  <si>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</si>
  <si>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</si>
  <si>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</si>
  <si>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</si>
  <si>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</si>
  <si>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</si>
  <si>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</si>
  <si>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</si>
  <si>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</si>
  <si>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</si>
  <si>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</si>
  <si>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</si>
  <si>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</si>
  <si>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</si>
  <si>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</si>
  <si>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</si>
  <si>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</si>
  <si>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</si>
  <si>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</si>
  <si>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</si>
  <si>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</si>
  <si>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</si>
  <si>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</si>
  <si>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</si>
  <si>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</si>
  <si>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</si>
  <si>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</si>
  <si>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</si>
  <si>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</si>
  <si>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</si>
  <si>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</si>
  <si>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</si>
  <si>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</si>
  <si>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</si>
  <si>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</si>
  <si>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</si>
  <si>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</si>
  <si>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</si>
  <si>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</si>
  <si>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</si>
  <si>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</si>
  <si>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</si>
  <si>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</si>
  <si>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</si>
  <si>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</si>
  <si>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</si>
  <si>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</si>
  <si>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</si>
  <si>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</si>
  <si>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</si>
  <si>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</si>
  <si>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</si>
  <si>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</si>
  <si>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</si>
  <si>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</si>
  <si>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</si>
  <si>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</si>
  <si>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</si>
  <si>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</si>
  <si>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</si>
  <si>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</si>
  <si>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</si>
  <si>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</si>
  <si>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</si>
  <si>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</si>
  <si>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</si>
  <si>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</si>
  <si>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</si>
  <si>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</si>
  <si>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</si>
  <si>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</si>
  <si>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</si>
  <si>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</si>
  <si>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</si>
  <si>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</si>
  <si>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</si>
  <si>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</si>
  <si>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</si>
  <si>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</si>
  <si>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</si>
  <si>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</si>
  <si>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</si>
  <si>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</si>
  <si>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</si>
  <si>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</si>
  <si>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</si>
  <si>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</si>
  <si>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</si>
  <si>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</si>
  <si>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</si>
  <si>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</si>
  <si>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</si>
  <si>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</si>
  <si>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</si>
  <si>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</si>
  <si>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</si>
  <si>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</si>
  <si>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</si>
  <si>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</si>
  <si>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</si>
  <si>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</si>
  <si>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</si>
  <si>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</si>
  <si>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</si>
  <si>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</si>
  <si>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</si>
  <si>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</si>
  <si>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</si>
  <si>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</si>
  <si>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</si>
  <si>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</si>
  <si>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</si>
  <si>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</si>
  <si>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</si>
  <si>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</si>
  <si>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</si>
  <si>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</si>
  <si>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</si>
  <si>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</si>
  <si>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</si>
  <si>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</si>
  <si>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</si>
  <si>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</si>
  <si>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</si>
  <si>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</si>
  <si>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</si>
  <si>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</si>
  <si>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</si>
  <si>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</si>
  <si>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</si>
  <si>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</si>
  <si>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</si>
  <si>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</si>
  <si>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</si>
  <si>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</si>
  <si>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</si>
  <si>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</si>
  <si>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</si>
  <si>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</si>
  <si>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</si>
  <si>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</si>
  <si>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</si>
  <si>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</si>
  <si>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</si>
  <si>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</si>
  <si>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</si>
  <si>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</si>
  <si>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</si>
  <si>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</si>
  <si>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</si>
  <si>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</si>
  <si>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</si>
  <si>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</si>
  <si>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</si>
  <si>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</si>
  <si>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</si>
  <si>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</si>
  <si>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</si>
  <si>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</si>
  <si>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</si>
  <si>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</si>
  <si>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</si>
  <si>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</si>
  <si>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</si>
  <si>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</si>
  <si>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</si>
  <si>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</si>
  <si>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</si>
  <si>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</si>
  <si>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</si>
  <si>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</si>
  <si>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</si>
  <si>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</si>
  <si>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</si>
  <si>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</si>
  <si>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</si>
  <si>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</si>
  <si>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</si>
  <si>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</si>
  <si>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</si>
  <si>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</si>
  <si>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</si>
  <si>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</si>
  <si>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</si>
  <si>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</si>
  <si>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</si>
  <si>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</si>
  <si>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</si>
  <si>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</si>
  <si>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</si>
  <si>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</si>
  <si>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</si>
  <si>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</si>
  <si>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</si>
  <si>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</si>
  <si>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</si>
  <si>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</si>
  <si>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</si>
  <si>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</si>
  <si>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</si>
  <si>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</si>
  <si>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</si>
  <si>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</si>
  <si>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</si>
  <si>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</si>
  <si>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</si>
  <si>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</si>
  <si>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</si>
  <si>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</si>
  <si>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</si>
  <si>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</si>
  <si>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</si>
  <si>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</si>
  <si>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</si>
  <si>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</si>
  <si>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</si>
  <si>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</si>
  <si>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</si>
  <si>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</si>
  <si>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</si>
  <si>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</si>
  <si>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</si>
  <si>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</si>
  <si>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</si>
  <si>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</si>
  <si>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</si>
  <si>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</si>
  <si>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</si>
  <si>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</si>
  <si>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</si>
  <si>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</si>
  <si>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</si>
  <si>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</si>
  <si>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</si>
  <si>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</si>
  <si>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</si>
  <si>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</si>
  <si>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</si>
  <si>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</si>
  <si>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</si>
  <si>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</si>
  <si>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</si>
  <si>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</si>
  <si>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</si>
  <si>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</si>
  <si>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</si>
  <si>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</si>
  <si>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</si>
  <si>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</si>
  <si>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</si>
  <si>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</si>
  <si>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</si>
  <si>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</si>
  <si>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</si>
  <si>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</si>
  <si>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</si>
  <si>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</si>
  <si>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</si>
  <si>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</si>
  <si>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</si>
  <si>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</si>
  <si>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</si>
  <si>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</si>
  <si>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</si>
  <si>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</si>
  <si>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</si>
  <si>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</si>
  <si>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</si>
  <si>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</si>
  <si>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</si>
  <si>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</si>
  <si>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</si>
  <si>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</si>
  <si>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</si>
  <si>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</si>
  <si>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</si>
  <si>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</si>
  <si>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</si>
  <si>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</si>
  <si>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</si>
  <si>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</si>
  <si>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</si>
  <si>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</si>
  <si>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</si>
  <si>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</si>
  <si>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</si>
  <si>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</si>
  <si>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</si>
  <si>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</si>
  <si>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</si>
  <si>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</si>
  <si>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</si>
  <si>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</si>
  <si>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</si>
  <si>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</si>
  <si>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</si>
  <si>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</si>
  <si>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</si>
  <si>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</si>
  <si>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</si>
  <si>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</si>
  <si>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</si>
  <si>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</si>
  <si>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</si>
  <si>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</si>
  <si>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</si>
  <si>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</si>
  <si>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</si>
  <si>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</si>
  <si>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</si>
  <si>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</si>
  <si>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</si>
  <si>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</si>
  <si>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</si>
  <si>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</si>
  <si>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</si>
  <si>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</si>
  <si>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</si>
  <si>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</si>
  <si>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</si>
  <si>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</si>
  <si>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</si>
  <si>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</si>
  <si>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</si>
  <si>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</si>
  <si>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</si>
  <si>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</si>
  <si>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</si>
  <si>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</si>
  <si>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</si>
  <si>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</si>
  <si>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</si>
  <si>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</si>
  <si>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</si>
  <si>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</si>
  <si>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</si>
  <si>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</si>
  <si>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</si>
  <si>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</si>
  <si>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</si>
  <si>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</si>
  <si>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</si>
  <si>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</si>
  <si>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</si>
  <si>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</si>
  <si>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</si>
  <si>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</si>
  <si>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</si>
  <si>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</si>
  <si>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</si>
  <si>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</si>
  <si>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</si>
  <si>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</si>
  <si>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</si>
  <si>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</si>
  <si>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</si>
  <si>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</si>
  <si>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</si>
  <si>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</si>
  <si>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</si>
  <si>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</si>
  <si>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</si>
  <si>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</si>
  <si>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</si>
  <si>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</si>
  <si>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</si>
  <si>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</si>
  <si>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</si>
  <si>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</si>
  <si>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</si>
  <si>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</si>
  <si>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</si>
  <si>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</si>
  <si>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</si>
  <si>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</si>
  <si>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</si>
  <si>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</si>
  <si>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</si>
  <si>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</si>
  <si>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</si>
  <si>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</si>
  <si>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</si>
  <si>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</si>
  <si>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</si>
  <si>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</si>
  <si>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</si>
  <si>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</si>
  <si>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</si>
  <si>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</si>
  <si>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</si>
  <si>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</si>
  <si>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</si>
  <si>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</si>
  <si>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</si>
  <si>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</si>
  <si>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</si>
  <si>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</si>
  <si>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</si>
  <si>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</si>
  <si>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</si>
  <si>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</si>
  <si>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</si>
  <si>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</si>
  <si>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</si>
  <si>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</si>
  <si>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</si>
  <si>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</si>
  <si>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</si>
  <si>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</si>
  <si>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</si>
  <si>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</si>
  <si>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</si>
  <si>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</si>
  <si>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</si>
  <si>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</si>
  <si>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</si>
  <si>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</si>
  <si>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</si>
  <si>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</si>
  <si>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</si>
  <si>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</si>
  <si>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</si>
  <si>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</si>
  <si>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</si>
  <si>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</si>
  <si>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</si>
  <si>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</si>
  <si>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</si>
  <si>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</si>
  <si>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</si>
  <si>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</si>
  <si>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</si>
  <si>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</si>
  <si>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</si>
  <si>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</si>
  <si>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</si>
  <si>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</si>
  <si>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</si>
  <si>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</si>
  <si>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</si>
  <si>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</si>
  <si>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</si>
  <si>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</si>
  <si>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</si>
  <si>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</si>
  <si>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</si>
  <si>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</si>
  <si>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</si>
  <si>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</si>
  <si>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</si>
  <si>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</si>
  <si>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</si>
  <si>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</si>
  <si>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</si>
  <si>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</si>
  <si>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</si>
  <si>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</si>
  <si>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</si>
  <si>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</si>
  <si>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</si>
  <si>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</si>
  <si>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</si>
  <si>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</si>
  <si>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</si>
  <si>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</si>
  <si>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</si>
  <si>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</si>
  <si>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</si>
  <si>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</si>
  <si>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</si>
  <si>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</si>
  <si>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</si>
  <si>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</si>
  <si>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</si>
  <si>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</si>
  <si>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</si>
  <si>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</si>
  <si>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</si>
  <si>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</si>
  <si>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</si>
  <si>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</si>
  <si>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</si>
  <si>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</si>
  <si>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</si>
  <si>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</si>
  <si>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</si>
  <si>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</si>
  <si>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</si>
  <si>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</si>
  <si>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</si>
  <si>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</si>
  <si>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</si>
  <si>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</si>
  <si>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</si>
  <si>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</si>
  <si>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</si>
  <si>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</si>
  <si>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</si>
  <si>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</si>
  <si>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</si>
  <si>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</si>
  <si>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</si>
  <si>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</si>
  <si>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</si>
  <si>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</si>
  <si>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</si>
  <si>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</si>
  <si>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</si>
  <si>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</si>
  <si>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</si>
  <si>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</si>
  <si>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</si>
  <si>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</si>
  <si>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</si>
  <si>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</si>
  <si>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</si>
  <si>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</si>
  <si>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</si>
  <si>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</si>
  <si>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</si>
  <si>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</si>
  <si>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</si>
  <si>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</si>
  <si>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</si>
  <si>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</si>
  <si>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</si>
  <si>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</si>
  <si>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</si>
  <si>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</si>
  <si>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</si>
  <si>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</si>
  <si>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</si>
  <si>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</si>
  <si>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</si>
  <si>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</si>
  <si>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</si>
  <si>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</si>
  <si>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</si>
  <si>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</si>
  <si>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</si>
  <si>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</si>
  <si>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</si>
  <si>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</si>
  <si>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</si>
  <si>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</si>
  <si>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</si>
  <si>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</si>
  <si>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</si>
  <si>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</si>
  <si>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</si>
  <si>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</si>
  <si>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</si>
  <si>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</si>
  <si>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</si>
  <si>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</si>
  <si>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</si>
  <si>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</si>
  <si>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</si>
  <si>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</si>
  <si>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</si>
  <si>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</si>
  <si>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</si>
  <si>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</si>
  <si>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</si>
  <si>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</si>
  <si>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</si>
  <si>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</si>
  <si>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</si>
  <si>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</si>
  <si>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</si>
  <si>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</si>
  <si>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</si>
  <si>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</si>
  <si>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</si>
  <si>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</si>
  <si>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</si>
  <si>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</si>
  <si>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</si>
  <si>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</si>
  <si>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</si>
  <si>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</si>
  <si>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</si>
  <si>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</si>
  <si>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</si>
  <si>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</si>
  <si>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</si>
  <si>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</si>
  <si>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</si>
  <si>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</si>
  <si>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</si>
  <si>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</si>
  <si>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</si>
  <si>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</si>
  <si>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</si>
  <si>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</si>
  <si>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</si>
  <si>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</si>
  <si>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</si>
  <si>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</si>
  <si>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</si>
  <si>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</si>
  <si>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</si>
  <si>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</si>
  <si>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</si>
  <si>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</si>
  <si>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</si>
  <si>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</si>
  <si>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</si>
  <si>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</si>
  <si>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</si>
  <si>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</si>
  <si>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</si>
  <si>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</si>
  <si>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</si>
  <si>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</si>
  <si>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</si>
  <si>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</si>
  <si>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</si>
  <si>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</si>
  <si>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</si>
  <si>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</si>
  <si>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</si>
  <si>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</si>
  <si>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</si>
  <si>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</si>
  <si>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</si>
  <si>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</si>
  <si>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</si>
  <si>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</si>
  <si>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</si>
  <si>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</si>
  <si>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</si>
  <si>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</si>
  <si>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</si>
  <si>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</si>
  <si>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</si>
  <si>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</si>
  <si>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</si>
  <si>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</si>
  <si>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</si>
  <si>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</si>
  <si>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</si>
  <si>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</si>
  <si>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</si>
  <si>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</si>
  <si>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</si>
  <si>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</si>
  <si>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</si>
  <si>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</si>
  <si>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</si>
  <si>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</si>
  <si>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</si>
  <si>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</si>
  <si>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</si>
  <si>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</si>
  <si>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</si>
  <si>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</si>
  <si>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</si>
  <si>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</si>
  <si>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</si>
  <si>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</si>
  <si>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</si>
  <si>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</si>
  <si>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</si>
  <si>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</si>
  <si>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</si>
  <si>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</si>
  <si>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</si>
  <si>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</si>
  <si>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</si>
  <si>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</si>
  <si>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</si>
  <si>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</si>
  <si>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</si>
  <si>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</si>
  <si>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</si>
  <si>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</si>
  <si>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</si>
  <si>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</si>
  <si>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</si>
  <si>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</si>
  <si>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</si>
  <si>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</si>
  <si>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</si>
  <si>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</si>
  <si>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</si>
  <si>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</si>
  <si>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</si>
  <si>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</si>
  <si>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</si>
  <si>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</si>
  <si>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</si>
  <si>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</si>
  <si>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</si>
  <si>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</si>
  <si>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</si>
  <si>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</si>
  <si>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</si>
  <si>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</si>
  <si>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</si>
  <si>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</si>
  <si>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</si>
  <si>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</si>
  <si>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</si>
  <si>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</si>
  <si>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</si>
  <si>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</si>
  <si>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</si>
  <si>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</si>
  <si>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</si>
  <si>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</si>
  <si>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</si>
  <si>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</si>
  <si>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</si>
  <si>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</si>
  <si>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</si>
  <si>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</si>
  <si>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</si>
  <si>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</si>
  <si>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</si>
  <si>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</si>
  <si>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</si>
  <si>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</si>
  <si>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</si>
  <si>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</si>
  <si>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</si>
  <si>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</si>
  <si>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</si>
  <si>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</si>
  <si>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</si>
  <si>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</si>
  <si>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</si>
  <si>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</si>
  <si>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</si>
  <si>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</si>
  <si>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</si>
  <si>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</si>
  <si>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</si>
  <si>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</si>
  <si>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</si>
  <si>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</si>
  <si>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</si>
  <si>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</si>
  <si>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</si>
  <si>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</si>
  <si>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</si>
  <si>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</si>
  <si>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</si>
  <si>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</si>
  <si>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</si>
  <si>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</si>
  <si>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</si>
  <si>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</si>
  <si>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</si>
  <si>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</si>
  <si>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</si>
  <si>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</si>
  <si>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</si>
  <si>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</si>
  <si>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</si>
  <si>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</si>
  <si>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</si>
  <si>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</si>
  <si>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</si>
  <si>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</si>
  <si>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</si>
  <si>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</si>
  <si>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</si>
  <si>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</si>
  <si>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</si>
  <si>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</si>
  <si>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</si>
  <si>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</si>
  <si>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</si>
  <si>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</si>
  <si>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</si>
  <si>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</si>
  <si>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</si>
  <si>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</si>
  <si>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</si>
  <si>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</si>
  <si>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</si>
  <si>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</si>
  <si>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</si>
  <si>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</si>
  <si>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</si>
  <si>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</si>
  <si>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</si>
  <si>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</si>
  <si>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</si>
  <si>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</si>
  <si>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</si>
  <si>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</si>
  <si>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</si>
  <si>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</si>
  <si>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</si>
  <si>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</si>
  <si>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</si>
  <si>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</si>
  <si>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</si>
  <si>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</si>
  <si>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</si>
  <si>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</si>
  <si>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</si>
  <si>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</si>
  <si>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</si>
  <si>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</si>
  <si>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</si>
  <si>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</si>
  <si>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</si>
  <si>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</si>
  <si>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</si>
  <si>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</si>
  <si>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</si>
  <si>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</si>
  <si>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</si>
  <si>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</si>
  <si>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</si>
  <si>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</si>
  <si>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</si>
  <si>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</si>
  <si>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</si>
  <si>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</si>
  <si>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</si>
  <si>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</si>
  <si>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</si>
  <si>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</si>
  <si>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</si>
  <si>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</si>
  <si>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</si>
  <si>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</si>
  <si>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</si>
  <si>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</si>
  <si>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</si>
  <si>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</si>
  <si>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</si>
  <si>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</si>
  <si>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</si>
  <si>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</si>
  <si>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</si>
  <si>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</si>
  <si>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</si>
  <si>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</si>
  <si>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</si>
  <si>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</si>
  <si>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</si>
  <si>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</si>
  <si>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</si>
  <si>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</si>
  <si>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</si>
  <si>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</si>
  <si>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</si>
  <si>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</si>
  <si>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</si>
  <si>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</si>
  <si>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</si>
  <si>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</si>
  <si>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</si>
  <si>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</si>
  <si>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</si>
  <si>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</si>
  <si>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</si>
  <si>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</si>
  <si>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</si>
  <si>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</si>
  <si>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</si>
  <si>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</si>
  <si>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</si>
  <si>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</si>
  <si>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</si>
  <si>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</si>
  <si>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</si>
  <si>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</si>
  <si>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</si>
  <si>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</si>
  <si>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</si>
  <si>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</si>
  <si>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</si>
  <si>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</si>
  <si>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</si>
  <si>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</si>
  <si>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</si>
  <si>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</si>
  <si>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</si>
  <si>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</si>
  <si>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</si>
  <si>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</si>
  <si>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</si>
  <si>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</si>
  <si>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</si>
  <si>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</si>
  <si>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</si>
  <si>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</si>
  <si>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</si>
  <si>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</si>
  <si>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</si>
  <si>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</si>
  <si>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</si>
  <si>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</si>
  <si>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</si>
  <si>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</si>
  <si>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</si>
  <si>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</si>
  <si>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</si>
  <si>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</si>
  <si>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</si>
  <si>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</si>
  <si>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</si>
  <si>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</si>
  <si>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</si>
  <si>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</si>
  <si>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</si>
  <si>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</si>
  <si>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</si>
  <si>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</si>
  <si>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</si>
  <si>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</si>
  <si>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</si>
  <si>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</si>
  <si>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</si>
  <si>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</si>
  <si>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</si>
  <si>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</si>
  <si>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</si>
  <si>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</si>
  <si>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</si>
  <si>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</si>
  <si>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</si>
  <si>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</si>
  <si>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</si>
  <si>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</si>
  <si>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</si>
  <si>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</si>
  <si>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</si>
  <si>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</si>
  <si>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</si>
  <si>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</si>
  <si>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</si>
  <si>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</si>
  <si>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</si>
  <si>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</si>
  <si>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</si>
  <si>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</si>
  <si>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</si>
  <si>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</si>
  <si>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</si>
  <si>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</si>
  <si>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</si>
  <si>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</si>
  <si>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</si>
  <si>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</si>
  <si>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</si>
  <si>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</si>
  <si>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</si>
  <si>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</si>
  <si>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</si>
  <si>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</si>
  <si>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</si>
  <si>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</si>
  <si>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</si>
  <si>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</si>
  <si>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</si>
  <si>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</si>
  <si>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</si>
  <si>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</si>
  <si>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</si>
  <si>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</si>
  <si>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</si>
  <si>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</si>
  <si>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</si>
  <si>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</si>
  <si>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</si>
  <si>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</si>
  <si>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</si>
  <si>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</si>
  <si>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</si>
  <si>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</si>
  <si>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</si>
  <si>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</si>
  <si>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</si>
  <si>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</si>
  <si>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</si>
  <si>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</si>
  <si>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</si>
  <si>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</si>
  <si>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</si>
  <si>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</si>
  <si>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</si>
  <si>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</si>
  <si>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</si>
  <si>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</si>
  <si>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</si>
  <si>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</si>
  <si>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</si>
  <si>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</si>
  <si>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</si>
  <si>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</si>
  <si>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</si>
  <si>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</si>
  <si>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</si>
  <si>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</si>
  <si>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</si>
  <si>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</si>
  <si>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</si>
  <si>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</si>
  <si>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</si>
  <si>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</si>
  <si>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</si>
  <si>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</si>
  <si>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</si>
  <si>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</si>
  <si>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</si>
  <si>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</si>
  <si>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</si>
  <si>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</si>
  <si>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</si>
  <si>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</si>
  <si>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</si>
  <si>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</si>
  <si>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</si>
  <si>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</si>
  <si>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</si>
  <si>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</si>
  <si>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</si>
  <si>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</si>
  <si>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</si>
  <si>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</si>
  <si>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</si>
  <si>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</si>
  <si>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</si>
  <si>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</si>
  <si>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</si>
  <si>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</si>
  <si>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</si>
  <si>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</si>
  <si>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</si>
  <si>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</si>
  <si>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</si>
  <si>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</si>
  <si>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</si>
  <si>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</si>
  <si>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</si>
  <si>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</si>
  <si>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</si>
  <si>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</si>
  <si>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</si>
  <si>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</si>
  <si>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</si>
  <si>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</si>
  <si>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</si>
  <si>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</si>
  <si>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</si>
  <si>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</si>
  <si>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</si>
  <si>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</si>
  <si>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</si>
  <si>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</si>
  <si>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</si>
  <si>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</si>
  <si>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</si>
  <si>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</si>
  <si>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</si>
  <si>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</si>
  <si>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</si>
  <si>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</si>
  <si>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</si>
  <si>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</si>
  <si>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</si>
  <si>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</si>
  <si>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</si>
  <si>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</si>
  <si>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</si>
  <si>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</si>
  <si>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</si>
  <si>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</si>
  <si>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</si>
  <si>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</si>
  <si>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</si>
  <si>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</si>
  <si>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</si>
  <si>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</si>
  <si>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</si>
  <si>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</si>
  <si>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</si>
  <si>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</si>
  <si>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</si>
  <si>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</si>
  <si>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</si>
  <si>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</si>
  <si>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</si>
  <si>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</si>
  <si>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</si>
  <si>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</si>
  <si>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</si>
  <si>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</si>
  <si>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</si>
  <si>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</si>
  <si>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</si>
  <si>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</si>
  <si>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</si>
  <si>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</si>
  <si>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</si>
  <si>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</si>
  <si>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</si>
  <si>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</si>
  <si>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</si>
  <si>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</si>
  <si>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</si>
  <si>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</si>
  <si>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</si>
  <si>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</si>
  <si>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</si>
  <si>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</si>
  <si>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</si>
  <si>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</si>
  <si>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</si>
  <si>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</si>
  <si>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</si>
  <si>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</si>
  <si>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</si>
  <si>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</si>
  <si>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</si>
  <si>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</si>
  <si>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</si>
  <si>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</si>
  <si>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</si>
  <si>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</si>
  <si>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</si>
  <si>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</si>
  <si>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</si>
  <si>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</si>
  <si>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</si>
  <si>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</si>
  <si>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</si>
  <si>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</si>
  <si>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</si>
  <si>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</si>
  <si>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</si>
  <si>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</si>
  <si>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</si>
  <si>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</si>
  <si>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</si>
  <si>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</si>
  <si>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</si>
  <si>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</si>
  <si>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</si>
  <si>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</si>
  <si>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</si>
  <si>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</si>
  <si>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</si>
  <si>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</si>
  <si>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</si>
  <si>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</si>
  <si>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</si>
  <si>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</si>
  <si>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</si>
  <si>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</si>
  <si>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</si>
  <si>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</si>
  <si>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</si>
  <si>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</si>
  <si>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</si>
  <si>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</si>
  <si>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</si>
  <si>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</si>
  <si>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</si>
  <si>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</si>
  <si>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</si>
  <si>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</si>
  <si>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</si>
  <si>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</si>
  <si>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</si>
  <si>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</si>
  <si>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</si>
  <si>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</si>
  <si>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</si>
  <si>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</si>
  <si>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</si>
  <si>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</si>
  <si>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</si>
  <si>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</si>
  <si>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</si>
  <si>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</si>
  <si>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</si>
  <si>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</si>
  <si>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</si>
  <si>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</si>
  <si>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</si>
  <si>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</si>
  <si>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</si>
  <si>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</si>
  <si>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</si>
  <si>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</si>
  <si>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</si>
  <si>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</si>
  <si>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</si>
  <si>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</si>
  <si>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</si>
  <si>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</si>
  <si>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</si>
  <si>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</si>
  <si>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</si>
  <si>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</si>
  <si>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</si>
  <si>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</si>
  <si>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</si>
  <si>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</si>
  <si>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</si>
  <si>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</si>
  <si>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</si>
  <si>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</si>
  <si>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</si>
  <si>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</si>
  <si>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</si>
  <si>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</si>
  <si>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</si>
  <si>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</si>
  <si>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</si>
  <si>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</si>
  <si>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</si>
  <si>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</si>
  <si>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</si>
  <si>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</si>
  <si>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</si>
  <si>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</si>
  <si>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</si>
  <si>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</si>
  <si>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</si>
  <si>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</si>
  <si>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</si>
  <si>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</si>
  <si>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</si>
  <si>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</si>
  <si>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</si>
  <si>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</si>
  <si>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</si>
  <si>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</si>
  <si>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</si>
  <si>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</si>
  <si>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</si>
  <si>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</si>
  <si>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</si>
  <si>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</si>
  <si>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</si>
  <si>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</si>
  <si>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</si>
  <si>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</si>
  <si>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</si>
  <si>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</si>
  <si>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</si>
  <si>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</si>
  <si>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</si>
  <si>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</si>
  <si>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</si>
  <si>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</si>
  <si>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</si>
  <si>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</si>
  <si>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</si>
  <si>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</si>
  <si>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</si>
  <si>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</si>
  <si>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</si>
  <si>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</si>
  <si>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</si>
  <si>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</si>
  <si>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</si>
  <si>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</si>
  <si>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</si>
  <si>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</si>
  <si>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</si>
  <si>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</si>
  <si>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</si>
  <si>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</si>
  <si>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</si>
  <si>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</si>
  <si>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</si>
  <si>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</si>
  <si>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</si>
  <si>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</si>
  <si>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</si>
  <si>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</si>
  <si>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</si>
  <si>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</si>
  <si>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</si>
  <si>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</si>
  <si>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</si>
  <si>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</si>
  <si>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</si>
  <si>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</si>
  <si>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</si>
  <si>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</si>
  <si>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</si>
  <si>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</si>
  <si>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</si>
  <si>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</si>
  <si>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</si>
  <si>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</si>
  <si>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</si>
  <si>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</si>
  <si>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</si>
  <si>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</si>
  <si>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</si>
  <si>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</si>
  <si>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</si>
  <si>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</si>
  <si>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</si>
  <si>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</si>
  <si>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</si>
  <si>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</si>
  <si>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</si>
  <si>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</si>
  <si>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</si>
  <si>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</si>
  <si>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</si>
  <si>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</si>
  <si>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</si>
  <si>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</si>
  <si>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</si>
  <si>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</si>
  <si>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</si>
  <si>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</si>
  <si>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</si>
  <si>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</si>
  <si>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</si>
  <si>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</si>
  <si>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</si>
  <si>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</si>
  <si>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</si>
  <si>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</si>
  <si>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</si>
  <si>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</si>
  <si>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</si>
  <si>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</si>
  <si>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</si>
  <si>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</si>
  <si>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</si>
  <si>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</si>
  <si>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</si>
  <si>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</si>
  <si>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</si>
  <si>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</si>
  <si>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</si>
  <si>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</si>
  <si>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</si>
  <si>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</si>
  <si>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</si>
  <si>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</si>
  <si>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</si>
  <si>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</si>
  <si>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</si>
  <si>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</si>
  <si>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</si>
  <si>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</si>
  <si>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</si>
  <si>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</si>
  <si>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</si>
  <si>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</si>
  <si>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</si>
  <si>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</si>
  <si>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</si>
  <si>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</si>
  <si>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</si>
  <si>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</si>
  <si>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</si>
  <si>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</si>
  <si>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</si>
  <si>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</si>
  <si>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</si>
  <si>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</si>
  <si>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</si>
  <si>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</si>
  <si>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</si>
  <si>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</si>
  <si>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</si>
  <si>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</si>
  <si>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</si>
  <si>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</si>
  <si>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</si>
  <si>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</si>
  <si>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</si>
  <si>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</si>
  <si>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</si>
  <si>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</si>
  <si>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</si>
  <si>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</si>
  <si>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</si>
  <si>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</si>
  <si>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</si>
  <si>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</si>
  <si>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</si>
  <si>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</si>
  <si>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</si>
  <si>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</si>
  <si>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</si>
  <si>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</si>
  <si>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</si>
  <si>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</si>
  <si>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</si>
  <si>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</si>
  <si>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</si>
  <si>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</si>
  <si>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</si>
  <si>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</si>
  <si>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</si>
  <si>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</si>
  <si>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</si>
  <si>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</si>
  <si>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</si>
  <si>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</si>
  <si>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</si>
  <si>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</si>
  <si>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</si>
  <si>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</si>
  <si>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</si>
  <si>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</si>
  <si>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</si>
  <si>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</si>
  <si>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</si>
  <si>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</si>
  <si>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</si>
  <si>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</si>
  <si>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</si>
  <si>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</si>
  <si>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</si>
  <si>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</si>
  <si>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</si>
  <si>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</si>
  <si>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</si>
  <si>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</si>
  <si>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</si>
  <si>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</si>
  <si>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</si>
  <si>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</si>
  <si>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</si>
  <si>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</si>
  <si>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</si>
  <si>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</si>
  <si>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</si>
  <si>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</si>
  <si>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</si>
  <si>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</si>
  <si>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</si>
  <si>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</si>
  <si>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</si>
  <si>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</si>
  <si>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</si>
  <si>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</si>
  <si>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</si>
  <si>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</si>
  <si>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</si>
  <si>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</si>
  <si>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</si>
  <si>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</si>
  <si>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</si>
  <si>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</si>
  <si>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</si>
  <si>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</si>
  <si>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</si>
  <si>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</si>
  <si>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</si>
  <si>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</si>
  <si>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</si>
  <si>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</si>
  <si>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</si>
  <si>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</si>
  <si>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</si>
  <si>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</si>
  <si>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</si>
  <si>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</si>
  <si>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</si>
  <si>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</si>
  <si>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</si>
  <si>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</si>
  <si>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</si>
  <si>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</si>
  <si>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</si>
  <si>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</si>
  <si>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</si>
  <si>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</si>
  <si>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</si>
  <si>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</si>
  <si>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</si>
  <si>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</si>
  <si>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</si>
  <si>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</si>
  <si>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</si>
  <si>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</si>
  <si>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</si>
  <si>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</si>
  <si>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</si>
  <si>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</si>
  <si>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</si>
  <si>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</si>
  <si>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</si>
  <si>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</si>
  <si>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</si>
  <si>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</si>
  <si>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</si>
  <si>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</si>
  <si>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</si>
  <si>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</si>
  <si>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</si>
  <si>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</si>
  <si>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</si>
  <si>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</si>
  <si>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</si>
  <si>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</si>
  <si>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</si>
  <si>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</si>
  <si>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</si>
  <si>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</si>
  <si>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</si>
  <si>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</si>
  <si>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</si>
  <si>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</si>
  <si>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</si>
  <si>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</si>
  <si>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</si>
  <si>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</si>
  <si>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</si>
  <si>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</si>
  <si>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</si>
  <si>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</si>
  <si>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</si>
  <si>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</si>
  <si>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</si>
  <si>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</si>
  <si>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</si>
  <si>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</si>
  <si>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</si>
  <si>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</si>
  <si>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</si>
  <si>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</si>
  <si>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</si>
  <si>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</si>
  <si>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</si>
  <si>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</si>
  <si>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</si>
  <si>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</si>
  <si>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</si>
  <si>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</si>
  <si>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</si>
  <si>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</si>
  <si>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</si>
  <si>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</si>
  <si>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</si>
  <si>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</si>
  <si>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</si>
  <si>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</si>
  <si>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</si>
  <si>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</si>
  <si>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</si>
  <si>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</si>
  <si>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</si>
  <si>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</si>
  <si>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</si>
  <si>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</si>
  <si>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</si>
  <si>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</si>
  <si>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</si>
  <si>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</si>
  <si>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</si>
  <si>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</si>
  <si>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</si>
  <si>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</si>
  <si>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</si>
  <si>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</si>
  <si>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</si>
  <si>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</si>
  <si>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</si>
  <si>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</si>
  <si>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</si>
  <si>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</si>
  <si>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</si>
  <si>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</si>
  <si>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</si>
  <si>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</si>
  <si>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</si>
  <si>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</si>
  <si>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</si>
  <si>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</si>
  <si>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</si>
  <si>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</si>
  <si>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</si>
  <si>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</si>
  <si>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</si>
  <si>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</si>
  <si>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</si>
  <si>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</si>
  <si>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</si>
  <si>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</si>
  <si>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</si>
  <si>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</si>
  <si>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</si>
  <si>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</si>
  <si>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</si>
  <si>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</si>
  <si>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</si>
  <si>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</si>
  <si>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</si>
  <si>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</si>
  <si>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</si>
  <si>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</si>
  <si>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</si>
  <si>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</si>
  <si>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</si>
  <si>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</si>
  <si>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</si>
  <si>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</si>
  <si>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</si>
  <si>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</si>
  <si>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</si>
  <si>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</si>
  <si>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</si>
  <si>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</si>
  <si>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</si>
  <si>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</si>
  <si>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</si>
  <si>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</si>
  <si>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</si>
  <si>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</si>
  <si>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</si>
  <si>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</si>
  <si>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</si>
  <si>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</si>
  <si>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</si>
  <si>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</si>
  <si>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</si>
  <si>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</si>
  <si>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</si>
  <si>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</si>
  <si>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</si>
  <si>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</si>
  <si>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</si>
  <si>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</si>
  <si>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</si>
  <si>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</si>
  <si>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</si>
  <si>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</si>
  <si>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</si>
  <si>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</si>
  <si>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</si>
  <si>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</si>
  <si>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</si>
  <si>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</si>
  <si>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</si>
  <si>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</si>
  <si>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</si>
  <si>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</si>
  <si>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</si>
  <si>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</si>
  <si>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</si>
  <si>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</si>
  <si>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</si>
  <si>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</si>
  <si>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</si>
  <si>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</si>
  <si>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</si>
  <si>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</si>
  <si>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</si>
  <si>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</si>
  <si>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</si>
  <si>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</si>
  <si>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</si>
  <si>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</si>
  <si>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</si>
  <si>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</si>
  <si>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</si>
  <si>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</si>
  <si>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</si>
  <si>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</si>
  <si>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</si>
  <si>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</si>
  <si>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</si>
  <si>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</si>
  <si>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</si>
  <si>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</si>
  <si>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</si>
  <si>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</si>
  <si>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</si>
  <si>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</si>
  <si>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</si>
  <si>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</si>
  <si>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</si>
  <si>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</si>
  <si>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</si>
  <si>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</si>
  <si>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</si>
  <si>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</si>
  <si>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</si>
  <si>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</si>
  <si>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</si>
  <si>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</si>
  <si>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</si>
  <si>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</si>
  <si>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</si>
  <si>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</si>
  <si>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</si>
  <si>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</si>
  <si>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</si>
  <si>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</si>
  <si>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</si>
  <si>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</si>
  <si>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</si>
  <si>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</si>
  <si>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</si>
  <si>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</si>
  <si>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</si>
  <si>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</si>
  <si>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</si>
  <si>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</si>
  <si>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</si>
  <si>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</si>
  <si>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</si>
  <si>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</si>
  <si>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</si>
  <si>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</si>
  <si>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</si>
  <si>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</si>
  <si>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</si>
  <si>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</si>
  <si>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</si>
  <si>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</si>
  <si>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</si>
  <si>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</si>
  <si>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</si>
  <si>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</si>
  <si>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</si>
  <si>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</si>
  <si>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</si>
  <si>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</si>
  <si>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</si>
  <si>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</si>
  <si>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</si>
  <si>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</si>
  <si>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</si>
  <si>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</si>
  <si>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</si>
  <si>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</si>
  <si>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</si>
  <si>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</si>
  <si>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</si>
  <si>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</si>
  <si>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</si>
  <si>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</si>
  <si>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</si>
  <si>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</si>
  <si>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</si>
  <si>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</si>
  <si>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</si>
  <si>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</si>
  <si>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</si>
  <si>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</si>
  <si>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</si>
  <si>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</si>
  <si>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</si>
  <si>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</si>
  <si>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</si>
  <si>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</si>
  <si>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</si>
  <si>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</si>
  <si>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</si>
  <si>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</si>
  <si>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</si>
  <si>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</si>
  <si>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</si>
  <si>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</si>
  <si>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</si>
  <si>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</si>
  <si>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</si>
  <si>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</si>
  <si>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</si>
  <si>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</si>
  <si>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</si>
  <si>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</si>
  <si>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</si>
  <si>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</si>
  <si>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</si>
  <si>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</si>
  <si>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</si>
  <si>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</si>
  <si>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</si>
  <si>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</si>
  <si>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</si>
  <si>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</si>
  <si>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</si>
  <si>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</si>
  <si>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</si>
  <si>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</si>
  <si>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</si>
  <si>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</si>
  <si>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</si>
  <si>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</si>
  <si>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</si>
  <si>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</si>
  <si>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</si>
  <si>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</si>
  <si>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</si>
  <si>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</si>
  <si>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</si>
  <si>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</si>
  <si>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</si>
  <si>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</si>
  <si>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</si>
  <si>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</si>
  <si>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</si>
  <si>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</si>
  <si>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</si>
  <si>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</si>
  <si>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</si>
  <si>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</si>
  <si>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</si>
  <si>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</si>
  <si>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</si>
  <si>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</si>
  <si>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</si>
  <si>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</si>
  <si>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</si>
  <si>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</si>
  <si>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</si>
  <si>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</si>
  <si>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</si>
  <si>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</si>
  <si>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</si>
  <si>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</si>
  <si>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</si>
  <si>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</si>
  <si>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</si>
  <si>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</si>
  <si>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</si>
  <si>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</si>
  <si>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</si>
  <si>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</si>
  <si>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</si>
  <si>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</si>
  <si>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</si>
  <si>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</si>
  <si>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</si>
  <si>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</si>
  <si>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</si>
  <si>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</si>
  <si>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</si>
  <si>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</si>
  <si>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</si>
  <si>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</si>
  <si>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</si>
  <si>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</si>
  <si>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</si>
  <si>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</si>
  <si>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</si>
  <si>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</si>
  <si>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</si>
  <si>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</si>
  <si>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</si>
  <si>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</si>
  <si>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</si>
  <si>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</si>
  <si>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</si>
  <si>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</si>
  <si>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</si>
  <si>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</si>
  <si>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</si>
  <si>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</si>
  <si>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</si>
  <si>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</si>
  <si>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</si>
  <si>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</si>
  <si>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</si>
  <si>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</si>
  <si>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</si>
  <si>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</si>
  <si>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</si>
  <si>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</si>
  <si>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</si>
  <si>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</si>
  <si>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</si>
  <si>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</si>
  <si>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</si>
  <si>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</si>
  <si>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</si>
  <si>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</si>
  <si>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</si>
  <si>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</si>
  <si>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</si>
  <si>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</si>
  <si>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</si>
  <si>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</si>
  <si>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</si>
  <si>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</si>
  <si>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</si>
  <si>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</si>
  <si>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</si>
  <si>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</si>
  <si>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</si>
  <si>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</si>
  <si>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</si>
  <si>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</si>
  <si>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</si>
  <si>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</si>
  <si>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</si>
  <si>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</si>
  <si>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</si>
  <si>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</si>
  <si>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</si>
  <si>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</si>
  <si>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</si>
  <si>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</si>
  <si>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</si>
  <si>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</si>
  <si>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</si>
  <si>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</si>
  <si>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</si>
  <si>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</si>
  <si>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</si>
  <si>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</si>
  <si>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</si>
  <si>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</si>
  <si>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</si>
  <si>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</si>
  <si>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</si>
  <si>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</si>
  <si>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</si>
  <si>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</si>
  <si>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</si>
  <si>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</si>
  <si>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</si>
  <si>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</si>
  <si>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</si>
  <si>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</si>
  <si>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</si>
  <si>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</si>
  <si>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</si>
  <si>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</si>
  <si>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</si>
  <si>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</si>
  <si>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</si>
  <si>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</si>
  <si>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</si>
  <si>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</si>
  <si>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</si>
  <si>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</si>
  <si>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</si>
  <si>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</si>
  <si>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</si>
  <si>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</si>
  <si>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</si>
  <si>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</si>
  <si>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</si>
  <si>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</si>
  <si>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</si>
  <si>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</si>
  <si>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</si>
  <si>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</si>
  <si>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</si>
  <si>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</si>
  <si>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</si>
  <si>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</si>
  <si>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</si>
  <si>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</si>
  <si>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</si>
  <si>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</si>
  <si>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</si>
  <si>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</si>
  <si>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</si>
  <si>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</si>
  <si>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</si>
  <si>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</si>
  <si>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</si>
  <si>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</si>
  <si>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</si>
  <si>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</si>
  <si>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</si>
  <si>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</si>
  <si>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</si>
  <si>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</si>
  <si>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</si>
  <si>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</si>
  <si>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</si>
  <si>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</si>
  <si>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</si>
  <si>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</si>
  <si>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</si>
  <si>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</si>
  <si>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</si>
  <si>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</si>
  <si>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</si>
  <si>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</si>
  <si>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</si>
  <si>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</si>
  <si>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</si>
  <si>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</si>
  <si>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</si>
  <si>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</si>
  <si>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</si>
  <si>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</si>
  <si>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</si>
  <si>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</si>
  <si>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</si>
  <si>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</si>
  <si>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</si>
  <si>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</si>
  <si>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</si>
  <si>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</si>
  <si>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</si>
  <si>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</si>
  <si>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</si>
  <si>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</si>
  <si>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</si>
  <si>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</si>
  <si>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</si>
  <si>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</si>
  <si>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</si>
  <si>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</si>
  <si>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</si>
  <si>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</si>
  <si>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</si>
  <si>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</si>
  <si>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</si>
  <si>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</si>
  <si>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</si>
  <si>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</si>
  <si>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</si>
  <si>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</si>
  <si>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</si>
  <si>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</si>
  <si>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</si>
  <si>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</si>
  <si>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</si>
  <si>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</si>
  <si>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</si>
  <si>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</si>
  <si>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</si>
  <si>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</si>
  <si>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</si>
  <si>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</si>
  <si>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</si>
  <si>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</si>
  <si>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</si>
  <si>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</si>
  <si>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</si>
  <si>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</si>
  <si>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</si>
  <si>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</si>
  <si>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</si>
  <si>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</si>
  <si>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</si>
  <si>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</si>
  <si>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</si>
  <si>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</si>
  <si>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</si>
  <si>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</si>
  <si>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</si>
  <si>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</si>
  <si>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</si>
  <si>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</si>
  <si>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</si>
  <si>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</si>
  <si>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</si>
  <si>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</si>
  <si>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</si>
  <si>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</si>
  <si>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</si>
  <si>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</si>
  <si>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</si>
  <si>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</si>
  <si>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</si>
  <si>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</si>
  <si>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</si>
  <si>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</si>
  <si>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</si>
  <si>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</si>
  <si>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</si>
  <si>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</si>
  <si>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</si>
  <si>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</si>
  <si>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</si>
  <si>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</si>
  <si>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</si>
  <si>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</si>
  <si>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</si>
  <si>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</si>
  <si>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</si>
  <si>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</si>
  <si>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</si>
  <si>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</si>
  <si>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</si>
  <si>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</si>
  <si>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</si>
  <si>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</si>
  <si>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</si>
  <si>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</si>
  <si>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</si>
  <si>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</si>
  <si>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</si>
  <si>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</si>
  <si>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</si>
  <si>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</si>
  <si>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</si>
  <si>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</si>
  <si>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</si>
  <si>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</si>
  <si>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</si>
  <si>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</si>
  <si>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</si>
  <si>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</si>
  <si>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</si>
  <si>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</si>
  <si>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</si>
  <si>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</si>
  <si>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</si>
  <si>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</si>
  <si>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</si>
  <si>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</si>
  <si>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</si>
  <si>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</si>
  <si>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</si>
  <si>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</si>
  <si>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</si>
  <si>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</si>
  <si>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</si>
  <si>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</si>
  <si>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</si>
  <si>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</si>
  <si>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</si>
  <si>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</si>
  <si>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</si>
  <si>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</si>
  <si>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</si>
  <si>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</si>
  <si>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</si>
  <si>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</si>
  <si>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</si>
  <si>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</si>
  <si>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</si>
  <si>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</si>
  <si>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</si>
  <si>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</si>
  <si>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</si>
  <si>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</si>
  <si>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</si>
  <si>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</si>
  <si>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</si>
  <si>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</si>
  <si>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</si>
  <si>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</si>
  <si>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</si>
  <si>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</si>
  <si>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</si>
  <si>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</si>
  <si>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</si>
  <si>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</si>
  <si>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</si>
  <si>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</si>
  <si>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</si>
  <si>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</si>
  <si>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</si>
  <si>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</si>
  <si>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</si>
  <si>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</si>
  <si>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</si>
  <si>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</si>
  <si>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</si>
  <si>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</si>
  <si>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</si>
  <si>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</si>
  <si>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</si>
  <si>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</si>
  <si>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</si>
  <si>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</si>
  <si>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</si>
  <si>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</si>
  <si>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</si>
  <si>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</si>
  <si>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</si>
  <si>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</si>
  <si>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</si>
  <si>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</si>
  <si>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</si>
  <si>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</si>
  <si>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</si>
  <si>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</si>
  <si>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</si>
  <si>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</si>
  <si>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</si>
  <si>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</si>
  <si>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</si>
  <si>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</si>
  <si>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</si>
  <si>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</si>
  <si>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</si>
  <si>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</si>
  <si>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</si>
  <si>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</si>
  <si>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</si>
  <si>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</si>
  <si>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</si>
  <si>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</si>
  <si>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</si>
  <si>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</si>
  <si>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</si>
  <si>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</si>
  <si>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</si>
  <si>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</si>
  <si>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</si>
  <si>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</si>
  <si>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</si>
  <si>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</si>
  <si>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</si>
  <si>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</si>
  <si>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</si>
  <si>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</si>
  <si>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</si>
  <si>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</si>
  <si>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</si>
  <si>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</si>
  <si>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</si>
  <si>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</si>
  <si>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</si>
  <si>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</si>
  <si>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</si>
  <si>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</si>
  <si>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</si>
  <si>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</si>
  <si>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</si>
  <si>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</si>
  <si>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</si>
  <si>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</si>
  <si>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</si>
  <si>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</si>
  <si>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</si>
  <si>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</si>
  <si>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</si>
  <si>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</si>
  <si>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</si>
  <si>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</si>
  <si>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</si>
  <si>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</si>
  <si>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</si>
  <si>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</si>
  <si>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</si>
  <si>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</si>
  <si>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</si>
  <si>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</si>
  <si>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</si>
  <si>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</si>
  <si>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</si>
  <si>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</si>
  <si>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</si>
  <si>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</si>
  <si>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</si>
  <si>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</si>
  <si>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</si>
  <si>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</si>
  <si>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</si>
  <si>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</si>
  <si>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</si>
  <si>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</si>
  <si>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</si>
  <si>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</si>
  <si>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</si>
  <si>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</si>
  <si>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</si>
  <si>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</si>
  <si>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</si>
  <si>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</si>
  <si>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</si>
  <si>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</si>
  <si>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</si>
  <si>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</si>
  <si>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</si>
  <si>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</si>
  <si>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</si>
  <si>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</si>
  <si>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</si>
  <si>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</si>
  <si>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</si>
  <si>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</si>
  <si>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</si>
  <si>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</si>
  <si>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</si>
  <si>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</si>
  <si>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</si>
  <si>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</si>
  <si>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</si>
  <si>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</si>
  <si>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</si>
  <si>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</si>
  <si>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</si>
  <si>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</si>
  <si>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</si>
  <si>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</si>
  <si>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</si>
  <si>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</si>
  <si>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</si>
  <si>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</si>
  <si>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</si>
  <si>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</si>
  <si>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</si>
  <si>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</si>
  <si>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</si>
  <si>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</si>
  <si>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</si>
  <si>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</si>
  <si>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</si>
  <si>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</si>
  <si>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</si>
  <si>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</si>
  <si>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</si>
  <si>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</si>
  <si>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</si>
  <si>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</si>
  <si>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</si>
  <si>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</si>
  <si>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</si>
  <si>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</si>
  <si>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</si>
  <si>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</si>
  <si>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</si>
  <si>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</si>
  <si>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</si>
  <si>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</si>
  <si>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</si>
  <si>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</si>
  <si>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</si>
  <si>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</si>
  <si>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</si>
  <si>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</si>
  <si>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</si>
  <si>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</si>
  <si>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</si>
  <si>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</si>
  <si>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</si>
  <si>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</si>
  <si>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</si>
  <si>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</si>
  <si>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</si>
  <si>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</si>
  <si>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</si>
  <si>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</si>
  <si>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</si>
  <si>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</si>
  <si>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</si>
  <si>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</si>
  <si>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</si>
  <si>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</si>
  <si>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</si>
  <si>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</si>
  <si>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</si>
  <si>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</si>
  <si>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</si>
  <si>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</si>
  <si>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</si>
  <si>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</si>
  <si>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</si>
  <si>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</si>
  <si>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</si>
  <si>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</si>
  <si>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</si>
  <si>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</si>
  <si>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</si>
  <si>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</si>
  <si>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</si>
  <si>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</si>
  <si>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</si>
  <si>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</si>
  <si>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</si>
  <si>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</si>
  <si>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</si>
  <si>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</si>
  <si>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</si>
  <si>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</si>
  <si>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</si>
  <si>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</si>
  <si>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</si>
  <si>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</si>
  <si>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</si>
  <si>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</si>
  <si>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</si>
  <si>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</si>
  <si>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</si>
  <si>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</si>
  <si>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</si>
  <si>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</si>
  <si>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</si>
  <si>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</si>
  <si>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</si>
  <si>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</si>
  <si>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</si>
  <si>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</si>
  <si>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</si>
  <si>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</si>
  <si>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</si>
  <si>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</si>
  <si>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</si>
  <si>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</si>
  <si>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</si>
  <si>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</si>
  <si>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</si>
  <si>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</si>
  <si>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</si>
  <si>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</si>
  <si>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</si>
  <si>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</si>
  <si>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</si>
  <si>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</si>
  <si>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</si>
  <si>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</si>
  <si>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</si>
  <si>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</si>
  <si>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</si>
  <si>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</si>
  <si>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</si>
  <si>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</si>
  <si>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</si>
  <si>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</si>
  <si>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</si>
  <si>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</si>
  <si>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</si>
  <si>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</si>
  <si>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</si>
  <si>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</si>
  <si>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</si>
  <si>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</si>
  <si>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</si>
  <si>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</si>
  <si>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</si>
  <si>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</si>
  <si>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</si>
  <si>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</si>
  <si>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</si>
  <si>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</si>
  <si>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</si>
  <si>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</si>
  <si>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</si>
  <si>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</si>
  <si>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</si>
  <si>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</si>
  <si>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</si>
  <si>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</si>
  <si>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</si>
  <si>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</si>
  <si>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</si>
  <si>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</si>
  <si>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</si>
  <si>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</si>
  <si>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</si>
  <si>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</si>
  <si>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</si>
  <si>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</si>
  <si>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</si>
  <si>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</si>
  <si>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</si>
  <si>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</si>
  <si>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</si>
  <si>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</si>
  <si>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</si>
  <si>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</si>
  <si>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</si>
  <si>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</si>
  <si>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</si>
  <si>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</si>
  <si>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</si>
  <si>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</si>
  <si>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</si>
  <si>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</si>
  <si>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</si>
  <si>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</si>
  <si>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</si>
  <si>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</si>
  <si>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</si>
  <si>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</si>
  <si>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</si>
  <si>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</si>
  <si>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</si>
  <si>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</si>
  <si>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</si>
  <si>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</si>
  <si>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</si>
  <si>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</si>
  <si>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</si>
  <si>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</si>
  <si>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</si>
  <si>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</si>
  <si>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</si>
  <si>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</si>
  <si>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</si>
  <si>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</si>
  <si>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</si>
  <si>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</si>
  <si>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</si>
  <si>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</si>
  <si>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</si>
  <si>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</si>
  <si>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</si>
  <si>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</si>
  <si>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</si>
  <si>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</si>
  <si>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</si>
  <si>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</si>
  <si>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</si>
  <si>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</si>
  <si>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</si>
  <si>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</si>
  <si>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</si>
  <si>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</si>
  <si>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</si>
  <si>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</si>
  <si>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</si>
  <si>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</si>
  <si>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</si>
  <si>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</si>
  <si>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</si>
  <si>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</si>
  <si>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</si>
  <si>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</si>
  <si>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</si>
  <si>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</si>
  <si>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</si>
  <si>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</si>
  <si>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</si>
  <si>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</si>
  <si>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</si>
  <si>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</si>
  <si>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</si>
  <si>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</si>
  <si>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</si>
  <si>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</si>
  <si>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</si>
  <si>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</si>
  <si>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</si>
  <si>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</si>
  <si>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</si>
  <si>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</si>
  <si>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</si>
  <si>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</si>
  <si>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</si>
  <si>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</si>
  <si>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</si>
  <si>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</si>
  <si>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</si>
  <si>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</si>
  <si>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</si>
  <si>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</si>
  <si>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</si>
  <si>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</si>
  <si>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</si>
  <si>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</si>
  <si>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</si>
  <si>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</si>
  <si>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</si>
  <si>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</si>
  <si>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</si>
  <si>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</si>
  <si>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</si>
  <si>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</si>
  <si>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</si>
  <si>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</si>
  <si>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</si>
  <si>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</si>
  <si>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</si>
  <si>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</si>
  <si>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</si>
  <si>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</si>
  <si>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</si>
  <si>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</si>
  <si>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</si>
  <si>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</si>
  <si>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</si>
  <si>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</si>
  <si>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</si>
  <si>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</si>
  <si>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</si>
  <si>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</si>
  <si>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</si>
  <si>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</si>
  <si>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</si>
  <si>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</si>
  <si>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</si>
  <si>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</si>
  <si>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</si>
  <si>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</si>
  <si>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</si>
  <si>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</si>
  <si>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</si>
  <si>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</si>
  <si>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</si>
  <si>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</si>
  <si>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</si>
  <si>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</si>
  <si>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</si>
  <si>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</si>
  <si>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</si>
  <si>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</si>
  <si>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</si>
  <si>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</si>
  <si>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</si>
  <si>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</si>
  <si>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</si>
  <si>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</si>
  <si>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</si>
  <si>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</si>
  <si>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</si>
  <si>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</si>
  <si>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</si>
  <si>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</si>
  <si>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</si>
  <si>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</si>
  <si>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</si>
  <si>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</si>
  <si>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</si>
  <si>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</si>
  <si>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</si>
  <si>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</si>
  <si>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</si>
  <si>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</si>
  <si>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</si>
  <si>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</si>
  <si>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</si>
  <si>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</si>
  <si>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</si>
  <si>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</si>
  <si>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</si>
  <si>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</si>
  <si>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</si>
  <si>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</si>
  <si>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</si>
  <si>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</si>
  <si>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</si>
  <si>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</si>
  <si>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</si>
  <si>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</si>
  <si>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</si>
  <si>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</si>
  <si>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</si>
  <si>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</si>
  <si>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</si>
  <si>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</si>
  <si>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</si>
  <si>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</si>
  <si>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</si>
  <si>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</si>
  <si>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</si>
  <si>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</si>
  <si>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</si>
  <si>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</si>
  <si>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</si>
  <si>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</si>
  <si>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</si>
  <si>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</si>
  <si>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</si>
  <si>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</si>
  <si>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</si>
  <si>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</si>
  <si>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</si>
  <si>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</si>
  <si>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</si>
  <si>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</si>
  <si>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</si>
  <si>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</si>
  <si>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</si>
  <si>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</si>
  <si>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</si>
  <si>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</si>
  <si>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</si>
  <si>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</si>
  <si>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</si>
  <si>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</si>
  <si>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</si>
  <si>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</si>
  <si>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</si>
  <si>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</si>
  <si>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</si>
  <si>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</si>
  <si>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</si>
  <si>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</si>
  <si>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</si>
  <si>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</si>
  <si>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</si>
  <si>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</si>
  <si>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</si>
  <si>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</si>
  <si>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</si>
  <si>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</si>
  <si>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</si>
  <si>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</si>
  <si>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</si>
  <si>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</si>
  <si>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</si>
  <si>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</si>
  <si>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</si>
  <si>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</si>
  <si>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</si>
  <si>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</si>
  <si>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</si>
  <si>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</si>
  <si>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</si>
  <si>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</si>
  <si>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</si>
  <si>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</si>
  <si>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</si>
  <si>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</si>
  <si>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</si>
  <si>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</si>
  <si>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</si>
  <si>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</si>
  <si>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</si>
  <si>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</si>
  <si>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</si>
  <si>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</si>
  <si>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</si>
  <si>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</si>
  <si>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</si>
  <si>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</si>
  <si>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</si>
  <si>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</si>
  <si>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</si>
  <si>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</si>
  <si>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</si>
  <si>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</si>
  <si>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</si>
  <si>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</si>
  <si>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</si>
  <si>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</si>
  <si>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</si>
  <si>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</si>
  <si>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</si>
  <si>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</si>
  <si>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</si>
  <si>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</si>
  <si>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</si>
  <si>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</si>
  <si>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</si>
  <si>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</si>
  <si>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</si>
  <si>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</si>
  <si>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</si>
  <si>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</si>
  <si>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</si>
  <si>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</si>
  <si>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</si>
  <si>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</si>
  <si>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</si>
  <si>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</si>
  <si>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</si>
  <si>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</si>
  <si>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</si>
  <si>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</si>
  <si>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</si>
  <si>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</si>
  <si>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</si>
  <si>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</si>
  <si>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</si>
  <si>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</si>
  <si>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</si>
  <si>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</si>
  <si>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</si>
  <si>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</si>
  <si>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</si>
  <si>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</si>
  <si>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</si>
  <si>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</si>
  <si>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</si>
  <si>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</si>
  <si>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</si>
  <si>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</si>
  <si>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</si>
  <si>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</si>
  <si>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</si>
  <si>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</si>
  <si>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</si>
  <si>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</si>
  <si>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</si>
  <si>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</si>
  <si>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</si>
  <si>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</si>
  <si>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</si>
  <si>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</si>
  <si>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</si>
  <si>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</si>
  <si>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</si>
  <si>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</si>
  <si>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</si>
  <si>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</si>
  <si>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</si>
  <si>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</si>
  <si>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</si>
  <si>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</si>
  <si>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</si>
  <si>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</si>
  <si>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</si>
  <si>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</si>
  <si>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</si>
  <si>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</si>
  <si>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</si>
  <si>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</si>
  <si>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</si>
  <si>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</si>
  <si>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</si>
  <si>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</si>
  <si>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</si>
  <si>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</si>
  <si>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</si>
  <si>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</si>
  <si>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</si>
  <si>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</si>
  <si>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</si>
  <si>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</si>
  <si>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</si>
  <si>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</si>
  <si>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</si>
  <si>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</si>
  <si>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</si>
  <si>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</si>
  <si>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</si>
  <si>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</si>
  <si>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</si>
  <si>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</si>
  <si>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</si>
  <si>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</si>
  <si>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</si>
  <si>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</si>
  <si>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</si>
  <si>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</si>
  <si>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</si>
  <si>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</si>
  <si>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</si>
  <si>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</si>
  <si>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</si>
  <si>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</si>
  <si>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</si>
  <si>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</si>
  <si>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</si>
  <si>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</si>
  <si>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</si>
  <si>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</si>
  <si>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</si>
  <si>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</si>
  <si>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</si>
  <si>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</si>
  <si>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</si>
  <si>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</si>
  <si>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</si>
  <si>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</si>
  <si>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</si>
  <si>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</si>
  <si>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</si>
  <si>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</si>
  <si>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</si>
  <si>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</si>
  <si>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</si>
  <si>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</si>
  <si>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</si>
  <si>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</si>
  <si>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</si>
  <si>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</si>
  <si>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</si>
  <si>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</si>
  <si>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</si>
  <si>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</si>
  <si>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</si>
  <si>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</si>
  <si>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</si>
  <si>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</si>
  <si>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</si>
  <si>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</si>
  <si>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</si>
  <si>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</si>
  <si>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</si>
  <si>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</si>
  <si>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</si>
  <si>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</si>
  <si>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</si>
  <si>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</si>
  <si>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</si>
  <si>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</si>
  <si>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</si>
  <si>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</si>
  <si>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</si>
  <si>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</si>
  <si>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</si>
  <si>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</si>
  <si>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</si>
  <si>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</si>
  <si>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</si>
  <si>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</si>
  <si>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</si>
  <si>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</si>
  <si>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</si>
  <si>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</si>
  <si>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</si>
  <si>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</si>
  <si>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</si>
  <si>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</si>
  <si>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</si>
  <si>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</si>
  <si>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</si>
  <si>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</si>
  <si>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</si>
  <si>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</si>
  <si>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</si>
  <si>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</si>
  <si>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</si>
  <si>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</si>
  <si>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</si>
  <si>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</si>
  <si>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</si>
  <si>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</si>
  <si>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</si>
  <si>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</si>
  <si>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</si>
  <si>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</si>
  <si>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</si>
  <si>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</si>
  <si>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</si>
  <si>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</si>
  <si>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</si>
  <si>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</si>
  <si>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</si>
  <si>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</si>
  <si>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</si>
  <si>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</si>
  <si>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</si>
  <si>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</si>
  <si>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</si>
  <si>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</si>
  <si>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</si>
  <si>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</si>
  <si>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</si>
  <si>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</si>
  <si>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</si>
  <si>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</si>
  <si>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</si>
  <si>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</si>
  <si>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</si>
  <si>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</si>
  <si>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</si>
  <si>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</si>
  <si>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</si>
  <si>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</si>
  <si>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</si>
  <si>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</si>
  <si>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</si>
  <si>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</si>
  <si>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</si>
  <si>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</si>
  <si>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</si>
  <si>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</si>
  <si>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</si>
  <si>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</si>
  <si>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</si>
  <si>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</si>
  <si>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</si>
  <si>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</si>
  <si>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</si>
  <si>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</si>
  <si>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</si>
  <si>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</si>
  <si>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</si>
  <si>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</si>
  <si>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</si>
  <si>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</si>
  <si>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</si>
  <si>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</si>
  <si>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</si>
  <si>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</si>
  <si>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</si>
  <si>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</si>
  <si>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</si>
  <si>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</si>
  <si>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</si>
  <si>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</si>
  <si>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</si>
  <si>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</si>
  <si>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</si>
  <si>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</si>
  <si>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</si>
  <si>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</si>
  <si>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</si>
  <si>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</si>
  <si>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</si>
  <si>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</si>
  <si>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</si>
  <si>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</si>
  <si>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</si>
  <si>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</si>
  <si>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</si>
  <si>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</si>
  <si>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</si>
  <si>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</si>
  <si>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</si>
  <si>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</si>
  <si>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</si>
  <si>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</si>
  <si>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</si>
  <si>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</si>
  <si>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</si>
  <si>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</si>
  <si>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</si>
  <si>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</si>
  <si>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</si>
  <si>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</si>
  <si>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</si>
  <si>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</si>
  <si>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</si>
  <si>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</si>
  <si>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</si>
  <si>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</si>
  <si>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</si>
  <si>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</si>
  <si>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</si>
  <si>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</si>
  <si>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</si>
  <si>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</si>
  <si>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</si>
  <si>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</si>
  <si>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</si>
  <si>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</si>
  <si>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</si>
  <si>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</si>
  <si>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</si>
  <si>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</si>
  <si>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</si>
  <si>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</si>
  <si>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</si>
  <si>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</si>
  <si>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</si>
  <si>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</si>
  <si>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</si>
  <si>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</si>
  <si>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</si>
  <si>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</si>
  <si>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</si>
  <si>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</si>
  <si>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</si>
  <si>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</si>
  <si>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</si>
  <si>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</si>
  <si>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</si>
  <si>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</si>
  <si>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</si>
  <si>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</si>
  <si>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</si>
  <si>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</si>
  <si>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</si>
  <si>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</si>
  <si>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</si>
  <si>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</si>
  <si>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</si>
  <si>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</si>
  <si>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</si>
  <si>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</si>
  <si>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</si>
  <si>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</si>
  <si>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</si>
  <si>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</si>
  <si>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</si>
  <si>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</si>
  <si>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</si>
  <si>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</si>
  <si>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</si>
  <si>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</si>
  <si>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</si>
  <si>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</si>
  <si>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</si>
  <si>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</si>
  <si>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</si>
  <si>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</si>
  <si>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</si>
  <si>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</si>
  <si>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</si>
  <si>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</si>
  <si>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</si>
  <si>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</si>
  <si>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</si>
  <si>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</si>
  <si>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</si>
  <si>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</si>
  <si>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</si>
  <si>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</si>
  <si>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</si>
  <si>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</si>
  <si>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</si>
  <si>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</si>
  <si>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</si>
  <si>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</si>
  <si>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</si>
  <si>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</si>
  <si>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</si>
  <si>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</si>
  <si>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</si>
  <si>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</si>
  <si>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</si>
  <si>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</si>
  <si>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</si>
  <si>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</si>
  <si>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</si>
  <si>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</si>
  <si>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</si>
  <si>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</si>
  <si>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</si>
  <si>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</si>
  <si>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</si>
  <si>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</si>
  <si>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</si>
  <si>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</si>
  <si>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</si>
  <si>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</si>
  <si>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</si>
  <si>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</si>
  <si>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</si>
  <si>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</si>
  <si>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</si>
  <si>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</si>
  <si>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</si>
  <si>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</si>
  <si>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</si>
  <si>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</si>
  <si>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</si>
  <si>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</si>
  <si>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</si>
  <si>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</si>
  <si>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</si>
  <si>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</si>
  <si>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</si>
  <si>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</si>
  <si>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</si>
  <si>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</si>
  <si>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</si>
  <si>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</si>
  <si>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</si>
  <si>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</si>
  <si>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</si>
  <si>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</si>
  <si>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</si>
  <si>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</si>
  <si>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</si>
  <si>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</si>
  <si>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</si>
  <si>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</si>
  <si>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</si>
  <si>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</si>
  <si>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</si>
  <si>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</si>
  <si>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</si>
  <si>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</si>
  <si>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</si>
  <si>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</si>
  <si>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</si>
  <si>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</si>
  <si>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</si>
  <si>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</si>
  <si>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</si>
  <si>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</si>
  <si>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</si>
  <si>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</si>
  <si>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</si>
  <si>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</si>
  <si>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</si>
  <si>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</si>
  <si>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</si>
  <si>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</si>
  <si>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</si>
  <si>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</si>
  <si>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</si>
  <si>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</si>
  <si>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</si>
  <si>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</si>
  <si>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</si>
  <si>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</si>
  <si>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</si>
  <si>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</si>
  <si>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</si>
  <si>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</si>
  <si>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</si>
  <si>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</si>
  <si>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</si>
  <si>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</si>
  <si>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</si>
  <si>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</si>
  <si>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</si>
  <si>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</si>
  <si>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</si>
  <si>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</si>
  <si>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</si>
  <si>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</si>
  <si>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</si>
  <si>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</si>
  <si>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</si>
  <si>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</si>
  <si>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</si>
  <si>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</si>
  <si>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</si>
  <si>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</si>
  <si>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</si>
  <si>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</si>
  <si>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</si>
  <si>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</si>
  <si>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</si>
  <si>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</si>
  <si>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</si>
  <si>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</si>
  <si>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</si>
  <si>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</si>
  <si>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</si>
  <si>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</si>
  <si>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</si>
  <si>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</si>
  <si>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</si>
  <si>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</si>
  <si>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</si>
  <si>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</si>
  <si>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</si>
  <si>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</si>
  <si>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</si>
  <si>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</si>
  <si>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</si>
  <si>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</si>
  <si>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</si>
  <si>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</si>
  <si>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</si>
  <si>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</si>
  <si>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</si>
  <si>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</si>
  <si>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</si>
  <si>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</si>
  <si>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</si>
  <si>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</si>
  <si>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</si>
  <si>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</si>
  <si>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</si>
  <si>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</si>
  <si>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</si>
  <si>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</si>
  <si>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</si>
  <si>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</si>
  <si>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</si>
  <si>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</si>
  <si>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</si>
  <si>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</si>
  <si>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</si>
  <si>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</si>
  <si>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</si>
  <si>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</si>
  <si>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</si>
  <si>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</si>
  <si>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</si>
  <si>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</si>
  <si>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</si>
  <si>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</si>
  <si>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</si>
  <si>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</si>
  <si>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</si>
  <si>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</si>
  <si>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</si>
  <si>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</si>
  <si>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</si>
  <si>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</si>
  <si>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</si>
  <si>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</si>
  <si>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</si>
  <si>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</si>
  <si>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</si>
  <si>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</si>
  <si>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</si>
  <si>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</si>
  <si>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</si>
  <si>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</si>
  <si>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</si>
  <si>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</si>
  <si>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</si>
  <si>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</si>
  <si>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</si>
  <si>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</si>
  <si>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</si>
  <si>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</si>
  <si>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</si>
  <si>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</si>
  <si>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</si>
  <si>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</si>
  <si>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</si>
  <si>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</si>
  <si>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</si>
  <si>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</si>
  <si>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</si>
  <si>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</si>
  <si>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</si>
  <si>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</si>
  <si>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</si>
  <si>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</si>
  <si>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</si>
  <si>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</si>
  <si>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</si>
  <si>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</si>
  <si>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</si>
  <si>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</si>
  <si>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</si>
  <si>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</si>
  <si>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</si>
  <si>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</si>
  <si>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</si>
  <si>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</si>
  <si>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</si>
  <si>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</si>
  <si>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</si>
  <si>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</si>
  <si>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</si>
  <si>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</si>
  <si>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</si>
  <si>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</si>
  <si>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</si>
  <si>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</si>
  <si>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</si>
  <si>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</si>
  <si>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</si>
  <si>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</si>
  <si>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</si>
  <si>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</si>
  <si>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</si>
  <si>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</si>
  <si>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</si>
  <si>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</si>
  <si>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</si>
  <si>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</si>
  <si>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</si>
  <si>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</si>
  <si>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</si>
  <si>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</si>
  <si>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</si>
  <si>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</si>
  <si>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</si>
  <si>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</si>
  <si>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</si>
  <si>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</si>
  <si>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</si>
  <si>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</si>
  <si>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</si>
  <si>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</si>
  <si>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</si>
  <si>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</si>
  <si>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</si>
  <si>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</si>
  <si>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</si>
  <si>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</si>
  <si>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</si>
  <si>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</si>
  <si>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</si>
  <si>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</si>
  <si>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</si>
  <si>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</si>
  <si>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</si>
  <si>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</si>
  <si>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</si>
  <si>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</si>
  <si>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</si>
  <si>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</si>
  <si>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</si>
  <si>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</si>
  <si>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</si>
  <si>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</si>
  <si>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</si>
  <si>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</si>
  <si>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</si>
  <si>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</si>
  <si>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</si>
  <si>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</si>
  <si>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</si>
  <si>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</si>
  <si>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</si>
  <si>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</si>
  <si>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</si>
  <si>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</si>
  <si>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</si>
  <si>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</si>
  <si>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</si>
  <si>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</si>
  <si>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</si>
  <si>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</si>
  <si>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</si>
  <si>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</si>
  <si>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</si>
  <si>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</si>
  <si>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</si>
  <si>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</si>
  <si>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</si>
  <si>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</si>
  <si>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</si>
  <si>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</si>
  <si>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</si>
  <si>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</si>
  <si>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</si>
  <si>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</si>
  <si>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</si>
  <si>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</si>
  <si>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</si>
  <si>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</si>
  <si>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</si>
  <si>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</si>
  <si>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</si>
  <si>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</si>
  <si>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</si>
  <si>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</si>
  <si>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</si>
  <si>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</si>
  <si>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</si>
  <si>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</si>
  <si>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</si>
  <si>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</si>
  <si>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</si>
  <si>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</si>
  <si>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</si>
  <si>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</si>
  <si>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</si>
  <si>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</si>
  <si>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</si>
  <si>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</si>
  <si>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</si>
  <si>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</si>
  <si>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</si>
  <si>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</si>
  <si>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</si>
  <si>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</si>
  <si>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</si>
  <si>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</si>
  <si>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</si>
  <si>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</si>
  <si>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</si>
  <si>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</si>
  <si>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</si>
  <si>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</si>
  <si>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</si>
  <si>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</si>
  <si>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</si>
  <si>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</si>
  <si>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</si>
  <si>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</si>
  <si>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</si>
  <si>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</si>
  <si>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</si>
  <si>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</si>
  <si>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</si>
  <si>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</si>
  <si>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</si>
  <si>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</si>
  <si>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</si>
  <si>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</si>
  <si>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</si>
  <si>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</si>
  <si>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</si>
  <si>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</si>
  <si>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</si>
  <si>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</si>
  <si>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</si>
  <si>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</si>
  <si>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</si>
  <si>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</si>
  <si>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</si>
  <si>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</si>
  <si>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</si>
  <si>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</si>
  <si>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</si>
  <si>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</si>
  <si>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</si>
  <si>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</si>
  <si>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</si>
  <si>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</si>
  <si>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</si>
  <si>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</si>
  <si>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</si>
  <si>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</si>
  <si>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</si>
  <si>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</si>
  <si>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</si>
  <si>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</si>
  <si>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</si>
  <si>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</si>
  <si>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</si>
  <si>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</si>
  <si>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</si>
  <si>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</si>
  <si>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</si>
  <si>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</si>
  <si>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</si>
  <si>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</si>
  <si>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</si>
  <si>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</si>
  <si>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</si>
  <si>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</si>
  <si>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</si>
  <si>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</si>
  <si>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</si>
  <si>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</si>
  <si>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</si>
  <si>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</si>
  <si>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</si>
  <si>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</si>
  <si>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</si>
  <si>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</si>
  <si>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</si>
  <si>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</si>
  <si>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</si>
  <si>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</si>
  <si>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</si>
  <si>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</si>
  <si>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</si>
  <si>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</si>
  <si>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</si>
  <si>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</si>
  <si>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</si>
  <si>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</si>
  <si>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</si>
  <si>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</si>
  <si>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</si>
  <si>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</si>
  <si>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</si>
  <si>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</si>
  <si>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</si>
  <si>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</si>
  <si>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</si>
  <si>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</si>
  <si>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</si>
  <si>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</si>
  <si>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</si>
  <si>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</si>
  <si>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</si>
  <si>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</si>
  <si>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</si>
  <si>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</si>
  <si>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</si>
  <si>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</si>
  <si>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</si>
  <si>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</si>
  <si>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</si>
  <si>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</si>
  <si>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</si>
  <si>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</si>
  <si>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</si>
  <si>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</si>
  <si>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</si>
  <si>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</si>
  <si>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</si>
  <si>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</si>
  <si>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</si>
  <si>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</si>
  <si>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</si>
  <si>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</si>
  <si>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</si>
  <si>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</si>
  <si>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</si>
  <si>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</si>
  <si>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</si>
  <si>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</si>
  <si>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</si>
  <si>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</si>
  <si>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</si>
  <si>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</si>
  <si>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</si>
  <si>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</si>
  <si>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</si>
  <si>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</si>
  <si>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</si>
  <si>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</si>
  <si>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</si>
  <si>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</si>
  <si>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</si>
  <si>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</si>
  <si>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</si>
  <si>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</si>
  <si>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</si>
  <si>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</si>
  <si>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</si>
  <si>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</si>
  <si>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</si>
  <si>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</si>
  <si>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</si>
  <si>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</si>
  <si>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</si>
  <si>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</si>
  <si>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</si>
  <si>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</si>
  <si>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</si>
  <si>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</si>
  <si>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</si>
  <si>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</si>
  <si>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</si>
  <si>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</si>
  <si>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</si>
  <si>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</si>
  <si>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</si>
  <si>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</si>
  <si>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</si>
  <si>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</si>
  <si>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</si>
  <si>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</si>
  <si>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</si>
  <si>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</si>
  <si>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</si>
  <si>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</si>
  <si>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</si>
  <si>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</si>
  <si>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</si>
  <si>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</si>
  <si>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</si>
  <si>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</si>
  <si>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</si>
  <si>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</si>
  <si>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</si>
  <si>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</si>
  <si>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</si>
  <si>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</si>
  <si>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</si>
  <si>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</si>
  <si>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</si>
  <si>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</si>
  <si>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</si>
  <si>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</si>
  <si>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</si>
  <si>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</si>
  <si>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</si>
  <si>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</si>
  <si>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</si>
  <si>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</si>
  <si>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</si>
  <si>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</si>
  <si>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</si>
  <si>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</si>
  <si>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</si>
  <si>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</si>
  <si>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</si>
  <si>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</si>
  <si>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</si>
  <si>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</si>
  <si>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</si>
  <si>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</si>
  <si>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</si>
  <si>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</si>
  <si>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</si>
  <si>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</si>
  <si>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</si>
  <si>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</si>
  <si>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</si>
  <si>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</si>
  <si>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</si>
  <si>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</si>
  <si>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</si>
  <si>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</si>
  <si>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</si>
  <si>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</si>
  <si>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</si>
  <si>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</si>
  <si>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</si>
  <si>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</si>
  <si>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</si>
  <si>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</si>
  <si>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</si>
  <si>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</si>
  <si>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</si>
  <si>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</si>
  <si>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</si>
  <si>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</si>
  <si>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</si>
  <si>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</si>
  <si>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</si>
  <si>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</si>
  <si>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</si>
  <si>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</si>
  <si>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</si>
  <si>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</si>
  <si>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</si>
  <si>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</si>
  <si>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</si>
  <si>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</si>
  <si>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</si>
  <si>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</si>
  <si>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</si>
  <si>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</si>
  <si>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</si>
  <si>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</si>
  <si>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</si>
  <si>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</si>
  <si>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</si>
  <si>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</si>
  <si>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</si>
  <si>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</si>
  <si>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</si>
  <si>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</si>
  <si>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</si>
  <si>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</si>
  <si>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</si>
  <si>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</si>
  <si>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</si>
  <si>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</si>
  <si>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</si>
  <si>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</si>
  <si>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</si>
  <si>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</si>
  <si>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</si>
  <si>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</si>
  <si>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</si>
  <si>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</si>
  <si>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</si>
  <si>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</si>
  <si>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</si>
  <si>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</si>
  <si>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</si>
  <si>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</si>
  <si>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</si>
  <si>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</si>
  <si>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</si>
  <si>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</si>
  <si>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</si>
  <si>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</si>
  <si>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</si>
  <si>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</si>
  <si>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</si>
  <si>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</si>
  <si>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</si>
  <si>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</si>
  <si>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</si>
  <si>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</si>
  <si>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</si>
  <si>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</si>
  <si>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</si>
  <si>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</si>
  <si>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</si>
  <si>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</si>
  <si>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</si>
  <si>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</si>
  <si>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</si>
  <si>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</si>
  <si>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</si>
  <si>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</si>
  <si>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</si>
  <si>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</si>
  <si>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</si>
  <si>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</si>
  <si>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</si>
  <si>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</si>
  <si>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</si>
  <si>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</si>
  <si>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</si>
  <si>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</si>
  <si>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</si>
  <si>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</si>
  <si>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</si>
  <si>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</si>
  <si>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</si>
  <si>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</si>
  <si>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</si>
  <si>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</si>
  <si>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</si>
  <si>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</si>
  <si>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</si>
  <si>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</si>
  <si>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</si>
  <si>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</si>
  <si>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</si>
  <si>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</si>
  <si>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</si>
  <si>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</si>
  <si>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</si>
  <si>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</si>
  <si>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</si>
  <si>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</si>
  <si>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</si>
  <si>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</si>
  <si>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</si>
  <si>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</si>
  <si>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</si>
  <si>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</si>
  <si>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</si>
  <si>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</si>
  <si>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</si>
  <si>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</si>
  <si>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</si>
  <si>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</si>
  <si>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</si>
  <si>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</si>
  <si>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</si>
  <si>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</si>
  <si>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</si>
  <si>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</si>
  <si>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</si>
  <si>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</si>
  <si>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</si>
  <si>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</si>
  <si>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</si>
  <si>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</si>
  <si>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</si>
  <si>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</si>
  <si>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</si>
  <si>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</si>
  <si>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</si>
  <si>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</si>
  <si>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</si>
  <si>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</si>
  <si>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</si>
  <si>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</si>
  <si>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</si>
  <si>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</si>
  <si>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</si>
  <si>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</si>
  <si>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</si>
  <si>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</si>
  <si>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</si>
  <si>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</si>
  <si>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</si>
  <si>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</si>
  <si>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</si>
  <si>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</si>
  <si>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</si>
  <si>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</si>
  <si>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</si>
  <si>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</si>
  <si>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</si>
  <si>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</si>
  <si>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</si>
  <si>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</si>
  <si>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</si>
  <si>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</si>
  <si>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</si>
  <si>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</si>
  <si>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</si>
  <si>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</si>
  <si>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</si>
  <si>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</si>
  <si>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</si>
  <si>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</si>
  <si>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</si>
  <si>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</si>
  <si>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</si>
  <si>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</si>
  <si>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</si>
  <si>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</si>
  <si>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</si>
  <si>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</si>
  <si>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</si>
  <si>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</si>
  <si>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</si>
  <si>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</si>
  <si>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</si>
  <si>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</si>
  <si>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</si>
  <si>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</si>
  <si>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</si>
  <si>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</si>
  <si>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</si>
  <si>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</si>
  <si>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</si>
  <si>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</si>
  <si>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</si>
  <si>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</si>
  <si>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</si>
  <si>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</si>
  <si>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</si>
  <si>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</si>
  <si>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</si>
  <si>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</si>
  <si>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</si>
  <si>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</si>
  <si>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</si>
  <si>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</si>
  <si>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</si>
  <si>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</si>
  <si>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</si>
  <si>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</si>
  <si>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</si>
  <si>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</si>
  <si>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</si>
  <si>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</si>
  <si>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</si>
  <si>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</si>
  <si>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</si>
  <si>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</si>
  <si>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</si>
  <si>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</si>
  <si>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</si>
  <si>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</si>
  <si>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</si>
  <si>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</si>
  <si>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</si>
  <si>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</si>
  <si>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</si>
  <si>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</si>
  <si>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</si>
  <si>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</si>
  <si>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</si>
  <si>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</si>
  <si>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</si>
  <si>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</si>
  <si>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</si>
  <si>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</si>
  <si>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</si>
  <si>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</si>
  <si>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</si>
  <si>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</si>
  <si>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</si>
  <si>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</si>
  <si>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</si>
  <si>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</si>
  <si>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</si>
  <si>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</si>
  <si>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</si>
  <si>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</si>
  <si>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</si>
  <si>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</si>
  <si>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</si>
  <si>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</si>
  <si>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</si>
  <si>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</si>
  <si>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</si>
  <si>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</si>
  <si>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</si>
  <si>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</si>
  <si>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</si>
  <si>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</si>
  <si>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</si>
  <si>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</si>
  <si>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</si>
  <si>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</si>
  <si>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</si>
  <si>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</si>
  <si>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</si>
  <si>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</si>
  <si>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</si>
  <si>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</si>
  <si>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</si>
  <si>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</si>
  <si>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</si>
  <si>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</si>
  <si>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</si>
  <si>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</si>
  <si>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</si>
  <si>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</si>
  <si>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</si>
  <si>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</si>
  <si>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</si>
  <si>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</si>
  <si>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</si>
  <si>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</si>
  <si>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</si>
  <si>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</si>
  <si>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</si>
  <si>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</si>
  <si>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</si>
  <si>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</si>
  <si>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</si>
  <si>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</si>
  <si>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</si>
  <si>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</si>
  <si>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</si>
  <si>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</si>
  <si>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</si>
  <si>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</si>
  <si>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</si>
  <si>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</si>
  <si>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</si>
  <si>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</si>
  <si>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</si>
  <si>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</si>
  <si>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</si>
  <si>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</si>
  <si>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</si>
  <si>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</si>
  <si>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</si>
  <si>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</si>
  <si>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</si>
  <si>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</si>
  <si>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</si>
  <si>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</si>
  <si>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</si>
  <si>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</si>
  <si>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</si>
  <si>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</si>
  <si>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</si>
  <si>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</si>
  <si>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</si>
  <si>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</si>
  <si>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</si>
  <si>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</si>
  <si>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</si>
  <si>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</si>
  <si>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</si>
  <si>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</si>
  <si>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</si>
  <si>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</si>
  <si>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</si>
  <si>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</si>
  <si>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</si>
  <si>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</si>
  <si>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</si>
  <si>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</si>
  <si>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</si>
  <si>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</si>
  <si>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</si>
  <si>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</si>
  <si>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</si>
  <si>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</si>
  <si>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</si>
  <si>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</si>
  <si>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</si>
  <si>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</si>
  <si>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</si>
  <si>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</si>
  <si>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</si>
  <si>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</si>
  <si>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</si>
  <si>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</si>
  <si>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</si>
  <si>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</si>
  <si>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</si>
  <si>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</si>
  <si>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</si>
  <si>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</si>
  <si>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</si>
  <si>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</si>
  <si>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</si>
  <si>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</si>
  <si>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</si>
  <si>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</si>
  <si>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</si>
  <si>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</si>
  <si>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</si>
  <si>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</si>
  <si>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</si>
  <si>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</si>
  <si>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</si>
  <si>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</si>
  <si>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</si>
  <si>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</si>
  <si>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</si>
  <si>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</si>
  <si>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</si>
  <si>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</si>
  <si>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</si>
  <si>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</si>
  <si>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</si>
  <si>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</si>
  <si>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</si>
  <si>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</si>
  <si>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</si>
  <si>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</si>
  <si>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</si>
  <si>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</si>
  <si>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</si>
  <si>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</si>
  <si>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</si>
  <si>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</si>
  <si>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</si>
  <si>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</si>
  <si>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</si>
  <si>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</si>
  <si>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</si>
  <si>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</si>
  <si>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</si>
  <si>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</si>
  <si>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</si>
  <si>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</si>
  <si>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</si>
  <si>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</si>
  <si>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</si>
  <si>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</si>
  <si>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</si>
  <si>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</si>
  <si>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</si>
  <si>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</si>
  <si>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</si>
  <si>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</si>
  <si>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</si>
  <si>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</si>
  <si>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</si>
  <si>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</si>
  <si>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</si>
  <si>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</si>
  <si>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</si>
  <si>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</si>
  <si>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</si>
  <si>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</si>
  <si>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</si>
  <si>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</si>
  <si>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</si>
  <si>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</si>
  <si>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</si>
  <si>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</si>
  <si>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</si>
  <si>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</si>
  <si>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</si>
  <si>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</si>
  <si>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</si>
  <si>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</si>
  <si>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</si>
  <si>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</si>
  <si>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</si>
  <si>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</si>
  <si>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</si>
  <si>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</si>
  <si>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</si>
  <si>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</si>
  <si>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</si>
  <si>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</si>
  <si>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</si>
  <si>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</si>
  <si>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</si>
  <si>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</si>
  <si>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</si>
  <si>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</si>
  <si>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</si>
  <si>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</si>
  <si>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</si>
  <si>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</si>
  <si>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</si>
  <si>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</si>
  <si>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</si>
  <si>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</si>
  <si>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</si>
  <si>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</si>
  <si>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</si>
  <si>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</si>
  <si>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</si>
  <si>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</si>
  <si>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</si>
  <si>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</si>
  <si>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</si>
  <si>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</si>
  <si>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</si>
  <si>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</si>
  <si>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</si>
  <si>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</si>
  <si>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</si>
  <si>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</si>
  <si>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</si>
  <si>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</si>
  <si>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</si>
  <si>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</si>
  <si>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</si>
  <si>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</si>
  <si>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</si>
  <si>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</si>
  <si>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</si>
  <si>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</si>
  <si>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</si>
  <si>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</si>
  <si>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</si>
  <si>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</si>
  <si>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</si>
  <si>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</si>
  <si>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</si>
  <si>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</si>
  <si>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</si>
  <si>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</si>
  <si>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</si>
  <si>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</si>
  <si>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</si>
  <si>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</si>
  <si>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</si>
  <si>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</si>
  <si>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</si>
  <si>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</si>
  <si>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</si>
  <si>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</si>
  <si>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</si>
  <si>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</si>
  <si>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</si>
  <si>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</si>
  <si>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</si>
  <si>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</si>
  <si>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</si>
  <si>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</si>
  <si>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</si>
  <si>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</si>
  <si>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</si>
  <si>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</si>
  <si>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</si>
  <si>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</si>
  <si>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</si>
  <si>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</si>
  <si>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</si>
  <si>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</si>
  <si>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</si>
  <si>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</si>
  <si>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</si>
  <si>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</si>
  <si>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</si>
  <si>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</si>
  <si>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</si>
  <si>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</si>
  <si>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</si>
  <si>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</si>
  <si>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</si>
  <si>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</si>
  <si>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</si>
  <si>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</si>
  <si>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</si>
  <si>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</si>
  <si>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</si>
  <si>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</si>
  <si>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</si>
  <si>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</si>
  <si>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</si>
  <si>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</si>
  <si>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</si>
  <si>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</si>
  <si>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</si>
  <si>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</si>
  <si>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</si>
  <si>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</si>
  <si>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</si>
  <si>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</si>
  <si>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</si>
  <si>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</si>
  <si>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</si>
  <si>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</si>
  <si>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</si>
  <si>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</si>
  <si>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</si>
  <si>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</si>
  <si>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</si>
  <si>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</si>
  <si>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</si>
  <si>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</si>
  <si>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</si>
  <si>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</si>
  <si>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</si>
  <si>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</si>
  <si>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</si>
  <si>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</si>
  <si>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</si>
  <si>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</si>
  <si>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</si>
  <si>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</si>
  <si>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</si>
  <si>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</si>
  <si>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</si>
  <si>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</si>
  <si>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</si>
  <si>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</si>
  <si>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</si>
  <si>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</si>
  <si>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</si>
  <si>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</si>
  <si>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</si>
  <si>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</si>
  <si>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</si>
  <si>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</si>
  <si>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</si>
  <si>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</si>
  <si>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</si>
  <si>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</si>
  <si>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</si>
  <si>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</si>
  <si>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</si>
  <si>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</si>
  <si>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</si>
  <si>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</si>
  <si>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</si>
  <si>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</si>
  <si>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</si>
  <si>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</si>
  <si>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</si>
  <si>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</si>
  <si>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</si>
  <si>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</si>
  <si>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</si>
  <si>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</si>
  <si>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</si>
  <si>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</si>
  <si>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</si>
  <si>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</si>
  <si>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</si>
  <si>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</si>
  <si>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</si>
  <si>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</si>
  <si>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</si>
  <si>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</si>
  <si>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</si>
  <si>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</si>
  <si>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</si>
  <si>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</si>
  <si>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</si>
  <si>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</si>
  <si>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</si>
  <si>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</si>
  <si>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</si>
  <si>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</si>
  <si>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</si>
  <si>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</si>
  <si>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</si>
  <si>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</si>
  <si>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</si>
  <si>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</si>
  <si>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</si>
  <si>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</si>
  <si>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</si>
  <si>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</si>
  <si>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</si>
  <si>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</si>
  <si>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</si>
  <si>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</si>
  <si>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</si>
  <si>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</si>
  <si>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</si>
  <si>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</si>
  <si>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</si>
  <si>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</si>
  <si>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</si>
  <si>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</si>
  <si>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</si>
  <si>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</si>
  <si>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</si>
  <si>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</si>
  <si>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</si>
  <si>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</si>
  <si>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</si>
  <si>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</si>
  <si>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</si>
  <si>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</si>
  <si>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</si>
  <si>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</si>
  <si>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</si>
  <si>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</si>
  <si>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</si>
  <si>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</si>
  <si>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</si>
  <si>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</si>
  <si>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</si>
  <si>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</si>
  <si>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</si>
  <si>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</si>
  <si>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</si>
  <si>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</si>
  <si>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</si>
  <si>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</si>
  <si>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</si>
  <si>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</si>
  <si>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</si>
  <si>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</si>
  <si>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</si>
  <si>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</si>
  <si>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</si>
  <si>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</si>
  <si>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</si>
  <si>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</si>
  <si>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</si>
  <si>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</si>
  <si>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</si>
  <si>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</si>
  <si>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</si>
  <si>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</si>
  <si>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</si>
  <si>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</si>
  <si>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</si>
  <si>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</si>
  <si>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</si>
  <si>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</si>
  <si>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</si>
  <si>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</si>
  <si>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</si>
  <si>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</si>
  <si>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</si>
  <si>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</si>
  <si>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</si>
  <si>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</si>
  <si>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</si>
  <si>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</si>
  <si>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</si>
  <si>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</si>
  <si>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</si>
  <si>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</si>
  <si>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</si>
  <si>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</si>
  <si>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</si>
  <si>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</si>
  <si>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</si>
  <si>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</si>
  <si>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</si>
  <si>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</si>
  <si>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</si>
  <si>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</si>
  <si>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</si>
  <si>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</si>
  <si>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</si>
  <si>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</si>
  <si>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</si>
  <si>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</si>
  <si>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</si>
  <si>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</si>
  <si>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</si>
  <si>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</si>
  <si>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</si>
  <si>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</si>
  <si>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</si>
  <si>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</si>
  <si>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</si>
  <si>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</si>
  <si>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</si>
  <si>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</si>
  <si>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</si>
  <si>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</si>
  <si>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</si>
  <si>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</si>
  <si>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</si>
  <si>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</si>
  <si>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</si>
  <si>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</si>
  <si>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</si>
  <si>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</si>
  <si>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</si>
  <si>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</si>
  <si>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</si>
  <si>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</si>
  <si>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</si>
  <si>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</si>
  <si>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</si>
  <si>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</si>
  <si>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</si>
  <si>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</si>
  <si>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</si>
  <si>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</si>
  <si>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</si>
  <si>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</si>
  <si>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</si>
  <si>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</si>
  <si>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</si>
  <si>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</si>
  <si>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</si>
  <si>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</si>
  <si>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</si>
  <si>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</si>
  <si>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</si>
  <si>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</si>
  <si>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</si>
  <si>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</si>
  <si>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</si>
  <si>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</si>
  <si>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</si>
  <si>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</si>
  <si>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</si>
  <si>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</si>
  <si>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</si>
  <si>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</si>
  <si>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</si>
  <si>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</si>
  <si>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</si>
  <si>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</si>
  <si>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</si>
  <si>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</si>
  <si>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</si>
  <si>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</si>
  <si>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</si>
  <si>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</si>
  <si>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</si>
  <si>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</si>
  <si>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</si>
  <si>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</si>
  <si>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</si>
  <si>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</si>
  <si>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</si>
  <si>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</si>
  <si>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</si>
  <si>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</si>
  <si>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</si>
  <si>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</si>
  <si>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</si>
  <si>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</si>
  <si>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</si>
  <si>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</si>
  <si>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</si>
  <si>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</si>
  <si>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</si>
  <si>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</si>
  <si>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</si>
  <si>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</si>
  <si>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</si>
  <si>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</si>
  <si>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</si>
  <si>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</si>
  <si>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</si>
  <si>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</si>
  <si>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</si>
  <si>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</si>
  <si>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</si>
  <si>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</si>
  <si>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</si>
  <si>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</si>
  <si>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</si>
  <si>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</si>
  <si>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</si>
  <si>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</si>
  <si>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</si>
  <si>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</si>
  <si>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</si>
  <si>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</si>
  <si>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</si>
  <si>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</si>
  <si>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</si>
  <si>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</si>
  <si>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</si>
  <si>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</si>
  <si>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</si>
  <si>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</si>
  <si>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</si>
  <si>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</si>
  <si>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</si>
  <si>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</si>
  <si>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</si>
  <si>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</si>
  <si>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</si>
  <si>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</si>
  <si>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</si>
  <si>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</si>
  <si>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</si>
  <si>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</si>
  <si>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</si>
  <si>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</si>
  <si>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</si>
  <si>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</si>
  <si>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</si>
  <si>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</si>
  <si>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</si>
  <si>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</si>
  <si>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</si>
  <si>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</si>
  <si>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</si>
  <si>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</si>
  <si>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</si>
  <si>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</si>
  <si>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</si>
  <si>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</si>
  <si>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</si>
  <si>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</si>
  <si>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</si>
  <si>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</si>
  <si>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</si>
  <si>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</si>
  <si>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</si>
  <si>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</si>
  <si>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</si>
  <si>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</si>
  <si>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</si>
  <si>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</si>
  <si>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</si>
  <si>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</si>
  <si>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</si>
  <si>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</si>
  <si>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</si>
  <si>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</si>
  <si>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</si>
  <si>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</si>
  <si>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</si>
  <si>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</si>
  <si>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</si>
  <si>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</si>
  <si>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</si>
  <si>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</si>
  <si>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</si>
  <si>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</si>
  <si>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</si>
  <si>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</si>
  <si>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</si>
  <si>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</si>
  <si>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</si>
  <si>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</si>
  <si>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</si>
  <si>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</si>
  <si>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</si>
  <si>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</si>
  <si>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</si>
  <si>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</si>
  <si>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</si>
  <si>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</si>
  <si>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</si>
  <si>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</si>
  <si>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</si>
  <si>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</si>
  <si>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</si>
  <si>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</si>
  <si>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</si>
  <si>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</si>
  <si>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</si>
  <si>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</si>
  <si>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</si>
  <si>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</si>
  <si>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</si>
  <si>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</si>
  <si>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</si>
  <si>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</si>
  <si>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</si>
  <si>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</si>
  <si>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</si>
  <si>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</si>
  <si>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</si>
  <si>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</si>
  <si>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</si>
  <si>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</si>
  <si>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</si>
  <si>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</si>
  <si>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</si>
  <si>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</si>
  <si>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</si>
  <si>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</si>
  <si>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</si>
  <si>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</si>
  <si>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</si>
  <si>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</si>
  <si>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</si>
  <si>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</si>
  <si>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</si>
  <si>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</si>
  <si>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</si>
  <si>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</si>
  <si>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</si>
  <si>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</si>
  <si>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</si>
  <si>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</si>
  <si>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</si>
  <si>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</si>
  <si>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</si>
  <si>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</si>
  <si>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</si>
  <si>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</si>
  <si>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</si>
  <si>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</si>
  <si>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</si>
  <si>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</si>
  <si>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</si>
  <si>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</si>
  <si>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</si>
  <si>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</si>
  <si>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</si>
  <si>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</si>
  <si>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</si>
  <si>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</si>
  <si>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</si>
  <si>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</si>
  <si>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</si>
  <si>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</si>
  <si>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</si>
  <si>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</si>
  <si>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</si>
  <si>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</si>
  <si>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</si>
  <si>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</si>
  <si>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</si>
  <si>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</si>
  <si>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</si>
  <si>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</si>
  <si>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</si>
  <si>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</si>
  <si>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</si>
  <si>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</si>
  <si>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</si>
  <si>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</si>
  <si>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</si>
  <si>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</si>
  <si>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</si>
  <si>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</si>
  <si>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</si>
  <si>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</si>
  <si>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</si>
  <si>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</si>
  <si>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</si>
  <si>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</si>
  <si>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</si>
  <si>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</si>
  <si>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</si>
  <si>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</si>
  <si>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</si>
  <si>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</si>
  <si>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</si>
  <si>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</si>
  <si>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</si>
  <si>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</si>
  <si>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</si>
  <si>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</si>
  <si>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</si>
  <si>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</si>
  <si>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</si>
  <si>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</si>
  <si>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</si>
  <si>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</si>
  <si>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</si>
  <si>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</si>
  <si>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</si>
  <si>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</si>
  <si>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</si>
  <si>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</si>
  <si>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</si>
  <si>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</si>
  <si>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</si>
  <si>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</si>
  <si>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</si>
  <si>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</si>
  <si>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</si>
  <si>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</si>
  <si>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</si>
  <si>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</si>
  <si>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</si>
  <si>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</si>
  <si>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</si>
  <si>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</si>
  <si>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</si>
  <si>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</si>
  <si>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</si>
  <si>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</si>
  <si>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</si>
  <si>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</si>
  <si>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</si>
  <si>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</si>
  <si>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</si>
  <si>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</si>
  <si>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</si>
  <si>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</si>
  <si>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</si>
  <si>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</si>
  <si>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</si>
  <si>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</si>
  <si>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</si>
  <si>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</si>
  <si>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</si>
  <si>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</si>
  <si>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</si>
  <si>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</si>
  <si>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</si>
  <si>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</si>
  <si>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</si>
  <si>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</si>
  <si>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</si>
  <si>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</si>
  <si>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</si>
  <si>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</si>
  <si>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</si>
  <si>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</si>
  <si>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</si>
  <si>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</si>
  <si>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</si>
  <si>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</si>
  <si>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</si>
  <si>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</si>
  <si>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</si>
  <si>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</si>
  <si>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</si>
  <si>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</si>
  <si>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</si>
  <si>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</si>
  <si>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</si>
  <si>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</si>
  <si>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</si>
  <si>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</si>
  <si>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</si>
  <si>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</si>
  <si>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</si>
  <si>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</si>
  <si>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</si>
  <si>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</si>
  <si>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</si>
  <si>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</si>
  <si>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</si>
  <si>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</si>
  <si>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</si>
  <si>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</si>
  <si>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</si>
  <si>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</si>
  <si>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</si>
  <si>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</si>
  <si>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</si>
  <si>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</si>
  <si>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</si>
  <si>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</si>
  <si>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</si>
  <si>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</si>
  <si>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</si>
  <si>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</si>
  <si>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</si>
  <si>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</si>
  <si>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</si>
  <si>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</si>
  <si>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</si>
  <si>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</si>
  <si>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</si>
  <si>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</si>
  <si>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</si>
  <si>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</si>
  <si>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</si>
  <si>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</si>
  <si>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</si>
  <si>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</si>
  <si>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</si>
  <si>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</si>
  <si>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</si>
  <si>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</si>
  <si>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</si>
  <si>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</si>
  <si>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</si>
  <si>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</si>
  <si>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</si>
  <si>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</si>
  <si>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</si>
  <si>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</si>
  <si>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</si>
  <si>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</si>
  <si>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</si>
  <si>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</si>
  <si>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</si>
  <si>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</si>
  <si>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</si>
  <si>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</si>
  <si>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</si>
  <si>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</si>
  <si>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</si>
  <si>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</si>
  <si>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</si>
  <si>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</si>
  <si>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</si>
  <si>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</si>
  <si>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</si>
  <si>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</si>
  <si>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</si>
  <si>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</si>
  <si>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</si>
  <si>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</si>
  <si>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</si>
  <si>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</si>
  <si>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</si>
  <si>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</si>
  <si>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</si>
  <si>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</si>
  <si>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</si>
  <si>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</si>
  <si>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</si>
  <si>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</si>
  <si>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</si>
  <si>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</si>
  <si>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</si>
  <si>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</si>
  <si>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</si>
  <si>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</si>
  <si>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</si>
  <si>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</si>
  <si>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</si>
  <si>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</si>
  <si>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</si>
  <si>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</si>
  <si>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</si>
  <si>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</si>
  <si>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</si>
  <si>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</si>
  <si>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</si>
  <si>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</si>
  <si>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</si>
  <si>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</si>
  <si>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</si>
  <si>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</si>
  <si>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</si>
  <si>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</si>
  <si>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</si>
  <si>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</si>
  <si>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</si>
  <si>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</si>
  <si>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</si>
  <si>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</si>
  <si>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</si>
  <si>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</si>
  <si>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</si>
  <si>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</si>
  <si>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</si>
  <si>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</si>
  <si>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</si>
  <si>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</si>
  <si>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</si>
  <si>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</si>
  <si>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</si>
  <si>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</si>
  <si>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</si>
  <si>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</si>
  <si>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</si>
  <si>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</si>
  <si>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</si>
  <si>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</si>
  <si>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</si>
  <si>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</si>
  <si>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</si>
  <si>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</si>
  <si>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</si>
  <si>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</si>
  <si>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</si>
  <si>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</si>
  <si>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</si>
  <si>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</si>
  <si>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</si>
  <si>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</si>
  <si>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</si>
  <si>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</si>
  <si>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</si>
  <si>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</si>
  <si>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</si>
  <si>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</si>
  <si>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</si>
  <si>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</si>
  <si>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</si>
  <si>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</si>
  <si>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</si>
  <si>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</si>
  <si>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</si>
  <si>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</si>
  <si>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</si>
  <si>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</si>
  <si>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</si>
  <si>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</si>
  <si>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</si>
  <si>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</si>
  <si>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</si>
  <si>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</si>
  <si>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</si>
  <si>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</si>
  <si>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</si>
  <si>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</si>
  <si>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</si>
  <si>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</si>
  <si>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</si>
  <si>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</si>
  <si>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</si>
  <si>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</si>
  <si>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</si>
  <si>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</si>
  <si>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</si>
  <si>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</si>
  <si>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</si>
  <si>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</si>
  <si>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</si>
  <si>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</si>
  <si>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</si>
  <si>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</si>
  <si>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</si>
  <si>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</si>
  <si>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</si>
  <si>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</si>
  <si>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</si>
  <si>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</si>
  <si>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</si>
  <si>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</si>
  <si>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</si>
  <si>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</si>
  <si>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</si>
  <si>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</si>
  <si>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</si>
  <si>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</si>
  <si>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</si>
  <si>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</si>
  <si>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</si>
  <si>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</si>
  <si>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</si>
  <si>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</si>
  <si>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</si>
  <si>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</si>
  <si>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</si>
  <si>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</si>
  <si>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</si>
  <si>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</si>
  <si>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</si>
  <si>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</si>
  <si>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</si>
  <si>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</si>
  <si>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</si>
  <si>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</si>
  <si>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</si>
  <si>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</si>
  <si>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</si>
  <si>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</si>
  <si>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</si>
  <si>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</si>
  <si>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</si>
  <si>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</si>
  <si>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</si>
  <si>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</si>
  <si>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</si>
  <si>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</si>
  <si>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</si>
  <si>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</si>
  <si>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</si>
  <si>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</si>
  <si>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</si>
  <si>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</si>
  <si>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</si>
  <si>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</si>
  <si>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</si>
  <si>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</si>
  <si>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</si>
  <si>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</si>
  <si>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</si>
  <si>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</si>
  <si>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</si>
  <si>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</si>
  <si>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</si>
  <si>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</si>
  <si>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</si>
  <si>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</si>
  <si>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</si>
  <si>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</si>
  <si>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</si>
  <si>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</si>
  <si>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</si>
  <si>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</si>
  <si>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</si>
  <si>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</si>
  <si>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</si>
  <si>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</si>
  <si>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</si>
  <si>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</si>
  <si>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</si>
  <si>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</si>
  <si>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</si>
  <si>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</si>
  <si>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</si>
  <si>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</si>
  <si>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</si>
  <si>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</si>
  <si>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</si>
  <si>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</si>
  <si>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</si>
  <si>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</si>
  <si>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</si>
  <si>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</si>
  <si>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</si>
  <si>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</si>
  <si>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</si>
  <si>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</si>
  <si>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</si>
  <si>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</si>
  <si>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</si>
  <si>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</si>
  <si>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</si>
  <si>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</si>
  <si>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</si>
  <si>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</si>
  <si>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</si>
  <si>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</si>
  <si>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</si>
  <si>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</si>
  <si>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</si>
  <si>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</si>
  <si>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</si>
  <si>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</si>
  <si>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</si>
  <si>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</si>
  <si>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</si>
  <si>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</si>
  <si>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</si>
  <si>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</si>
  <si>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</si>
  <si>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</si>
  <si>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</si>
  <si>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</si>
  <si>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</si>
  <si>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</si>
  <si>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</si>
  <si>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</si>
  <si>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</si>
  <si>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</si>
  <si>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</si>
  <si>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</si>
  <si>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</si>
  <si>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</si>
  <si>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</si>
  <si>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</si>
  <si>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</si>
  <si>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</si>
  <si>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</si>
  <si>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</si>
  <si>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</si>
  <si>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</si>
  <si>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</si>
  <si>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</si>
  <si>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</si>
  <si>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</si>
  <si>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</si>
  <si>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</si>
  <si>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</si>
  <si>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</si>
  <si>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</si>
  <si>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</si>
  <si>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</si>
  <si>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</si>
  <si>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</si>
  <si>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</si>
  <si>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</si>
  <si>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</si>
  <si>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</si>
  <si>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</si>
  <si>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</si>
  <si>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</si>
  <si>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</si>
  <si>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</si>
  <si>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</si>
  <si>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</si>
  <si>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</si>
  <si>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</si>
  <si>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</si>
  <si>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</si>
  <si>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</si>
  <si>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</si>
  <si>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</si>
  <si>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</si>
  <si>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</si>
  <si>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</si>
  <si>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</si>
  <si>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</si>
  <si>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</si>
  <si>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</si>
  <si>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</si>
  <si>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</si>
  <si>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</si>
  <si>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</si>
  <si>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</si>
  <si>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</si>
  <si>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</si>
  <si>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</si>
  <si>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</si>
  <si>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</si>
  <si>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</si>
  <si>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</si>
  <si>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</si>
  <si>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</si>
  <si>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</si>
  <si>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</si>
  <si>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</si>
  <si>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</si>
  <si>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</si>
  <si>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</si>
  <si>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</si>
  <si>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</si>
  <si>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</si>
  <si>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</si>
  <si>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</si>
  <si>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</si>
  <si>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</si>
  <si>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</si>
  <si>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</si>
  <si>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</si>
  <si>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</si>
  <si>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</si>
  <si>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</si>
  <si>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</si>
  <si>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</si>
  <si>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</si>
  <si>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</si>
  <si>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</si>
  <si>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</si>
  <si>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</si>
  <si>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</si>
  <si>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</si>
  <si>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</si>
  <si>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</si>
  <si>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</si>
  <si>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</si>
  <si>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</si>
  <si>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</si>
  <si>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</si>
  <si>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</si>
  <si>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</si>
  <si>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</si>
  <si>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</si>
  <si>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</si>
  <si>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</si>
  <si>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</si>
  <si>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</si>
  <si>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</si>
  <si>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</si>
  <si>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</si>
  <si>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</si>
  <si>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</si>
  <si>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</si>
  <si>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</si>
  <si>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</si>
  <si>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</si>
  <si>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</si>
  <si>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</si>
  <si>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</si>
  <si>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</si>
  <si>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</si>
  <si>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</si>
  <si>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</si>
  <si>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</si>
  <si>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</si>
  <si>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</si>
  <si>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</si>
  <si>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</si>
  <si>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</si>
  <si>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</si>
  <si>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</si>
  <si>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</si>
  <si>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</si>
  <si>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</si>
  <si>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</si>
  <si>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</si>
  <si>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</si>
  <si>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</si>
  <si>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</si>
  <si>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</si>
  <si>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</si>
  <si>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</si>
  <si>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</si>
  <si>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</si>
  <si>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</si>
  <si>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</si>
  <si>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</si>
  <si>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</si>
  <si>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</si>
  <si>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</si>
  <si>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</si>
  <si>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</si>
  <si>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</si>
  <si>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</si>
  <si>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</si>
  <si>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</si>
  <si>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</si>
  <si>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</si>
  <si>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</si>
  <si>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</si>
  <si>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</si>
  <si>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</si>
  <si>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</si>
  <si>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</si>
  <si>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</si>
  <si>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</si>
  <si>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</si>
  <si>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</si>
  <si>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</si>
  <si>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</si>
  <si>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</si>
  <si>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</si>
  <si>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</si>
  <si>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</si>
  <si>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</si>
  <si>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</si>
  <si>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</si>
  <si>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</si>
  <si>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</si>
  <si>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</si>
  <si>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</si>
  <si>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</si>
  <si>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</si>
  <si>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</si>
  <si>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</si>
  <si>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</si>
  <si>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</si>
  <si>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</si>
  <si>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</si>
  <si>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</si>
  <si>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</si>
  <si>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</si>
  <si>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</si>
  <si>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</si>
  <si>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</si>
  <si>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</si>
  <si>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</si>
  <si>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</si>
  <si>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</si>
  <si>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</si>
  <si>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</si>
  <si>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</si>
  <si>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</si>
  <si>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</si>
  <si>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</si>
  <si>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</si>
  <si>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</si>
  <si>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</si>
  <si>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</si>
  <si>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</si>
  <si>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</si>
  <si>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</si>
  <si>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</si>
  <si>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</si>
  <si>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</si>
  <si>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</si>
  <si>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</si>
  <si>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</si>
  <si>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</si>
  <si>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</si>
  <si>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</si>
  <si>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</si>
  <si>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</si>
  <si>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</si>
  <si>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</si>
  <si>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</si>
  <si>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</si>
  <si>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</si>
  <si>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</si>
  <si>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</si>
  <si>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</si>
  <si>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</si>
  <si>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</si>
  <si>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</si>
  <si>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</si>
  <si>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</si>
  <si>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</si>
  <si>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</si>
  <si>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</si>
  <si>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</si>
  <si>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</si>
  <si>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</si>
  <si>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</si>
  <si>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</si>
  <si>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</si>
  <si>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</si>
  <si>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</si>
  <si>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</si>
  <si>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</si>
  <si>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</si>
  <si>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</si>
  <si>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</si>
  <si>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</si>
  <si>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</si>
  <si>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</si>
  <si>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</si>
  <si>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</si>
  <si>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</si>
  <si>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</si>
  <si>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CLFF_1000$$$AE50R0GR12 GRD-Global Health FBB</t>
  </si>
  <si>
    <t>CTEMPEU_1000GB10003254 M157883</t>
  </si>
  <si>
    <t>G000000775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</si>
  <si>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</si>
  <si>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</si>
  <si>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</si>
  <si>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</si>
  <si>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</si>
  <si>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</si>
  <si>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</si>
  <si>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</si>
  <si>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</si>
  <si>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</si>
  <si>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</si>
  <si>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</si>
  <si>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</si>
  <si>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</si>
  <si>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</si>
  <si>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</si>
  <si>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</si>
  <si>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</si>
  <si>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</si>
  <si>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</si>
  <si>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</si>
  <si>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</si>
  <si>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</si>
  <si>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</si>
  <si>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</si>
  <si>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</si>
  <si>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</si>
  <si>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L000005113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</si>
  <si>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</si>
  <si>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</si>
  <si>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</si>
  <si>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</si>
  <si>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</si>
  <si>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</si>
  <si>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</si>
  <si>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</si>
  <si>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 xml:space="preserve">L000011379 </t>
  </si>
  <si>
    <t>L000013773</t>
  </si>
  <si>
    <t>FR7873509</t>
  </si>
  <si>
    <t>CPHOENX_01010000111111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</si>
</sst>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5.899902777775" createdVersion="7" refreshedVersion="7" minRefreshableVersion="3" recordCount="4373" xr:uid="{11839AE3-6158-4318-87AD-2C711D0BF451}">
  <cacheSource type="worksheet">
    <worksheetSource name="Proc"/>
  </cacheSource>
  <cacheFields count="19">
    <cacheField name="App" numFmtId="0">
      <sharedItems containsBlank="1" count="157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7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573">
        <item m="1" x="957"/>
        <item x="0"/>
        <item m="1" x="1027"/>
        <item m="1" x="1448"/>
        <item m="1" x="610"/>
        <item m="1" x="1465"/>
        <item m="1" x="987"/>
        <item m="1" x="1077"/>
        <item m="1" x="1498"/>
        <item m="1" x="1292"/>
        <item m="1" x="980"/>
        <item m="1" x="1564"/>
        <item m="1" x="1310"/>
        <item m="1" x="1554"/>
        <item m="1" x="928"/>
        <item m="1" x="829"/>
        <item m="1" x="533"/>
        <item m="1" x="794"/>
        <item m="1" x="1518"/>
        <item m="1" x="586"/>
        <item m="1" x="894"/>
        <item m="1" x="1262"/>
        <item m="1" x="977"/>
        <item m="1" x="1070"/>
        <item m="1" x="1366"/>
        <item m="1" x="1551"/>
        <item m="1" x="1012"/>
        <item m="1" x="1034"/>
        <item m="1" x="799"/>
        <item m="1" x="1200"/>
        <item m="1" x="959"/>
        <item m="1" x="1505"/>
        <item m="1" x="1162"/>
        <item m="1" x="595"/>
        <item m="1" x="703"/>
        <item m="1" x="1490"/>
        <item m="1" x="1254"/>
        <item m="1" x="508"/>
        <item m="1" x="1340"/>
        <item m="1" x="1006"/>
        <item m="1" x="1301"/>
        <item m="1" x="887"/>
        <item m="1" x="1239"/>
        <item m="1" x="498"/>
        <item m="1" x="528"/>
        <item m="1" x="1567"/>
        <item m="1" x="1246"/>
        <item m="1" x="1314"/>
        <item m="1" x="1421"/>
        <item m="1" x="1190"/>
        <item m="1" x="1288"/>
        <item m="1" x="1127"/>
        <item m="1" x="582"/>
        <item m="1" x="773"/>
        <item m="1" x="1549"/>
        <item m="1" x="1117"/>
        <item m="1" x="1257"/>
        <item m="1" x="785"/>
        <item m="1" x="746"/>
        <item m="1" x="1038"/>
        <item m="1" x="930"/>
        <item m="1" x="963"/>
        <item m="1" x="522"/>
        <item m="1" x="661"/>
        <item m="1" x="1323"/>
        <item m="1" x="1540"/>
        <item m="1" x="726"/>
        <item m="1" x="1131"/>
        <item m="1" x="1141"/>
        <item m="1" x="1318"/>
        <item m="1" x="1428"/>
        <item m="1" x="1306"/>
        <item m="1" x="601"/>
        <item m="1" x="1449"/>
        <item m="1" x="1179"/>
        <item m="1" x="1166"/>
        <item m="1" x="701"/>
        <item m="1" x="1054"/>
        <item m="1" x="1401"/>
        <item m="1" x="519"/>
        <item m="1" x="1098"/>
        <item m="1" x="1451"/>
        <item m="1" x="1289"/>
        <item m="1" x="1024"/>
        <item m="1" x="1066"/>
        <item m="1" x="947"/>
        <item m="1" x="1182"/>
        <item m="1" x="994"/>
        <item m="1" x="1226"/>
        <item m="1" x="710"/>
        <item m="1" x="1539"/>
        <item m="1" x="1064"/>
        <item m="1" x="1350"/>
        <item m="1" x="427"/>
        <item m="1" x="1555"/>
        <item m="1" x="1091"/>
        <item m="1" x="1380"/>
        <item m="1" x="1293"/>
        <item m="1" x="1071"/>
        <item m="1" x="581"/>
        <item m="1" x="588"/>
        <item m="1" x="628"/>
        <item m="1" x="810"/>
        <item m="1" x="1234"/>
        <item m="1" x="995"/>
        <item m="1" x="1111"/>
        <item m="1" x="1174"/>
        <item m="1" x="1321"/>
        <item m="1" x="1404"/>
        <item m="1" x="966"/>
        <item m="1" x="687"/>
        <item m="1" x="530"/>
        <item m="1" x="673"/>
        <item m="1" x="1548"/>
        <item m="1" x="705"/>
        <item m="1" x="1386"/>
        <item m="1" x="1315"/>
        <item m="1" x="933"/>
        <item m="1" x="1005"/>
        <item m="1" x="871"/>
        <item m="1" x="1128"/>
        <item m="1" x="1503"/>
        <item m="1" x="679"/>
        <item m="1" x="627"/>
        <item m="1" x="562"/>
        <item m="1" x="1228"/>
        <item m="1" x="1488"/>
        <item m="1" x="1416"/>
        <item m="1" x="1073"/>
        <item m="1" x="597"/>
        <item m="1" x="1322"/>
        <item m="1" x="774"/>
        <item m="1" x="1028"/>
        <item m="1" x="1203"/>
        <item m="1" x="1311"/>
        <item m="1" x="431"/>
        <item m="1" x="1260"/>
        <item m="1" x="1223"/>
        <item m="1" x="664"/>
        <item m="1" x="1112"/>
        <item m="1" x="1000"/>
        <item m="1" x="953"/>
        <item m="1" x="686"/>
        <item m="1" x="622"/>
        <item m="1" x="862"/>
        <item m="1" x="1049"/>
        <item m="1" x="456"/>
        <item m="1" x="795"/>
        <item m="1" x="654"/>
        <item m="1" x="396"/>
        <item m="1" x="906"/>
        <item m="1" x="1107"/>
        <item m="1" x="989"/>
        <item m="1" x="1035"/>
        <item m="1" x="1354"/>
        <item m="1" x="936"/>
        <item m="1" x="1462"/>
        <item m="1" x="1186"/>
        <item m="1" x="1125"/>
        <item m="1" x="639"/>
        <item m="1" x="1272"/>
        <item m="1" x="1550"/>
        <item m="1" x="1238"/>
        <item m="1" x="1222"/>
        <item m="1" x="509"/>
        <item m="1" x="557"/>
        <item m="1" x="1092"/>
        <item m="1" x="598"/>
        <item m="1" x="1535"/>
        <item m="1" x="1201"/>
        <item m="1" x="1126"/>
        <item m="1" x="1078"/>
        <item m="1" x="879"/>
        <item m="1" x="507"/>
        <item m="1" x="607"/>
        <item m="1" x="713"/>
        <item m="1" x="1446"/>
        <item m="1" x="1478"/>
        <item m="1" x="1177"/>
        <item m="1" x="904"/>
        <item m="1" x="992"/>
        <item m="1" x="502"/>
        <item m="1" x="542"/>
        <item m="1" x="881"/>
        <item m="1" x="1106"/>
        <item m="1" x="1019"/>
        <item m="1" x="677"/>
        <item m="1" x="910"/>
        <item m="1" x="624"/>
        <item m="1" x="819"/>
        <item m="1" x="741"/>
        <item m="1" x="576"/>
        <item m="1" x="712"/>
        <item m="1" x="1082"/>
        <item m="1" x="492"/>
        <item m="1" x="731"/>
        <item m="1" x="523"/>
        <item m="1" x="1216"/>
        <item m="1" x="1405"/>
        <item m="1" x="1015"/>
        <item m="1" x="659"/>
        <item m="1" x="1309"/>
        <item m="1" x="1154"/>
        <item m="1" x="671"/>
        <item m="1" x="672"/>
        <item m="1" x="857"/>
        <item m="1" x="547"/>
        <item m="1" x="736"/>
        <item m="1" x="531"/>
        <item m="1" x="717"/>
        <item m="1" x="1285"/>
        <item m="1" x="796"/>
        <item m="1" x="1163"/>
        <item m="1" x="1213"/>
        <item m="1" x="1347"/>
        <item m="1" x="1351"/>
        <item m="1" x="1068"/>
        <item m="1" x="909"/>
        <item m="1" x="948"/>
        <item m="1" x="1515"/>
        <item m="1" x="808"/>
        <item m="1" x="620"/>
        <item m="1" x="998"/>
        <item m="1" x="455"/>
        <item m="1" x="1519"/>
        <item m="1" x="982"/>
        <item m="1" x="416"/>
        <item m="1" x="1437"/>
        <item m="1" x="1480"/>
        <item m="1" x="1317"/>
        <item m="1" x="694"/>
        <item m="1" x="433"/>
        <item m="1" x="1367"/>
        <item m="1" x="758"/>
        <item m="1" x="394"/>
        <item m="1" x="1538"/>
        <item m="1" x="782"/>
        <item m="1" x="937"/>
        <item m="1" x="1382"/>
        <item m="1" x="469"/>
        <item m="1" x="1294"/>
        <item m="1" x="1102"/>
        <item m="1" x="967"/>
        <item m="1" x="837"/>
        <item m="1" x="584"/>
        <item m="1" x="1085"/>
        <item m="1" x="787"/>
        <item m="1" x="1325"/>
        <item m="1" x="647"/>
        <item m="1" x="1395"/>
        <item m="1" x="1402"/>
        <item m="1" x="1086"/>
        <item m="1" x="1276"/>
        <item m="1" x="693"/>
        <item m="1" x="990"/>
        <item m="1" x="1279"/>
        <item m="1" x="863"/>
        <item m="1" x="1153"/>
        <item m="1" x="792"/>
        <item m="1" x="577"/>
        <item m="1" x="781"/>
        <item m="1" x="1547"/>
        <item m="1" x="1489"/>
        <item m="1" x="634"/>
        <item m="1" x="1435"/>
        <item m="1" x="441"/>
        <item m="1" x="1457"/>
        <item m="1" x="476"/>
        <item m="1" x="778"/>
        <item m="1" x="876"/>
        <item m="1" x="823"/>
        <item m="1" x="1430"/>
        <item m="1" x="1333"/>
        <item m="1" x="574"/>
        <item m="1" x="1144"/>
        <item m="1" x="1352"/>
        <item m="1" x="1486"/>
        <item m="1" x="1393"/>
        <item m="1" x="479"/>
        <item m="1" x="1559"/>
        <item m="1" x="630"/>
        <item m="1" x="911"/>
        <item m="1" x="1355"/>
        <item m="1" x="478"/>
        <item m="1" x="1414"/>
        <item m="1" x="643"/>
        <item m="1" x="1287"/>
        <item m="1" x="1151"/>
        <item m="1" x="1129"/>
        <item m="1" x="708"/>
        <item m="1" x="670"/>
        <item m="1" x="1482"/>
        <item m="1" x="423"/>
        <item m="1" x="605"/>
        <item m="1" x="1264"/>
        <item m="1" x="1375"/>
        <item m="1" x="1302"/>
        <item m="1" x="1506"/>
        <item m="1" x="1010"/>
        <item m="1" x="637"/>
        <item m="1" x="757"/>
        <item m="1" x="1076"/>
        <item m="1" x="818"/>
        <item m="1" x="1146"/>
        <item m="1" x="759"/>
        <item m="1" x="561"/>
        <item m="1" x="1214"/>
        <item m="1" x="616"/>
        <item m="1" x="496"/>
        <item m="1" x="1348"/>
        <item m="1" x="1495"/>
        <item m="1" x="1196"/>
        <item m="1" x="461"/>
        <item m="1" x="1387"/>
        <item m="1" x="1185"/>
        <item m="1" x="1295"/>
        <item m="1" x="1434"/>
        <item m="1" x="662"/>
        <item m="1" x="854"/>
        <item m="1" x="692"/>
        <item m="1" x="960"/>
        <item m="1" x="884"/>
        <item m="1" x="914"/>
        <item m="1" x="1450"/>
        <item m="1" x="896"/>
        <item m="1" x="1099"/>
        <item m="1" x="631"/>
        <item m="1" x="830"/>
        <item m="1" x="804"/>
        <item m="1" x="1147"/>
        <item m="1" x="1050"/>
        <item m="1" x="1278"/>
        <item m="1" x="800"/>
        <item m="1" x="1436"/>
        <item m="1" x="638"/>
        <item m="1" x="564"/>
        <item m="1" x="820"/>
        <item m="1" x="1361"/>
        <item m="1" x="471"/>
        <item m="1" x="472"/>
        <item m="1" x="768"/>
        <item m="1" x="1441"/>
        <item m="1" x="835"/>
        <item m="1" x="480"/>
        <item m="1" x="640"/>
        <item m="1" x="882"/>
        <item m="1" x="1193"/>
        <item m="1" x="1165"/>
        <item m="1" x="836"/>
        <item m="1" x="417"/>
        <item m="1" x="555"/>
        <item m="1" x="767"/>
        <item m="1" x="655"/>
        <item m="1" x="412"/>
        <item m="1" x="1365"/>
        <item m="1" x="1494"/>
        <item m="1" x="964"/>
        <item m="1" x="1394"/>
        <item m="1" x="1454"/>
        <item m="1" x="477"/>
        <item m="1" x="1492"/>
        <item m="1" x="1230"/>
        <item m="1" x="653"/>
        <item m="1" x="839"/>
        <item m="1" x="743"/>
        <item m="1" x="1105"/>
        <item m="1" x="676"/>
        <item m="1" x="892"/>
        <item m="1" x="1187"/>
        <item m="1" x="1312"/>
        <item m="1" x="815"/>
        <item m="1" x="943"/>
        <item m="1" x="755"/>
        <item m="1" x="681"/>
        <item m="1" x="1192"/>
        <item m="1" x="1307"/>
        <item m="1" x="1469"/>
        <item m="1" x="511"/>
        <item m="1" x="715"/>
        <item m="1" x="1155"/>
        <item m="1" x="556"/>
        <item m="1" x="843"/>
        <item m="1" x="1224"/>
        <item m="1" x="489"/>
        <item m="1" x="699"/>
        <item m="1" x="809"/>
        <item m="1" x="1415"/>
        <item m="1" x="648"/>
        <item m="1" x="918"/>
        <item m="1" x="1471"/>
        <item m="1" x="599"/>
        <item m="1" x="788"/>
        <item m="1" x="976"/>
        <item m="1" x="1313"/>
        <item m="1" x="611"/>
        <item m="1" x="867"/>
        <item m="1" x="709"/>
        <item m="1" x="1205"/>
        <item m="1" x="1391"/>
        <item m="1" x="517"/>
        <item m="1" x="737"/>
        <item m="1" x="1473"/>
        <item m="1" x="1438"/>
        <item m="1" x="538"/>
        <item m="1" x="855"/>
        <item m="1" x="1379"/>
        <item m="1" x="1510"/>
        <item m="1" x="1381"/>
        <item m="1" x="1356"/>
        <item m="1" x="487"/>
        <item m="1" x="663"/>
        <item m="1" x="745"/>
        <item m="1" x="734"/>
        <item m="1" x="961"/>
        <item m="1" x="449"/>
        <item m="1" x="1148"/>
        <item m="1" x="1219"/>
        <item m="1" x="401"/>
        <item m="1" x="1479"/>
        <item m="1" x="1341"/>
        <item m="1" x="1470"/>
        <item m="1" x="1500"/>
        <item m="1" x="1536"/>
        <item m="1" x="1474"/>
        <item m="1" x="838"/>
        <item m="1" x="1198"/>
        <item m="1" x="805"/>
        <item m="1" x="1211"/>
        <item m="1" x="1176"/>
        <item m="1" x="614"/>
        <item m="1" x="652"/>
        <item m="1" x="790"/>
        <item m="1" x="1255"/>
        <item m="1" x="775"/>
        <item m="1" x="521"/>
        <item m="1" x="1520"/>
        <item m="1" x="1270"/>
        <item m="1" x="1103"/>
        <item m="1" x="1135"/>
        <item m="1" x="1184"/>
        <item m="1" x="609"/>
        <item m="1" x="951"/>
        <item m="1" x="1296"/>
        <item m="1" x="447"/>
        <item m="1" x="690"/>
        <item m="1" x="590"/>
        <item m="1" x="587"/>
        <item m="1" x="591"/>
        <item m="1" x="392"/>
        <item m="1" x="613"/>
        <item m="1" x="1410"/>
        <item m="1" x="414"/>
        <item m="1" x="1060"/>
        <item m="1" x="1497"/>
        <item m="1" x="1308"/>
        <item m="1" x="568"/>
        <item m="1" x="1568"/>
        <item m="1" x="497"/>
        <item m="1" x="864"/>
        <item m="1" x="1087"/>
        <item m="1" x="543"/>
        <item m="1" x="996"/>
        <item m="1" x="1156"/>
        <item m="1" x="1424"/>
        <item m="1" x="1326"/>
        <item m="1" x="405"/>
        <item m="1" x="1088"/>
        <item m="1" x="488"/>
        <item m="1" x="724"/>
        <item m="1" x="696"/>
        <item m="1" x="458"/>
        <item m="1" x="1051"/>
        <item m="1" x="1058"/>
        <item m="1" x="1158"/>
        <item m="1" x="907"/>
        <item m="1" x="1407"/>
        <item m="1" x="816"/>
        <item m="1" x="1526"/>
        <item m="1" x="1161"/>
        <item m="1" x="1052"/>
        <item m="1" x="716"/>
        <item m="1" x="1124"/>
        <item m="1" x="1422"/>
        <item m="1" x="1487"/>
        <item m="1" x="1466"/>
        <item m="1" x="1396"/>
        <item m="1" x="1145"/>
        <item m="1" x="1258"/>
        <item m="1" x="771"/>
        <item m="1" x="1220"/>
        <item m="1" x="1045"/>
        <item m="1" x="1004"/>
        <item m="1" x="1002"/>
        <item m="1" x="1003"/>
        <item m="1" x="700"/>
        <item m="1" x="744"/>
        <item m="1" x="1357"/>
        <item m="1" x="922"/>
        <item m="1" x="764"/>
        <item m="1" x="806"/>
        <item m="1" x="852"/>
        <item m="1" x="1104"/>
        <item m="1" x="1442"/>
        <item m="1" x="1531"/>
        <item m="1" x="649"/>
        <item m="1" x="600"/>
        <item m="1" x="437"/>
        <item m="1" x="459"/>
        <item m="1" x="756"/>
        <item m="1" x="544"/>
        <item m="1" x="872"/>
        <item m="1" x="1408"/>
        <item m="1" x="749"/>
        <item m="1" x="541"/>
        <item m="1" x="1300"/>
        <item m="1" x="418"/>
        <item m="1" x="1426"/>
        <item m="1" x="1501"/>
        <item m="1" x="1565"/>
        <item m="1" x="1440"/>
        <item m="1" x="683"/>
        <item m="1" x="460"/>
        <item m="1" x="924"/>
        <item m="1" x="1008"/>
        <item m="1" x="1204"/>
        <item m="1" x="1172"/>
        <item m="1" x="1208"/>
        <item m="1" x="985"/>
        <item m="1" x="1023"/>
        <item m="1" x="1464"/>
        <item m="1" x="1227"/>
        <item m="1" x="1197"/>
        <item m="1" x="1136"/>
        <item m="1" x="1209"/>
        <item m="1" x="410"/>
        <item m="1" x="415"/>
        <item m="1" x="1018"/>
        <item m="1" x="1403"/>
        <item m="1" x="973"/>
        <item m="1" x="1543"/>
        <item m="1" x="942"/>
        <item m="1" x="1118"/>
        <item m="1" x="1189"/>
        <item m="1" x="803"/>
        <item m="1" x="635"/>
        <item m="1" x="1011"/>
        <item m="1" x="697"/>
        <item m="1" x="1552"/>
        <item m="1" x="1467"/>
        <item m="1" x="1280"/>
        <item m="1" x="537"/>
        <item m="1" x="464"/>
        <item m="1" x="1037"/>
        <item m="1" x="1281"/>
        <item m="1" x="1570"/>
        <item m="1" x="916"/>
        <item m="1" x="1517"/>
        <item m="1" x="451"/>
        <item m="1" x="565"/>
        <item m="1" x="877"/>
        <item m="1" x="968"/>
        <item m="1" x="1397"/>
        <item m="1" x="721"/>
        <item m="1" x="1400"/>
        <item m="1" x="817"/>
        <item m="1" x="1389"/>
        <item m="1" x="1553"/>
        <item m="1" x="481"/>
        <item m="1" x="1537"/>
        <item m="1" x="428"/>
        <item m="1" x="1290"/>
        <item m="1" x="908"/>
        <item m="1" x="739"/>
        <item m="1" x="702"/>
        <item m="1" x="846"/>
        <item m="1" x="445"/>
        <item m="1" x="1530"/>
        <item m="1" x="529"/>
        <item m="1" x="550"/>
        <item m="1" x="1423"/>
        <item m="1" x="1502"/>
        <item m="1" x="1016"/>
        <item m="1" x="1157"/>
        <item m="1" x="858"/>
        <item m="1" x="971"/>
        <item m="1" x="1120"/>
        <item m="1" x="1237"/>
        <item m="1" x="824"/>
        <item m="1" x="1100"/>
        <item m="1" x="919"/>
        <item m="1" x="1556"/>
        <item m="1" x="409"/>
        <item m="1" x="848"/>
        <item m="1" x="789"/>
        <item m="1" x="750"/>
        <item m="1" x="1544"/>
        <item m="1" x="1362"/>
        <item m="1" x="1493"/>
        <item m="1" x="506"/>
        <item m="1" x="1504"/>
        <item m="1" x="1491"/>
        <item m="1" x="1368"/>
        <item m="1" x="603"/>
        <item m="1" x="972"/>
        <item m="1" x="1065"/>
        <item m="1" x="811"/>
        <item m="1" x="1409"/>
        <item m="1" x="1195"/>
        <item m="1" x="1215"/>
        <item m="1" x="1109"/>
        <item m="1" x="452"/>
        <item m="1" x="1282"/>
        <item m="1" x="1444"/>
        <item m="1" x="849"/>
        <item m="1" x="1563"/>
        <item m="1" x="1057"/>
        <item m="1" x="644"/>
        <item m="1" x="777"/>
        <item m="1" x="813"/>
        <item m="1" x="1472"/>
        <item m="1" x="1456"/>
        <item m="1" x="516"/>
        <item m="1" x="518"/>
        <item m="1" x="432"/>
        <item m="1" x="1392"/>
        <item m="1" x="434"/>
        <item m="1" x="851"/>
        <item m="1" x="751"/>
        <item m="1" x="1207"/>
        <item m="1" x="1150"/>
        <item m="1" x="1499"/>
        <item m="1" x="1431"/>
        <item m="1" x="923"/>
        <item m="1" x="1137"/>
        <item m="1" x="1372"/>
        <item m="1" x="485"/>
        <item m="1" x="917"/>
        <item m="1" x="847"/>
        <item m="1" x="1541"/>
        <item m="1" x="1508"/>
        <item m="1" x="939"/>
        <item m="1" x="545"/>
        <item m="1" x="840"/>
        <item m="1" x="1013"/>
        <item m="1" x="467"/>
        <item m="1" x="1303"/>
        <item m="1" x="897"/>
        <item m="1" x="707"/>
        <item m="1" x="801"/>
        <item m="1" x="1247"/>
        <item m="1" x="1546"/>
        <item m="1" x="625"/>
        <item m="1" x="1398"/>
        <item m="1" x="619"/>
        <item m="1" x="1183"/>
        <item m="1" x="955"/>
        <item m="1" x="886"/>
        <item m="1" x="608"/>
        <item m="1" x="675"/>
        <item m="1" x="463"/>
        <item m="1" x="1263"/>
        <item m="1" x="776"/>
        <item m="1" x="500"/>
        <item m="1" x="1114"/>
        <item m="1" x="1429"/>
        <item m="1" x="969"/>
        <item m="1" x="927"/>
        <item m="1" x="398"/>
        <item m="1" x="1534"/>
        <item m="1" x="784"/>
        <item m="1" x="844"/>
        <item m="1" x="1251"/>
        <item m="1" x="1528"/>
        <item m="1" x="1453"/>
        <item m="1" x="1304"/>
        <item m="1" x="1419"/>
        <item m="1" x="580"/>
        <item m="1" x="779"/>
        <item m="1" x="612"/>
        <item m="1" x="404"/>
        <item m="1" x="1017"/>
        <item m="1" x="466"/>
        <item m="1" x="688"/>
        <item m="1" x="632"/>
        <item m="1" x="578"/>
        <item m="1" x="1533"/>
        <item m="1" x="629"/>
        <item m="1" x="1231"/>
        <item m="1" x="1443"/>
        <item m="1" x="569"/>
        <item m="1" x="473"/>
        <item m="1" x="1266"/>
        <item m="1" x="1242"/>
        <item m="1" x="1283"/>
        <item m="1" x="1202"/>
        <item m="1" x="546"/>
        <item m="1" x="902"/>
        <item m="1" x="1170"/>
        <item m="1" x="1420"/>
        <item m="1" x="1014"/>
        <item m="1" x="1132"/>
        <item m="1" x="1476"/>
        <item m="1" x="888"/>
        <item m="1" x="732"/>
        <item m="1" x="965"/>
        <item m="1" x="912"/>
        <item m="1" x="842"/>
        <item m="1" x="1359"/>
        <item m="1" x="1046"/>
        <item m="1" x="1142"/>
        <item m="1" x="393"/>
        <item m="1" x="938"/>
        <item m="1" x="540"/>
        <item m="1" x="807"/>
        <item m="1" x="945"/>
        <item m="1" x="475"/>
        <item m="1" x="592"/>
        <item m="1" x="1047"/>
        <item m="1" x="1244"/>
        <item m="1" x="1514"/>
        <item m="1" x="1557"/>
        <item m="1" x="1167"/>
        <item m="1" x="515"/>
        <item m="1" x="443"/>
        <item m="1" x="1029"/>
        <item m="1" x="651"/>
        <item m="1" x="925"/>
        <item m="1" x="553"/>
        <item m="1" x="656"/>
        <item m="1" x="1083"/>
        <item m="1" x="1439"/>
        <item m="1" x="1370"/>
        <item m="1" x="786"/>
        <item m="1" x="821"/>
        <item m="1" x="1097"/>
        <item m="1" x="1527"/>
        <item m="1" x="1253"/>
        <item m="1" x="419"/>
        <item m="1" x="1481"/>
        <item m="1" x="527"/>
        <item m="1" x="1173"/>
        <item m="1" x="1218"/>
        <item m="1" x="1221"/>
        <item m="1" x="1561"/>
        <item m="1" x="454"/>
        <item m="1" x="1232"/>
        <item m="1" x="1329"/>
        <item m="1" x="1101"/>
        <item m="1" x="1271"/>
        <item m="1" x="513"/>
        <item m="1" x="905"/>
        <item m="1" x="752"/>
        <item m="1" x="1364"/>
        <item m="1" x="1459"/>
        <item m="1" x="988"/>
        <item m="1" x="1427"/>
        <item m="1" x="1475"/>
        <item m="1" x="828"/>
        <item m="1" x="1331"/>
        <item m="1" x="1194"/>
        <item m="1" x="1477"/>
        <item m="1" x="1521"/>
        <item m="1" x="1259"/>
        <item m="1" x="869"/>
        <item m="1" x="674"/>
        <item m="1" x="1509"/>
        <item m="1" x="1056"/>
        <item m="1" x="1030"/>
        <item m="1" x="1039"/>
        <item m="1" x="1560"/>
        <item m="1" x="1284"/>
        <item m="1" x="979"/>
        <item m="1" x="1248"/>
        <item m="1" x="1225"/>
        <item m="1" x="841"/>
        <item m="1" x="742"/>
        <item m="1" x="1241"/>
        <item m="1" x="636"/>
        <item m="1" x="593"/>
        <item m="1" x="535"/>
        <item m="1" x="1522"/>
        <item m="1" x="1138"/>
        <item m="1" x="873"/>
        <item m="1" x="954"/>
        <item m="1" x="435"/>
        <item m="1" x="1511"/>
        <item m="1" x="1062"/>
        <item m="1" x="1210"/>
        <item m="1" x="658"/>
        <item m="1" x="1342"/>
        <item m="1" x="845"/>
        <item m="1" x="738"/>
        <item m="1" x="1566"/>
        <item m="1" x="868"/>
        <item m="1" x="1507"/>
        <item m="1" x="1093"/>
        <item m="1" x="769"/>
        <item m="1" x="560"/>
        <item m="1" x="503"/>
        <item m="1" x="797"/>
        <item m="1" x="494"/>
        <item m="1" x="465"/>
        <item m="1" x="482"/>
        <item m="1" x="761"/>
        <item m="1" x="606"/>
        <item m="1" x="913"/>
        <item m="1" x="970"/>
        <item m="1" x="1069"/>
        <item m="1" x="940"/>
        <item m="1" x="1273"/>
        <item m="1" x="1337"/>
        <item m="1" x="549"/>
        <item m="1" x="559"/>
        <item m="1" x="748"/>
        <item m="1" x="890"/>
        <item m="1" x="680"/>
        <item m="1" x="1233"/>
        <item m="1" x="983"/>
        <item m="1" x="900"/>
        <item m="1" x="1033"/>
        <item m="1" x="1339"/>
        <item m="1" x="1277"/>
        <item m="1" x="1363"/>
        <item m="1" x="1119"/>
        <item m="1" x="539"/>
        <item m="1" x="1545"/>
        <item m="1" x="958"/>
        <item m="1" x="573"/>
        <item m="1" x="397"/>
        <item m="1" x="1542"/>
        <item m="1" x="1026"/>
        <item m="1" x="993"/>
        <item m="1" x="765"/>
        <item m="1" x="645"/>
        <item m="1" x="729"/>
        <item m="1" x="883"/>
        <item m="1" x="1458"/>
        <item m="1" x="1377"/>
        <item m="1" x="753"/>
        <item m="1" x="826"/>
        <item m="1" x="833"/>
        <item m="1" x="1371"/>
        <item m="1" x="974"/>
        <item m="1" x="446"/>
        <item m="1" x="1007"/>
        <item m="1" x="1286"/>
        <item m="1" x="1412"/>
        <item m="1" x="1305"/>
        <item m="1" x="1113"/>
        <item m="1" x="1411"/>
        <item m="1" x="425"/>
        <item m="1" x="1328"/>
        <item m="1" x="407"/>
        <item m="1" x="747"/>
        <item m="1" x="411"/>
        <item m="1" x="570"/>
        <item m="1" x="660"/>
        <item m="1" x="666"/>
        <item m="1" x="1084"/>
        <item m="1" x="1338"/>
        <item m="1" x="865"/>
        <item m="1" x="436"/>
        <item m="1" x="642"/>
        <item m="1" x="430"/>
        <item m="1" x="1425"/>
        <item m="1" x="650"/>
        <item m="1" x="986"/>
        <item m="1" x="1445"/>
        <item m="1" x="772"/>
        <item m="1" x="714"/>
        <item m="1" x="1110"/>
        <item m="1" x="667"/>
        <item m="1" x="975"/>
        <item m="1" x="1269"/>
        <item m="1" x="408"/>
        <item m="1" x="921"/>
        <item m="1" x="1040"/>
        <item m="1" x="532"/>
        <item m="1" x="874"/>
        <item m="1" x="1009"/>
        <item m="1" x="760"/>
        <item m="1" x="798"/>
        <item m="1" x="525"/>
        <item m="1" x="931"/>
        <item m="1" x="395"/>
        <item m="1" x="1067"/>
        <item m="1" x="1460"/>
        <item m="1" x="1181"/>
        <item m="1" x="1175"/>
        <item m="1" x="1074"/>
        <item m="1" x="400"/>
        <item m="1" x="1206"/>
        <item m="1" x="1249"/>
        <item m="1" x="1055"/>
        <item m="1" x="399"/>
        <item m="1" x="1406"/>
        <item m="1" x="1373"/>
        <item m="1" x="403"/>
        <item m="1" x="682"/>
        <item m="1" x="1072"/>
        <item m="1" x="1327"/>
        <item m="1" x="524"/>
        <item m="1" x="420"/>
        <item m="1" x="579"/>
        <item m="1" x="470"/>
        <item m="1" x="878"/>
        <item m="1" x="691"/>
        <item m="1" x="689"/>
        <item m="1" x="860"/>
        <item m="1" x="962"/>
        <item m="1" x="866"/>
        <item m="1" x="1063"/>
        <item m="1" x="915"/>
        <item m="1" x="780"/>
        <item m="1" x="895"/>
        <item m="1" x="1388"/>
        <item m="1" x="1483"/>
        <item m="1" x="740"/>
        <item m="1" x="1463"/>
        <item m="1" x="505"/>
        <item m="1" x="1452"/>
        <item m="1" x="1149"/>
        <item m="1" x="1320"/>
        <item m="1" x="1399"/>
        <item m="1" x="1079"/>
        <item m="1" x="1291"/>
        <item m="1" x="583"/>
        <item m="1" x="566"/>
        <item m="1" x="1188"/>
        <item m="1" x="1160"/>
        <item m="1" x="722"/>
        <item m="1" x="1558"/>
        <item m="1" x="1130"/>
        <item m="1" x="870"/>
        <item m="1" x="944"/>
        <item m="1" x="903"/>
        <item m="1" x="1413"/>
        <item m="1" x="1417"/>
        <item m="1" x="413"/>
        <item m="1" x="1297"/>
        <item m="1" x="1343"/>
        <item m="1" x="462"/>
        <item m="1" x="834"/>
        <item m="1" x="825"/>
        <item m="1" x="1332"/>
        <item m="1" x="1031"/>
        <item m="1" x="1235"/>
        <item m="1" x="901"/>
        <item m="1" x="1252"/>
        <item m="1" x="440"/>
        <item m="1" x="563"/>
        <item m="1" x="1532"/>
        <item m="1" x="1152"/>
        <item m="1" x="1524"/>
        <item m="1" x="444"/>
        <item m="1" x="704"/>
        <item m="1" x="520"/>
        <item m="1" x="453"/>
        <item m="1" x="468"/>
        <item m="1" x="1020"/>
        <item m="1" x="1053"/>
        <item m="1" x="725"/>
        <item m="1" x="1143"/>
        <item m="1" x="1461"/>
        <item m="1" x="812"/>
        <item m="1" x="891"/>
        <item m="1" x="1041"/>
        <item m="1" x="1529"/>
        <item m="1" x="706"/>
        <item m="1" x="718"/>
        <item m="1" x="728"/>
        <item m="1" x="1349"/>
        <item m="1" x="1485"/>
        <item m="1" x="402"/>
        <item m="1" x="1229"/>
        <item m="1" x="1525"/>
        <item m="1" x="626"/>
        <item m="1" x="941"/>
        <item m="1" x="1562"/>
        <item m="1" x="1468"/>
        <item m="1" x="615"/>
        <item m="1" x="727"/>
        <item m="1" x="814"/>
        <item m="1" x="1139"/>
        <item m="1" x="1336"/>
        <item m="1" x="571"/>
        <item m="1" x="1042"/>
        <item m="1" x="567"/>
        <item m="1" x="536"/>
        <item m="1" x="484"/>
        <item m="1" x="1455"/>
        <item m="1" x="1048"/>
        <item m="1" x="1496"/>
        <item m="1" x="889"/>
        <item m="1" x="1513"/>
        <item m="1" x="1265"/>
        <item m="1" x="554"/>
        <item m="1" x="1369"/>
        <item m="1" x="1383"/>
        <item m="1" x="1043"/>
        <item m="1" x="1418"/>
        <item m="1" x="1256"/>
        <item m="1" x="1121"/>
        <item m="1" x="438"/>
        <item m="1" x="1267"/>
        <item m="1" x="999"/>
        <item m="1" x="932"/>
        <item m="1" x="1275"/>
        <item m="1" x="859"/>
        <item m="1" x="493"/>
        <item m="1" x="665"/>
        <item m="1" x="442"/>
        <item m="1" x="791"/>
        <item m="1" x="1169"/>
        <item m="1" x="754"/>
        <item m="1" x="617"/>
        <item m="1" x="832"/>
        <item m="1" x="510"/>
        <item m="1" x="762"/>
        <item m="1" x="633"/>
        <item m="1" x="984"/>
        <item m="1" x="1571"/>
        <item m="1" x="1025"/>
        <item m="1" x="621"/>
        <item m="1" x="898"/>
        <item m="1" x="604"/>
        <item m="1" x="657"/>
        <item m="1" x="949"/>
        <item m="1" x="1217"/>
        <item m="1" x="934"/>
        <item m="1" x="1384"/>
        <item m="1" x="946"/>
        <item m="1" x="1180"/>
        <item m="1" x="495"/>
        <item m="1" x="978"/>
        <item m="1" x="618"/>
        <item m="1" x="548"/>
        <item m="1" x="1274"/>
        <item m="1" x="589"/>
        <item m="1" x="1298"/>
        <item m="1" x="490"/>
        <item m="1" x="1115"/>
        <item m="1" x="1122"/>
        <item m="1" x="526"/>
        <item m="1" x="1044"/>
        <item m="1" x="422"/>
        <item m="1" x="1245"/>
        <item m="1" x="950"/>
        <item m="1" x="1171"/>
        <item m="1" x="1140"/>
        <item m="1" x="1360"/>
        <item m="1" x="1133"/>
        <item m="1" x="711"/>
        <item m="1" x="1212"/>
        <item m="1" x="1346"/>
        <item m="1" x="1036"/>
        <item m="1" x="1168"/>
        <item m="1" x="501"/>
        <item m="1" x="1334"/>
        <item m="1" x="991"/>
        <item m="1" x="856"/>
        <item m="1" x="1240"/>
        <item m="1" x="766"/>
        <item m="1" x="1089"/>
        <item m="1" x="623"/>
        <item m="1" x="719"/>
        <item m="1" x="1116"/>
        <item m="1" x="885"/>
        <item m="1" x="429"/>
        <item m="1" x="763"/>
        <item m="1" x="1243"/>
        <item m="1" x="1345"/>
        <item m="1" x="448"/>
        <item m="1" x="733"/>
        <item m="1" x="668"/>
        <item m="1" x="1001"/>
        <item m="1" x="1094"/>
        <item m="1" x="534"/>
        <item m="1" x="1516"/>
        <item m="1" x="499"/>
        <item m="1" x="572"/>
        <item m="1" x="1353"/>
        <item m="1" x="861"/>
        <item m="1" x="875"/>
        <item m="1" x="929"/>
        <item m="1" x="504"/>
        <item m="1" x="783"/>
        <item m="1" x="1178"/>
        <item m="1" x="1090"/>
        <item m="1" x="880"/>
        <item m="1" x="827"/>
        <item m="1" x="457"/>
        <item m="1" x="695"/>
        <item m="1" x="1159"/>
        <item m="1" x="793"/>
        <item m="1" x="956"/>
        <item m="1" x="893"/>
        <item m="1" x="1075"/>
        <item m="1" x="439"/>
        <item m="1" x="920"/>
        <item m="1" x="594"/>
        <item m="1" x="997"/>
        <item m="1" x="1123"/>
        <item m="1" x="1199"/>
        <item m="1" x="1134"/>
        <item m="1" x="1095"/>
        <item m="1" x="1021"/>
        <item m="1" x="1432"/>
        <item m="1" x="1324"/>
        <item m="1" x="575"/>
        <item m="1" x="1316"/>
        <item m="1" x="770"/>
        <item m="1" x="1080"/>
        <item m="1" x="486"/>
        <item m="1" x="1059"/>
        <item m="1" x="926"/>
        <item m="1" x="1358"/>
        <item m="1" x="512"/>
        <item m="1" x="1569"/>
        <item m="1" x="551"/>
        <item m="1" x="491"/>
        <item m="1" x="1061"/>
        <item m="1" x="1261"/>
        <item m="1" x="1164"/>
        <item m="1" x="450"/>
        <item m="1" x="602"/>
        <item m="1" x="1390"/>
        <item m="1" x="1330"/>
        <item m="1" x="585"/>
        <item m="1" x="558"/>
        <item m="1" x="853"/>
        <item m="1" x="474"/>
        <item m="1" x="1081"/>
        <item m="1" x="514"/>
        <item m="1" x="684"/>
        <item m="1" x="981"/>
        <item m="1" x="1512"/>
        <item m="1" x="552"/>
        <item m="1" x="822"/>
        <item m="1" x="669"/>
        <item m="1" x="831"/>
        <item m="1" x="1385"/>
        <item m="1" x="1268"/>
        <item m="1" x="730"/>
        <item m="1" x="483"/>
        <item m="1" x="1433"/>
        <item m="1" x="596"/>
        <item m="1" x="1378"/>
        <item m="1" x="935"/>
        <item m="1" x="1319"/>
        <item m="1" x="678"/>
        <item m="1" x="850"/>
        <item m="1" x="1335"/>
        <item m="1" x="1523"/>
        <item m="1" x="1299"/>
        <item m="1" x="698"/>
        <item m="1" x="641"/>
        <item m="1" x="1344"/>
        <item m="1" x="1108"/>
        <item m="1" x="952"/>
        <item m="1" x="1376"/>
        <item m="1" x="424"/>
        <item m="1" x="421"/>
        <item m="1" x="1096"/>
        <item m="1" x="1236"/>
        <item m="1" x="1191"/>
        <item m="1" x="1374"/>
        <item m="1" x="899"/>
        <item m="1" x="646"/>
        <item m="1" x="720"/>
        <item m="1" x="1250"/>
        <item m="1" x="802"/>
        <item m="1" x="1032"/>
        <item m="1" x="1447"/>
        <item m="1" x="685"/>
        <item m="1" x="1022"/>
        <item m="1" x="406"/>
        <item m="1" x="73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m="1" x="723"/>
        <item m="1" x="1484"/>
        <item m="1" x="426"/>
        <item m="1" x="39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3" totalsRowShown="0" totalsRowDxfId="23">
  <autoFilter ref="A1:C1313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9" totalsRowShown="0">
  <autoFilter ref="A1:S4379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1374</v>
      </c>
    </row>
    <row r="5" spans="1:2">
      <c r="A5" s="111" t="s">
        <v>369</v>
      </c>
      <c r="B5" s="150">
        <v>1331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1032</v>
      </c>
    </row>
    <row r="15" spans="1:2">
      <c r="A15" s="111" t="s">
        <v>369</v>
      </c>
      <c r="B15" s="150">
        <v>1010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1503</v>
      </c>
    </row>
    <row r="19" spans="1:2">
      <c r="A19" s="111" t="s">
        <v>369</v>
      </c>
      <c r="B19" s="150">
        <v>1484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455</v>
      </c>
    </row>
    <row r="23" spans="1:2">
      <c r="A23" s="111" t="s">
        <v>369</v>
      </c>
      <c r="B23" s="150">
        <v>453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4364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2" sqref="E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4327</v>
      </c>
      <c r="B5" s="150">
        <v>227</v>
      </c>
      <c r="C5"/>
      <c r="D5"/>
      <c r="E5"/>
    </row>
    <row r="6" spans="1:6">
      <c r="A6" s="111" t="s">
        <v>4413</v>
      </c>
      <c r="B6" s="150">
        <v>11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5479</v>
      </c>
      <c r="B9" s="150">
        <v>178</v>
      </c>
      <c r="C9"/>
      <c r="D9"/>
    </row>
    <row r="10" spans="1:6">
      <c r="A10" s="112" t="s">
        <v>369</v>
      </c>
      <c r="B10" s="150">
        <v>177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6161</v>
      </c>
      <c r="B12" s="150">
        <v>17</v>
      </c>
      <c r="C12" s="126"/>
      <c r="D12"/>
    </row>
    <row r="13" spans="1:6">
      <c r="A13" s="112" t="s">
        <v>369</v>
      </c>
      <c r="B13" s="150">
        <v>14</v>
      </c>
      <c r="C13"/>
      <c r="D13"/>
    </row>
    <row r="14" spans="1:6">
      <c r="A14" s="112" t="s">
        <v>692</v>
      </c>
      <c r="B14" s="150">
        <v>3</v>
      </c>
      <c r="C14" s="126"/>
      <c r="D14"/>
    </row>
    <row r="15" spans="1:6">
      <c r="A15" s="111" t="s">
        <v>6438</v>
      </c>
      <c r="B15" s="150">
        <v>21</v>
      </c>
      <c r="C15"/>
      <c r="D15" s="124"/>
      <c r="E15" s="124"/>
    </row>
    <row r="16" spans="1:6">
      <c r="A16" s="112" t="s">
        <v>369</v>
      </c>
      <c r="B16" s="150">
        <v>20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227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3"/>
  <sheetViews>
    <sheetView topLeftCell="A1308" workbookViewId="0">
      <selection activeCell="C1310" sqref="C1310:C131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6276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6289</v>
      </c>
      <c r="B1292" s="30">
        <v>6</v>
      </c>
      <c r="C1292" s="149" t="s">
        <v>4</v>
      </c>
    </row>
    <row r="1293" spans="1:3">
      <c r="A1293" t="s">
        <v>6305</v>
      </c>
      <c r="B1293">
        <v>17</v>
      </c>
      <c r="C1293" s="149" t="s">
        <v>4</v>
      </c>
    </row>
    <row r="1294" spans="1:3">
      <c r="A1294" t="s">
        <v>6306</v>
      </c>
      <c r="B1294">
        <v>3</v>
      </c>
      <c r="C1294" s="149" t="s">
        <v>4</v>
      </c>
    </row>
    <row r="1295" spans="1:3">
      <c r="A1295" t="s">
        <v>6346</v>
      </c>
      <c r="B1295">
        <v>12</v>
      </c>
      <c r="C1295" s="149" t="s">
        <v>4</v>
      </c>
    </row>
    <row r="1296" spans="1:3">
      <c r="A1296" t="s">
        <v>6354</v>
      </c>
      <c r="B1296">
        <v>1</v>
      </c>
      <c r="C1296" s="149" t="s">
        <v>4</v>
      </c>
    </row>
    <row r="1297" spans="1:3">
      <c r="A1297" t="s">
        <v>6358</v>
      </c>
      <c r="B1297">
        <v>1</v>
      </c>
      <c r="C1297" s="149" t="s">
        <v>4</v>
      </c>
    </row>
    <row r="1298" spans="1:3">
      <c r="A1298" t="s">
        <v>6411</v>
      </c>
      <c r="B1298">
        <v>2</v>
      </c>
      <c r="C1298" s="149" t="s">
        <v>4</v>
      </c>
    </row>
    <row r="1299" spans="1:3">
      <c r="A1299" t="s">
        <v>6428</v>
      </c>
      <c r="B1299">
        <v>14</v>
      </c>
      <c r="C1299" s="149" t="s">
        <v>4</v>
      </c>
    </row>
    <row r="1300" spans="1:3">
      <c r="A1300" t="s">
        <v>6429</v>
      </c>
      <c r="B1300">
        <v>1</v>
      </c>
      <c r="C1300" s="149" t="s">
        <v>4</v>
      </c>
    </row>
    <row r="1301" spans="1:3">
      <c r="A1301" t="s">
        <v>6432</v>
      </c>
      <c r="B1301">
        <v>4</v>
      </c>
      <c r="C1301" s="149" t="s">
        <v>4</v>
      </c>
    </row>
    <row r="1302" spans="1:3">
      <c r="A1302" t="s">
        <v>6436</v>
      </c>
      <c r="B1302">
        <v>2</v>
      </c>
      <c r="C1302" s="149" t="s">
        <v>4</v>
      </c>
    </row>
    <row r="1303" spans="1:3">
      <c r="A1303" t="s">
        <v>6453</v>
      </c>
      <c r="B1303">
        <v>22</v>
      </c>
      <c r="C1303" s="149" t="s">
        <v>4</v>
      </c>
    </row>
    <row r="1304" spans="1:3">
      <c r="A1304" t="s">
        <v>6476</v>
      </c>
      <c r="B1304">
        <v>2</v>
      </c>
      <c r="C1304" s="149" t="s">
        <v>4</v>
      </c>
    </row>
    <row r="1305" spans="1:3">
      <c r="A1305" t="s">
        <v>6489</v>
      </c>
      <c r="B1305">
        <v>2</v>
      </c>
      <c r="C1305" s="149" t="s">
        <v>4</v>
      </c>
    </row>
    <row r="1306" spans="1:3">
      <c r="A1306" t="s">
        <v>6496</v>
      </c>
      <c r="B1306">
        <v>2</v>
      </c>
      <c r="C1306" s="149" t="s">
        <v>4</v>
      </c>
    </row>
    <row r="1307" spans="1:3">
      <c r="A1307" t="s">
        <v>6497</v>
      </c>
      <c r="B1307">
        <v>12</v>
      </c>
      <c r="C1307" s="149" t="s">
        <v>4</v>
      </c>
    </row>
    <row r="1308" spans="1:3">
      <c r="A1308" t="s">
        <v>6313</v>
      </c>
      <c r="B1308">
        <v>12</v>
      </c>
      <c r="C1308" s="149" t="s">
        <v>4</v>
      </c>
    </row>
    <row r="1309" spans="1:3">
      <c r="A1309" t="s">
        <v>6404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6516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6493</v>
      </c>
      <c r="B1313">
        <v>2</v>
      </c>
      <c r="C1313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9"/>
  <sheetViews>
    <sheetView tabSelected="1" zoomScale="105" zoomScaleNormal="105" workbookViewId="0">
      <selection activeCell="A4375" sqref="A437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85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85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85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86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83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83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78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78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78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78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78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78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78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78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78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78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78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76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76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76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76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76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76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76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76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76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76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76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76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76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76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76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76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76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76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76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76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76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76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76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76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76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76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76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76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76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76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76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76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76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76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76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76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76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76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76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76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76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76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76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76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76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76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76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76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76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76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76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76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76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76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76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76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76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76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76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76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76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76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76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76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76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76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76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76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76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76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76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76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76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76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76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76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76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76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76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76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76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76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76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76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76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76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76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76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76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76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76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76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76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76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76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76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76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76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76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76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76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76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76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76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76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76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76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76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76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76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76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76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76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76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76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76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76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76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76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76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76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76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76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76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76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76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76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76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76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76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76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76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76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76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76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76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76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76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76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76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76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76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76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76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76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76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76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76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76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76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76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76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76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76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76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76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76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76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76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76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76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76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76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76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76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76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76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76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76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76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76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76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76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76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76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76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76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76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76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76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76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76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76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76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76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76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76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76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76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76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76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76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76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76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76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76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76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76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76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76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76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76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76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76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76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76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76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76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76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76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76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76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76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76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76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76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76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76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76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76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76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76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76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76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76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76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76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76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76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76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76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76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76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76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76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76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76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76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76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76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76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76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76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76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76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76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76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76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76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76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76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76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76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76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76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76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76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76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76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76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76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76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76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76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76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76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76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76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76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76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76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76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76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76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76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76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76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76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76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76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76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76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76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76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76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76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76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76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76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76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76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76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76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76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76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76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76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76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76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76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76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76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76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76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76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76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76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76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76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76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76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76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76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76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76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76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76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76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76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76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76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76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76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76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76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76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76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76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76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76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76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76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76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76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76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74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74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74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74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74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74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74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74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74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74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73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73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73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72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72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72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72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72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72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71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71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69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68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68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68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67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67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67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65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65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65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65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65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65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65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62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62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62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62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62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62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62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62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62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62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62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62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62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62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62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62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62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62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62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62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62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62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62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62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62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62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62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62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62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61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61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59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59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59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59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59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59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59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59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59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59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57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57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57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57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57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57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57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57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56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56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56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56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56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56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56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56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56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56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56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56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56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56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56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56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56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54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54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54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54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54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54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54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54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54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54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54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54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54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54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54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54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54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54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54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54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54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54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54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54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54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54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54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54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54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54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54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54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54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54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54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54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54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54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54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54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54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54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54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54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54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54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54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54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54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54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54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54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54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54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54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54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54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54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54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54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54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54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54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54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54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54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54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54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54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54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54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54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54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54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54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54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54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54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54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54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54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54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54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54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54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54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54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54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54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54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54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54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54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54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54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54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54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54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54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54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54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54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54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54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54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54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54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54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54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54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54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54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54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54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54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54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54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54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54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54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54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54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54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54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54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54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54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54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54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54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54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54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54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54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54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54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54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54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54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54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54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54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54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54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54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54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54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54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54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54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54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54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54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54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54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54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54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54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54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54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54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54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54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54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54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54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54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54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54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54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54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54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54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54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54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54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54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54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54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54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54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54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54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54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54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54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54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54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54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54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54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54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54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54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54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54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54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54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54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54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54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54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54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54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54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54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54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54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54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54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54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54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54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54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54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54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54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54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54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54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54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54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54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54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54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54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54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54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54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54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54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54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54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54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54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54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54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54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54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54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54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54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54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54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54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54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54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54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54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54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54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54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54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54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54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54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54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54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54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54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54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54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54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54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54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54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54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54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54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54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54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54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54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54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54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54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54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54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54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54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54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54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54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54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54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54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54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54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54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54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54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54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54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54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54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53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53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53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53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53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53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53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53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53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53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53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53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53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53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53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53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53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53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53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53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53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53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53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53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53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53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53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53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53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53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53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53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53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53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53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53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53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53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53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53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53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53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53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53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53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53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53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53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53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53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53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53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53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53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53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53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53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53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53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53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53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53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53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53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53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53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53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53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53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53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53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53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53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53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53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53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53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53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53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53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53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53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53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53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53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53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53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53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53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53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53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53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53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53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53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53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53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53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53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53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53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53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53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53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53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53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53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53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53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53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53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53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53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53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53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53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53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53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53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53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53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53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53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53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53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53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53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53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53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53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53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53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53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53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53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53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53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53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53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53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53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53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53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53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53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53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53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53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53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53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53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53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53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53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53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53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53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53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53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53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53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53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53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53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53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53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53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53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53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53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53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53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53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53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53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53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53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53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53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53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53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53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53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53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53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53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53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53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53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53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53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53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53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53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53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53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53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53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53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53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53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53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50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50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50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50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50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50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50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50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50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50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50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50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50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50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50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50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50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50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50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50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50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50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50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50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50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50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50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50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50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50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50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50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50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50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50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50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50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50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50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50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50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50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50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49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49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48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48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48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48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48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48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48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47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47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47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46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46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46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46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46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46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46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46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46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46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46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46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46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46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46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46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46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46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46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46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46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46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46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46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46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46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46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46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46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46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46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46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46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46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46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46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46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46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46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46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46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46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46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46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46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46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46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46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46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46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46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46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46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46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46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46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46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46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46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46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46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46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46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46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46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46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46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46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46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46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46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46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46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46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46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46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46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46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46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46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46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46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46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46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46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46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46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46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46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46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46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46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46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46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45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45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45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45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45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45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45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45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45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45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45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45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45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45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45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45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45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45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45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44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44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44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44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44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44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44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44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44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44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44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44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44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44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44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44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44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44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43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43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43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43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43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43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43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43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43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43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43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43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40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40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40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40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40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40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40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40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40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40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40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40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40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40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40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40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40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40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40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40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40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40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40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40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40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40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40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40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40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39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39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39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39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39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39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39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39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39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39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39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39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39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39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39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39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39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39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39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39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39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39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39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39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39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39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39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39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39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39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39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39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39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39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39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38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38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38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38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38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38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38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38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38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38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38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38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38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38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38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38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38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38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38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38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38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38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38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38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38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38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38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38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38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38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38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38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38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38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38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38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38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38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38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38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38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38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38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38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38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38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38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38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38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38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38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38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38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38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38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38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38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38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38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38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38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38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38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38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38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38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38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38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38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38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38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38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38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38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38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38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38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38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38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38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38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38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38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38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38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38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38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38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38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38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38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38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38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38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38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38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38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38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38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38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38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38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38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38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38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38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38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38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38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38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38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38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38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38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38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38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38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38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38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38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38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38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38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38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38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38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38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38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38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38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38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38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38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38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38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38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38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38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38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38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38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38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38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38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38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38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38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38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38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38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38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38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38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38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38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38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38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38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38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38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38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38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38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38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38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38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38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38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38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38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38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38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38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38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38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38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38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38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38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38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38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38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38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38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38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38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38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38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38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38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38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38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38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38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38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38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38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38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38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38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38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38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38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38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38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38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38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38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38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38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38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38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38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38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38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38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38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38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38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38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38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38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38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38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38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38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38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38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38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38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38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38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38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38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38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38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36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36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36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36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36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36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36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36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36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36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36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36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36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36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36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36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35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35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35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35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35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35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35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35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35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35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35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35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35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35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35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35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35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35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35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35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35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35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35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35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35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35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35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35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35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35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35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35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35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35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35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35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35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35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35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34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34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34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34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34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34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34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34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34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34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34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34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34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34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34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34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34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34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33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33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33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33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33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33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33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33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33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33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33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33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33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33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33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33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33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33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33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33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33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33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33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33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33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33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33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33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33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33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33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33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33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33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33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33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33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33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33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33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33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33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33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33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33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33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33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33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33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33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33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33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33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33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33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33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33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33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33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33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33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33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33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33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33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33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33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33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33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33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33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33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33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33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33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33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33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33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33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33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33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33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33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33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33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33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33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33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33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33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33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33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33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33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33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33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33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33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33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33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33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33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33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33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33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33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33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33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33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33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33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33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33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33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6278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33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29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29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29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29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29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29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29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29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29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29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29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29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28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28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28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28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28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28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28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28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28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28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28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28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28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28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28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28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28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28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28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28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28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28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28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28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28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28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28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28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28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28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28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25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25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25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25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25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25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25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25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25</v>
      </c>
      <c r="R4171" s="146" t="s">
        <v>780</v>
      </c>
      <c r="S4171" s="140"/>
    </row>
    <row r="4172" spans="1:19" hidden="1">
      <c r="A4172" t="s">
        <v>6276</v>
      </c>
      <c r="B4172" s="149" t="str">
        <f>IFERROR(VLOOKUP(Proc[[#This Row],[App]],Table2[],3,0),"open")</f>
        <v>ok</v>
      </c>
      <c r="C4172" s="149" t="s">
        <v>369</v>
      </c>
      <c r="D4172" t="s">
        <v>6273</v>
      </c>
      <c r="E4172" s="149" t="s">
        <v>6274</v>
      </c>
      <c r="F4172" s="150" t="s">
        <v>6274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24</v>
      </c>
      <c r="R4172" s="146" t="s">
        <v>6275</v>
      </c>
      <c r="S4172" s="140"/>
    </row>
    <row r="4173" spans="1:19" hidden="1">
      <c r="A4173" t="s">
        <v>6289</v>
      </c>
      <c r="B4173" s="150" t="str">
        <f>IFERROR(VLOOKUP(Proc[[#This Row],[App]],Table2[],3,0),"open")</f>
        <v>ok</v>
      </c>
      <c r="C4173" t="s">
        <v>369</v>
      </c>
      <c r="D4173" t="s">
        <v>6279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6287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23</v>
      </c>
      <c r="R4173" s="146" t="s">
        <v>489</v>
      </c>
      <c r="S4173" s="150"/>
    </row>
    <row r="4174" spans="1:19" hidden="1">
      <c r="A4174" s="149" t="s">
        <v>6289</v>
      </c>
      <c r="B4174" s="150" t="str">
        <f>IFERROR(VLOOKUP(Proc[[#This Row],[App]],Table2[],3,0),"open")</f>
        <v>ok</v>
      </c>
      <c r="C4174" s="149" t="s">
        <v>369</v>
      </c>
      <c r="D4174" t="s">
        <v>6280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6288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23</v>
      </c>
      <c r="R4174" s="146" t="s">
        <v>489</v>
      </c>
      <c r="S4174" s="150"/>
    </row>
    <row r="4175" spans="1:19" hidden="1">
      <c r="A4175" s="149" t="s">
        <v>6289</v>
      </c>
      <c r="B4175" s="150" t="str">
        <f>IFERROR(VLOOKUP(Proc[[#This Row],[App]],Table2[],3,0),"open")</f>
        <v>ok</v>
      </c>
      <c r="C4175" s="149" t="s">
        <v>369</v>
      </c>
      <c r="D4175" t="s">
        <v>6281</v>
      </c>
      <c r="E4175" t="s">
        <v>6285</v>
      </c>
      <c r="F4175" s="150" t="s">
        <v>6285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23</v>
      </c>
      <c r="R4175" s="146" t="s">
        <v>489</v>
      </c>
      <c r="S4175" s="150"/>
    </row>
    <row r="4176" spans="1:19" hidden="1">
      <c r="A4176" s="149" t="s">
        <v>6289</v>
      </c>
      <c r="B4176" s="150" t="str">
        <f>IFERROR(VLOOKUP(Proc[[#This Row],[App]],Table2[],3,0),"open")</f>
        <v>ok</v>
      </c>
      <c r="C4176" s="149" t="s">
        <v>369</v>
      </c>
      <c r="D4176" t="s">
        <v>6282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23</v>
      </c>
      <c r="R4176" s="146" t="s">
        <v>489</v>
      </c>
      <c r="S4176" s="150"/>
    </row>
    <row r="4177" spans="1:19" hidden="1">
      <c r="A4177" s="149" t="s">
        <v>6289</v>
      </c>
      <c r="B4177" s="150" t="str">
        <f>IFERROR(VLOOKUP(Proc[[#This Row],[App]],Table2[],3,0),"open")</f>
        <v>ok</v>
      </c>
      <c r="C4177" s="149" t="s">
        <v>369</v>
      </c>
      <c r="D4177" t="s">
        <v>6283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6290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23</v>
      </c>
      <c r="R4177" s="146" t="s">
        <v>489</v>
      </c>
      <c r="S4177" s="150"/>
    </row>
    <row r="4178" spans="1:19" hidden="1">
      <c r="A4178" s="149" t="s">
        <v>6289</v>
      </c>
      <c r="B4178" s="150" t="str">
        <f>IFERROR(VLOOKUP(Proc[[#This Row],[App]],Table2[],3,0),"open")</f>
        <v>ok</v>
      </c>
      <c r="C4178" s="149" t="s">
        <v>369</v>
      </c>
      <c r="D4178" t="s">
        <v>6284</v>
      </c>
      <c r="E4178" t="s">
        <v>6286</v>
      </c>
      <c r="F4178" s="150" t="s">
        <v>6286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23</v>
      </c>
      <c r="R4178" s="146" t="s">
        <v>489</v>
      </c>
      <c r="S4178" s="150"/>
    </row>
    <row r="4179" spans="1:19" hidden="1">
      <c r="A4179" t="s">
        <v>6305</v>
      </c>
      <c r="B4179" s="150" t="str">
        <f>IFERROR(VLOOKUP(Proc[[#This Row],[App]],Table2[],3,0),"open")</f>
        <v>ok</v>
      </c>
      <c r="C4179" t="s">
        <v>369</v>
      </c>
      <c r="D4179" t="s">
        <v>6291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6308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22</v>
      </c>
      <c r="R4179" s="146" t="s">
        <v>410</v>
      </c>
      <c r="S4179" s="150"/>
    </row>
    <row r="4180" spans="1:19" hidden="1">
      <c r="A4180" s="149" t="s">
        <v>6305</v>
      </c>
      <c r="B4180" s="150" t="str">
        <f>IFERROR(VLOOKUP(Proc[[#This Row],[App]],Table2[],3,0),"open")</f>
        <v>ok</v>
      </c>
      <c r="C4180" s="149" t="s">
        <v>369</v>
      </c>
      <c r="D4180" t="s">
        <v>6292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6308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22</v>
      </c>
      <c r="R4180" s="146" t="s">
        <v>410</v>
      </c>
      <c r="S4180" s="150"/>
    </row>
    <row r="4181" spans="1:19" hidden="1">
      <c r="A4181" s="149" t="s">
        <v>6305</v>
      </c>
      <c r="B4181" s="150" t="str">
        <f>IFERROR(VLOOKUP(Proc[[#This Row],[App]],Table2[],3,0),"open")</f>
        <v>ok</v>
      </c>
      <c r="C4181" s="149" t="s">
        <v>369</v>
      </c>
      <c r="D4181" t="s">
        <v>6293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6308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22</v>
      </c>
      <c r="R4181" s="146" t="s">
        <v>410</v>
      </c>
      <c r="S4181" s="150"/>
    </row>
    <row r="4182" spans="1:19" hidden="1">
      <c r="A4182" s="149" t="s">
        <v>6305</v>
      </c>
      <c r="B4182" s="150" t="str">
        <f>IFERROR(VLOOKUP(Proc[[#This Row],[App]],Table2[],3,0),"open")</f>
        <v>ok</v>
      </c>
      <c r="C4182" s="149" t="s">
        <v>369</v>
      </c>
      <c r="D4182" t="s">
        <v>6294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6308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22</v>
      </c>
      <c r="R4182" s="146" t="s">
        <v>410</v>
      </c>
      <c r="S4182" s="150"/>
    </row>
    <row r="4183" spans="1:19" hidden="1">
      <c r="A4183" s="149" t="s">
        <v>6305</v>
      </c>
      <c r="B4183" s="150" t="str">
        <f>IFERROR(VLOOKUP(Proc[[#This Row],[App]],Table2[],3,0),"open")</f>
        <v>ok</v>
      </c>
      <c r="C4183" s="149" t="s">
        <v>369</v>
      </c>
      <c r="D4183" t="s">
        <v>6295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6308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22</v>
      </c>
      <c r="R4183" s="146" t="s">
        <v>410</v>
      </c>
      <c r="S4183" s="150"/>
    </row>
    <row r="4184" spans="1:19" hidden="1">
      <c r="A4184" s="149" t="s">
        <v>6305</v>
      </c>
      <c r="B4184" s="150" t="str">
        <f>IFERROR(VLOOKUP(Proc[[#This Row],[App]],Table2[],3,0),"open")</f>
        <v>ok</v>
      </c>
      <c r="C4184" s="149" t="s">
        <v>369</v>
      </c>
      <c r="D4184" t="s">
        <v>6296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6308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22</v>
      </c>
      <c r="R4184" s="146" t="s">
        <v>410</v>
      </c>
      <c r="S4184" s="150"/>
    </row>
    <row r="4185" spans="1:19" hidden="1">
      <c r="A4185" s="149" t="s">
        <v>6305</v>
      </c>
      <c r="B4185" s="150" t="str">
        <f>IFERROR(VLOOKUP(Proc[[#This Row],[App]],Table2[],3,0),"open")</f>
        <v>ok</v>
      </c>
      <c r="C4185" s="149" t="s">
        <v>369</v>
      </c>
      <c r="D4185" t="s">
        <v>6297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6308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22</v>
      </c>
      <c r="R4185" s="146" t="s">
        <v>410</v>
      </c>
      <c r="S4185" s="150"/>
    </row>
    <row r="4186" spans="1:19" hidden="1">
      <c r="A4186" s="149" t="s">
        <v>6305</v>
      </c>
      <c r="B4186" s="150" t="str">
        <f>IFERROR(VLOOKUP(Proc[[#This Row],[App]],Table2[],3,0),"open")</f>
        <v>ok</v>
      </c>
      <c r="C4186" s="149" t="s">
        <v>369</v>
      </c>
      <c r="D4186" t="s">
        <v>6298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6308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22</v>
      </c>
      <c r="R4186" s="146" t="s">
        <v>410</v>
      </c>
      <c r="S4186" s="150"/>
    </row>
    <row r="4187" spans="1:19" hidden="1">
      <c r="A4187" s="149" t="s">
        <v>6305</v>
      </c>
      <c r="B4187" s="150" t="str">
        <f>IFERROR(VLOOKUP(Proc[[#This Row],[App]],Table2[],3,0),"open")</f>
        <v>ok</v>
      </c>
      <c r="C4187" s="149" t="s">
        <v>369</v>
      </c>
      <c r="D4187" t="s">
        <v>6299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6308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22</v>
      </c>
      <c r="R4187" s="146" t="s">
        <v>410</v>
      </c>
      <c r="S4187" s="150"/>
    </row>
    <row r="4188" spans="1:19" hidden="1">
      <c r="A4188" s="149" t="s">
        <v>6305</v>
      </c>
      <c r="B4188" s="150" t="str">
        <f>IFERROR(VLOOKUP(Proc[[#This Row],[App]],Table2[],3,0),"open")</f>
        <v>ok</v>
      </c>
      <c r="C4188" s="149" t="s">
        <v>369</v>
      </c>
      <c r="D4188" t="s">
        <v>6300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6308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22</v>
      </c>
      <c r="R4188" s="146" t="s">
        <v>410</v>
      </c>
      <c r="S4188" s="150"/>
    </row>
    <row r="4189" spans="1:19" hidden="1">
      <c r="A4189" s="149" t="s">
        <v>6305</v>
      </c>
      <c r="B4189" s="150" t="str">
        <f>IFERROR(VLOOKUP(Proc[[#This Row],[App]],Table2[],3,0),"open")</f>
        <v>ok</v>
      </c>
      <c r="C4189" s="149" t="s">
        <v>369</v>
      </c>
      <c r="D4189" t="s">
        <v>6310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6309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22</v>
      </c>
      <c r="R4189" s="146" t="s">
        <v>410</v>
      </c>
      <c r="S4189" s="150"/>
    </row>
    <row r="4190" spans="1:19" hidden="1">
      <c r="A4190" s="149" t="s">
        <v>6305</v>
      </c>
      <c r="B4190" s="150" t="str">
        <f>IFERROR(VLOOKUP(Proc[[#This Row],[App]],Table2[],3,0),"open")</f>
        <v>ok</v>
      </c>
      <c r="C4190" s="149" t="s">
        <v>369</v>
      </c>
      <c r="D4190" t="s">
        <v>6311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6309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22</v>
      </c>
      <c r="R4190" s="146" t="s">
        <v>410</v>
      </c>
      <c r="S4190" s="150"/>
    </row>
    <row r="4191" spans="1:19" hidden="1">
      <c r="A4191" s="149" t="s">
        <v>6305</v>
      </c>
      <c r="B4191" s="150" t="str">
        <f>IFERROR(VLOOKUP(Proc[[#This Row],[App]],Table2[],3,0),"open")</f>
        <v>ok</v>
      </c>
      <c r="C4191" s="149" t="s">
        <v>369</v>
      </c>
      <c r="D4191" t="s">
        <v>6301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6308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22</v>
      </c>
      <c r="R4191" s="146" t="s">
        <v>410</v>
      </c>
      <c r="S4191" s="150"/>
    </row>
    <row r="4192" spans="1:19" hidden="1">
      <c r="A4192" s="149" t="s">
        <v>6305</v>
      </c>
      <c r="B4192" s="150" t="str">
        <f>IFERROR(VLOOKUP(Proc[[#This Row],[App]],Table2[],3,0),"open")</f>
        <v>ok</v>
      </c>
      <c r="C4192" s="149" t="s">
        <v>369</v>
      </c>
      <c r="D4192" t="s">
        <v>6312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6309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22</v>
      </c>
      <c r="R4192" s="146" t="s">
        <v>410</v>
      </c>
      <c r="S4192" s="150"/>
    </row>
    <row r="4193" spans="1:19" hidden="1">
      <c r="A4193" s="149" t="s">
        <v>6305</v>
      </c>
      <c r="B4193" s="150" t="str">
        <f>IFERROR(VLOOKUP(Proc[[#This Row],[App]],Table2[],3,0),"open")</f>
        <v>ok</v>
      </c>
      <c r="C4193" s="149" t="s">
        <v>369</v>
      </c>
      <c r="D4193" t="s">
        <v>6302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6308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22</v>
      </c>
      <c r="R4193" s="146" t="s">
        <v>410</v>
      </c>
      <c r="S4193" s="150"/>
    </row>
    <row r="4194" spans="1:19" hidden="1">
      <c r="A4194" s="149" t="s">
        <v>6305</v>
      </c>
      <c r="B4194" s="150" t="str">
        <f>IFERROR(VLOOKUP(Proc[[#This Row],[App]],Table2[],3,0),"open")</f>
        <v>ok</v>
      </c>
      <c r="C4194" s="149" t="s">
        <v>369</v>
      </c>
      <c r="D4194" t="s">
        <v>6303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6308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22</v>
      </c>
      <c r="R4194" s="146" t="s">
        <v>410</v>
      </c>
      <c r="S4194" s="150"/>
    </row>
    <row r="4195" spans="1:19" hidden="1">
      <c r="A4195" s="149" t="s">
        <v>6305</v>
      </c>
      <c r="B4195" s="150" t="str">
        <f>IFERROR(VLOOKUP(Proc[[#This Row],[App]],Table2[],3,0),"open")</f>
        <v>ok</v>
      </c>
      <c r="C4195" s="149" t="s">
        <v>369</v>
      </c>
      <c r="D4195" t="s">
        <v>6304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6308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22</v>
      </c>
      <c r="R4195" s="146" t="s">
        <v>410</v>
      </c>
      <c r="S4195" s="150"/>
    </row>
    <row r="4196" spans="1:19" hidden="1">
      <c r="A4196" t="s">
        <v>6306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6309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22</v>
      </c>
      <c r="R4196" s="146" t="s">
        <v>6307</v>
      </c>
      <c r="S4196" s="150"/>
    </row>
    <row r="4197" spans="1:19" hidden="1">
      <c r="A4197" s="149" t="s">
        <v>6306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6309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22</v>
      </c>
      <c r="R4197" s="146" t="s">
        <v>6307</v>
      </c>
      <c r="S4197" s="150"/>
    </row>
    <row r="4198" spans="1:19" hidden="1">
      <c r="A4198" s="149" t="s">
        <v>6306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6309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22</v>
      </c>
      <c r="R4198" s="146" t="s">
        <v>6307</v>
      </c>
      <c r="S4198" s="150"/>
    </row>
    <row r="4199" spans="1:19" hidden="1">
      <c r="A4199" t="s">
        <v>6313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6325</v>
      </c>
      <c r="F4199" s="150" t="s">
        <v>6325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21</v>
      </c>
      <c r="R4199" s="146" t="s">
        <v>780</v>
      </c>
      <c r="S4199" s="150"/>
    </row>
    <row r="4200" spans="1:19" hidden="1">
      <c r="A4200" s="149" t="s">
        <v>6313</v>
      </c>
      <c r="B4200" s="150" t="str">
        <f>IFERROR(VLOOKUP(Proc[[#This Row],[App]],Table2[],3,0),"open")</f>
        <v>ok</v>
      </c>
      <c r="C4200" s="149" t="s">
        <v>369</v>
      </c>
      <c r="D4200" t="s">
        <v>6314</v>
      </c>
      <c r="E4200" t="s">
        <v>6325</v>
      </c>
      <c r="F4200" s="150" t="s">
        <v>6325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21</v>
      </c>
      <c r="R4200" s="146" t="s">
        <v>780</v>
      </c>
      <c r="S4200" s="150"/>
    </row>
    <row r="4201" spans="1:19" hidden="1">
      <c r="A4201" s="149" t="s">
        <v>6313</v>
      </c>
      <c r="B4201" s="150" t="str">
        <f>IFERROR(VLOOKUP(Proc[[#This Row],[App]],Table2[],3,0),"open")</f>
        <v>ok</v>
      </c>
      <c r="C4201" s="149" t="s">
        <v>369</v>
      </c>
      <c r="D4201" t="s">
        <v>6315</v>
      </c>
      <c r="E4201" t="s">
        <v>6325</v>
      </c>
      <c r="F4201" s="150" t="s">
        <v>6325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21</v>
      </c>
      <c r="R4201" s="146" t="s">
        <v>780</v>
      </c>
      <c r="S4201" s="150"/>
    </row>
    <row r="4202" spans="1:19" hidden="1">
      <c r="A4202" s="149" t="s">
        <v>6313</v>
      </c>
      <c r="B4202" s="150" t="str">
        <f>IFERROR(VLOOKUP(Proc[[#This Row],[App]],Table2[],3,0),"open")</f>
        <v>ok</v>
      </c>
      <c r="C4202" s="149" t="s">
        <v>369</v>
      </c>
      <c r="D4202" t="s">
        <v>6316</v>
      </c>
      <c r="E4202" t="s">
        <v>6325</v>
      </c>
      <c r="F4202" s="150" t="s">
        <v>6325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21</v>
      </c>
      <c r="R4202" s="146" t="s">
        <v>780</v>
      </c>
      <c r="S4202" s="150"/>
    </row>
    <row r="4203" spans="1:19" hidden="1">
      <c r="A4203" s="149" t="s">
        <v>6313</v>
      </c>
      <c r="B4203" s="150" t="str">
        <f>IFERROR(VLOOKUP(Proc[[#This Row],[App]],Table2[],3,0),"open")</f>
        <v>ok</v>
      </c>
      <c r="C4203" s="149" t="s">
        <v>369</v>
      </c>
      <c r="D4203" t="s">
        <v>6317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6353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21</v>
      </c>
      <c r="R4203" s="146" t="s">
        <v>780</v>
      </c>
      <c r="S4203" s="150"/>
    </row>
    <row r="4204" spans="1:19" hidden="1">
      <c r="A4204" s="149" t="s">
        <v>6313</v>
      </c>
      <c r="B4204" s="150" t="str">
        <f>IFERROR(VLOOKUP(Proc[[#This Row],[App]],Table2[],3,0),"open")</f>
        <v>ok</v>
      </c>
      <c r="C4204" s="149" t="s">
        <v>369</v>
      </c>
      <c r="D4204" t="s">
        <v>6318</v>
      </c>
      <c r="E4204" t="s">
        <v>6326</v>
      </c>
      <c r="F4204" s="150" t="s">
        <v>6326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21</v>
      </c>
      <c r="R4204" s="146" t="s">
        <v>780</v>
      </c>
      <c r="S4204" s="150"/>
    </row>
    <row r="4205" spans="1:19" hidden="1">
      <c r="A4205" s="149" t="s">
        <v>6313</v>
      </c>
      <c r="B4205" s="150" t="str">
        <f>IFERROR(VLOOKUP(Proc[[#This Row],[App]],Table2[],3,0),"open")</f>
        <v>ok</v>
      </c>
      <c r="C4205" s="149" t="s">
        <v>369</v>
      </c>
      <c r="D4205" t="s">
        <v>6319</v>
      </c>
      <c r="E4205" t="s">
        <v>6327</v>
      </c>
      <c r="F4205" s="150" t="s">
        <v>6327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21</v>
      </c>
      <c r="R4205" s="146" t="s">
        <v>780</v>
      </c>
      <c r="S4205" s="150"/>
    </row>
    <row r="4206" spans="1:19" hidden="1">
      <c r="A4206" s="149" t="s">
        <v>6313</v>
      </c>
      <c r="B4206" s="150" t="str">
        <f>IFERROR(VLOOKUP(Proc[[#This Row],[App]],Table2[],3,0),"open")</f>
        <v>ok</v>
      </c>
      <c r="C4206" s="149" t="s">
        <v>369</v>
      </c>
      <c r="D4206" s="149" t="s">
        <v>6332</v>
      </c>
      <c r="E4206" t="s">
        <v>6328</v>
      </c>
      <c r="F4206" s="150" t="s">
        <v>6328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6320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21</v>
      </c>
      <c r="R4206" s="146" t="s">
        <v>780</v>
      </c>
      <c r="S4206" s="150"/>
    </row>
    <row r="4207" spans="1:19" hidden="1">
      <c r="A4207" s="149" t="s">
        <v>6313</v>
      </c>
      <c r="B4207" s="150" t="str">
        <f>IFERROR(VLOOKUP(Proc[[#This Row],[App]],Table2[],3,0),"open")</f>
        <v>ok</v>
      </c>
      <c r="C4207" s="149" t="s">
        <v>369</v>
      </c>
      <c r="D4207" s="149" t="s">
        <v>6333</v>
      </c>
      <c r="E4207" t="s">
        <v>6329</v>
      </c>
      <c r="F4207" s="150" t="s">
        <v>6329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6321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21</v>
      </c>
      <c r="R4207" s="146" t="s">
        <v>780</v>
      </c>
      <c r="S4207" s="150"/>
    </row>
    <row r="4208" spans="1:19" hidden="1">
      <c r="A4208" s="149" t="s">
        <v>6313</v>
      </c>
      <c r="B4208" s="150" t="str">
        <f>IFERROR(VLOOKUP(Proc[[#This Row],[App]],Table2[],3,0),"open")</f>
        <v>ok</v>
      </c>
      <c r="C4208" s="149" t="s">
        <v>369</v>
      </c>
      <c r="D4208" s="149" t="s">
        <v>6334</v>
      </c>
      <c r="E4208" t="s">
        <v>6330</v>
      </c>
      <c r="F4208" s="150" t="s">
        <v>6330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6322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21</v>
      </c>
      <c r="R4208" s="146" t="s">
        <v>780</v>
      </c>
      <c r="S4208" s="150"/>
    </row>
    <row r="4209" spans="1:19" hidden="1">
      <c r="A4209" s="149" t="s">
        <v>6313</v>
      </c>
      <c r="B4209" s="150" t="str">
        <f>IFERROR(VLOOKUP(Proc[[#This Row],[App]],Table2[],3,0),"open")</f>
        <v>ok</v>
      </c>
      <c r="C4209" s="149" t="s">
        <v>369</v>
      </c>
      <c r="D4209" t="s">
        <v>6323</v>
      </c>
      <c r="E4209" t="s">
        <v>6331</v>
      </c>
      <c r="F4209" s="150" t="s">
        <v>6331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21</v>
      </c>
      <c r="R4209" s="146" t="s">
        <v>780</v>
      </c>
      <c r="S4209" s="150"/>
    </row>
    <row r="4210" spans="1:19" hidden="1">
      <c r="A4210" s="149" t="s">
        <v>6313</v>
      </c>
      <c r="B4210" s="150" t="str">
        <f>IFERROR(VLOOKUP(Proc[[#This Row],[App]],Table2[],3,0),"open")</f>
        <v>ok</v>
      </c>
      <c r="C4210" s="149" t="s">
        <v>369</v>
      </c>
      <c r="D4210" t="s">
        <v>6324</v>
      </c>
      <c r="E4210" t="s">
        <v>6331</v>
      </c>
      <c r="F4210" s="150" t="s">
        <v>6331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21</v>
      </c>
      <c r="R4210" s="146" t="s">
        <v>780</v>
      </c>
      <c r="S4210" s="150"/>
    </row>
    <row r="4211" spans="1:19" hidden="1">
      <c r="A4211" t="s">
        <v>6346</v>
      </c>
      <c r="B4211" s="150" t="str">
        <f>IFERROR(VLOOKUP(Proc[[#This Row],[App]],Table2[],3,0),"open")</f>
        <v>ok</v>
      </c>
      <c r="C4211" s="149" t="s">
        <v>369</v>
      </c>
      <c r="D4211" t="s">
        <v>6335</v>
      </c>
      <c r="E4211" t="s">
        <v>6347</v>
      </c>
      <c r="F4211" s="150" t="s">
        <v>6347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20</v>
      </c>
      <c r="R4211" s="146" t="s">
        <v>780</v>
      </c>
      <c r="S4211" s="150"/>
    </row>
    <row r="4212" spans="1:19" hidden="1">
      <c r="A4212" s="149" t="s">
        <v>6346</v>
      </c>
      <c r="B4212" s="150" t="str">
        <f>IFERROR(VLOOKUP(Proc[[#This Row],[App]],Table2[],3,0),"open")</f>
        <v>ok</v>
      </c>
      <c r="C4212" s="149" t="s">
        <v>369</v>
      </c>
      <c r="D4212" t="s">
        <v>6336</v>
      </c>
      <c r="E4212" t="s">
        <v>6348</v>
      </c>
      <c r="F4212" s="150" t="s">
        <v>6348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20</v>
      </c>
      <c r="R4212" s="146" t="s">
        <v>780</v>
      </c>
      <c r="S4212" s="150"/>
    </row>
    <row r="4213" spans="1:19" hidden="1">
      <c r="A4213" s="149" t="s">
        <v>6346</v>
      </c>
      <c r="B4213" s="150" t="str">
        <f>IFERROR(VLOOKUP(Proc[[#This Row],[App]],Table2[],3,0),"open")</f>
        <v>ok</v>
      </c>
      <c r="C4213" s="149" t="s">
        <v>369</v>
      </c>
      <c r="D4213" t="s">
        <v>6337</v>
      </c>
      <c r="E4213" t="s">
        <v>6349</v>
      </c>
      <c r="F4213" s="150" t="s">
        <v>6349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20</v>
      </c>
      <c r="R4213" s="146" t="s">
        <v>780</v>
      </c>
      <c r="S4213" s="150"/>
    </row>
    <row r="4214" spans="1:19" hidden="1">
      <c r="A4214" s="149" t="s">
        <v>6346</v>
      </c>
      <c r="B4214" s="150" t="str">
        <f>IFERROR(VLOOKUP(Proc[[#This Row],[App]],Table2[],3,0),"open")</f>
        <v>ok</v>
      </c>
      <c r="C4214" s="149" t="s">
        <v>369</v>
      </c>
      <c r="D4214" t="s">
        <v>6338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20</v>
      </c>
      <c r="R4214" s="146" t="s">
        <v>780</v>
      </c>
      <c r="S4214" s="150"/>
    </row>
    <row r="4215" spans="1:19" hidden="1">
      <c r="A4215" s="149" t="s">
        <v>6346</v>
      </c>
      <c r="B4215" s="150" t="str">
        <f>IFERROR(VLOOKUP(Proc[[#This Row],[App]],Table2[],3,0),"open")</f>
        <v>ok</v>
      </c>
      <c r="C4215" s="149" t="s">
        <v>369</v>
      </c>
      <c r="D4215" t="s">
        <v>6339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20</v>
      </c>
      <c r="R4215" s="146" t="s">
        <v>780</v>
      </c>
      <c r="S4215" s="150"/>
    </row>
    <row r="4216" spans="1:19" hidden="1">
      <c r="A4216" s="149" t="s">
        <v>6346</v>
      </c>
      <c r="B4216" s="150" t="str">
        <f>IFERROR(VLOOKUP(Proc[[#This Row],[App]],Table2[],3,0),"open")</f>
        <v>ok</v>
      </c>
      <c r="C4216" s="149" t="s">
        <v>369</v>
      </c>
      <c r="D4216" t="s">
        <v>6340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20</v>
      </c>
      <c r="R4216" s="146" t="s">
        <v>780</v>
      </c>
      <c r="S4216" s="150"/>
    </row>
    <row r="4217" spans="1:19" hidden="1">
      <c r="A4217" s="149" t="s">
        <v>6346</v>
      </c>
      <c r="B4217" s="150" t="str">
        <f>IFERROR(VLOOKUP(Proc[[#This Row],[App]],Table2[],3,0),"open")</f>
        <v>ok</v>
      </c>
      <c r="C4217" s="149" t="s">
        <v>369</v>
      </c>
      <c r="D4217" t="s">
        <v>6352</v>
      </c>
      <c r="E4217" t="s">
        <v>6350</v>
      </c>
      <c r="F4217" s="150" t="s">
        <v>6350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20</v>
      </c>
      <c r="R4217" s="146" t="s">
        <v>780</v>
      </c>
      <c r="S4217" s="150"/>
    </row>
    <row r="4218" spans="1:19" hidden="1">
      <c r="A4218" s="149" t="s">
        <v>6346</v>
      </c>
      <c r="B4218" s="150" t="str">
        <f>IFERROR(VLOOKUP(Proc[[#This Row],[App]],Table2[],3,0),"open")</f>
        <v>ok</v>
      </c>
      <c r="C4218" s="149" t="s">
        <v>369</v>
      </c>
      <c r="D4218" t="s">
        <v>6341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20</v>
      </c>
      <c r="R4218" s="146" t="s">
        <v>780</v>
      </c>
      <c r="S4218" s="150"/>
    </row>
    <row r="4219" spans="1:19" hidden="1">
      <c r="A4219" s="149" t="s">
        <v>6346</v>
      </c>
      <c r="B4219" s="150" t="str">
        <f>IFERROR(VLOOKUP(Proc[[#This Row],[App]],Table2[],3,0),"open")</f>
        <v>ok</v>
      </c>
      <c r="C4219" s="149" t="s">
        <v>369</v>
      </c>
      <c r="D4219" t="s">
        <v>6342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20</v>
      </c>
      <c r="R4219" s="146" t="s">
        <v>780</v>
      </c>
      <c r="S4219" s="150"/>
    </row>
    <row r="4220" spans="1:19" hidden="1">
      <c r="A4220" s="149" t="s">
        <v>6346</v>
      </c>
      <c r="B4220" s="150" t="str">
        <f>IFERROR(VLOOKUP(Proc[[#This Row],[App]],Table2[],3,0),"open")</f>
        <v>ok</v>
      </c>
      <c r="C4220" s="149" t="s">
        <v>369</v>
      </c>
      <c r="D4220" t="s">
        <v>6343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6351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20</v>
      </c>
      <c r="R4220" s="146" t="s">
        <v>780</v>
      </c>
      <c r="S4220" s="150"/>
    </row>
    <row r="4221" spans="1:19" hidden="1">
      <c r="A4221" s="149" t="s">
        <v>6346</v>
      </c>
      <c r="B4221" s="150" t="str">
        <f>IFERROR(VLOOKUP(Proc[[#This Row],[App]],Table2[],3,0),"open")</f>
        <v>ok</v>
      </c>
      <c r="C4221" s="149" t="s">
        <v>369</v>
      </c>
      <c r="D4221" t="s">
        <v>6344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20</v>
      </c>
      <c r="R4221" s="146" t="s">
        <v>780</v>
      </c>
      <c r="S4221" s="150"/>
    </row>
    <row r="4222" spans="1:19" hidden="1">
      <c r="A4222" s="149" t="s">
        <v>6346</v>
      </c>
      <c r="B4222" s="150" t="str">
        <f>IFERROR(VLOOKUP(Proc[[#This Row],[App]],Table2[],3,0),"open")</f>
        <v>ok</v>
      </c>
      <c r="C4222" s="149" t="s">
        <v>369</v>
      </c>
      <c r="D4222" t="s">
        <v>6345</v>
      </c>
      <c r="E4222" t="s">
        <v>6513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20</v>
      </c>
      <c r="R4222" s="146" t="s">
        <v>780</v>
      </c>
      <c r="S4222" s="150"/>
    </row>
    <row r="4223" spans="1:19" hidden="1">
      <c r="A4223" t="s">
        <v>6354</v>
      </c>
      <c r="B4223" s="150" t="str">
        <f>IFERROR(VLOOKUP(Proc[[#This Row],[App]],Table2[],3,0),"open")</f>
        <v>ok</v>
      </c>
      <c r="C4223" s="149" t="s">
        <v>369</v>
      </c>
      <c r="D4223" t="s">
        <v>6355</v>
      </c>
      <c r="E4223" t="s">
        <v>6356</v>
      </c>
      <c r="F4223" s="150" t="s">
        <v>6356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17</v>
      </c>
      <c r="R4223" s="148" t="s">
        <v>489</v>
      </c>
      <c r="S4223" s="150"/>
    </row>
    <row r="4224" spans="1:19" hidden="1">
      <c r="A4224" t="s">
        <v>6358</v>
      </c>
      <c r="B4224" s="150" t="str">
        <f>IFERROR(VLOOKUP(Proc[[#This Row],[App]],Table2[],3,0),"open")</f>
        <v>ok</v>
      </c>
      <c r="C4224" s="149" t="s">
        <v>369</v>
      </c>
      <c r="D4224" t="s">
        <v>6357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17</v>
      </c>
      <c r="R4224" s="148" t="s">
        <v>489</v>
      </c>
      <c r="S4224" s="150"/>
    </row>
    <row r="4225" spans="1:19" hidden="1">
      <c r="A4225" t="s">
        <v>6404</v>
      </c>
      <c r="B4225" s="150" t="str">
        <f>IFERROR(VLOOKUP(Proc[[#This Row],[App]],Table2[],3,0),"open")</f>
        <v>ok</v>
      </c>
      <c r="C4225" s="149" t="s">
        <v>369</v>
      </c>
      <c r="D4225" t="s">
        <v>6359</v>
      </c>
      <c r="E4225" t="s">
        <v>6405</v>
      </c>
      <c r="F4225" s="150" t="s">
        <v>6405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17</v>
      </c>
      <c r="R4225" s="152" t="s">
        <v>410</v>
      </c>
      <c r="S4225" s="150"/>
    </row>
    <row r="4226" spans="1:19" hidden="1">
      <c r="A4226" s="149" t="s">
        <v>6404</v>
      </c>
      <c r="B4226" s="150" t="str">
        <f>IFERROR(VLOOKUP(Proc[[#This Row],[App]],Table2[],3,0),"open")</f>
        <v>ok</v>
      </c>
      <c r="C4226" s="149" t="s">
        <v>369</v>
      </c>
      <c r="D4226" t="s">
        <v>6360</v>
      </c>
      <c r="E4226" t="s">
        <v>6405</v>
      </c>
      <c r="F4226" s="150" t="s">
        <v>6405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17</v>
      </c>
      <c r="R4226" s="152" t="s">
        <v>410</v>
      </c>
      <c r="S4226" s="150"/>
    </row>
    <row r="4227" spans="1:19" hidden="1">
      <c r="A4227" s="149" t="s">
        <v>6404</v>
      </c>
      <c r="B4227" s="150" t="str">
        <f>IFERROR(VLOOKUP(Proc[[#This Row],[App]],Table2[],3,0),"open")</f>
        <v>ok</v>
      </c>
      <c r="C4227" s="149" t="s">
        <v>369</v>
      </c>
      <c r="D4227" t="s">
        <v>6361</v>
      </c>
      <c r="E4227" t="s">
        <v>6406</v>
      </c>
      <c r="F4227" s="150" t="s">
        <v>6406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17</v>
      </c>
      <c r="R4227" s="152" t="s">
        <v>410</v>
      </c>
      <c r="S4227" s="150"/>
    </row>
    <row r="4228" spans="1:19" hidden="1">
      <c r="A4228" s="149" t="s">
        <v>6404</v>
      </c>
      <c r="B4228" s="150" t="str">
        <f>IFERROR(VLOOKUP(Proc[[#This Row],[App]],Table2[],3,0),"open")</f>
        <v>ok</v>
      </c>
      <c r="C4228" s="149" t="s">
        <v>369</v>
      </c>
      <c r="D4228" t="s">
        <v>6362</v>
      </c>
      <c r="E4228" t="s">
        <v>6405</v>
      </c>
      <c r="F4228" s="150" t="s">
        <v>6405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17</v>
      </c>
      <c r="R4228" s="152" t="s">
        <v>410</v>
      </c>
      <c r="S4228" s="150"/>
    </row>
    <row r="4229" spans="1:19" hidden="1">
      <c r="A4229" s="149" t="s">
        <v>6404</v>
      </c>
      <c r="B4229" s="150" t="str">
        <f>IFERROR(VLOOKUP(Proc[[#This Row],[App]],Table2[],3,0),"open")</f>
        <v>ok</v>
      </c>
      <c r="C4229" s="149" t="s">
        <v>369</v>
      </c>
      <c r="D4229" t="s">
        <v>6363</v>
      </c>
      <c r="E4229" t="s">
        <v>6405</v>
      </c>
      <c r="F4229" s="150" t="s">
        <v>6405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17</v>
      </c>
      <c r="R4229" s="152" t="s">
        <v>410</v>
      </c>
      <c r="S4229" s="150"/>
    </row>
    <row r="4230" spans="1:19" hidden="1">
      <c r="A4230" s="149" t="s">
        <v>6404</v>
      </c>
      <c r="B4230" s="150" t="str">
        <f>IFERROR(VLOOKUP(Proc[[#This Row],[App]],Table2[],3,0),"open")</f>
        <v>ok</v>
      </c>
      <c r="C4230" s="149" t="s">
        <v>369</v>
      </c>
      <c r="D4230" t="s">
        <v>6364</v>
      </c>
      <c r="E4230" t="s">
        <v>6406</v>
      </c>
      <c r="F4230" s="150" t="s">
        <v>6406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17</v>
      </c>
      <c r="R4230" s="152" t="s">
        <v>410</v>
      </c>
      <c r="S4230" s="150"/>
    </row>
    <row r="4231" spans="1:19" hidden="1">
      <c r="A4231" s="149" t="s">
        <v>6404</v>
      </c>
      <c r="B4231" s="150" t="str">
        <f>IFERROR(VLOOKUP(Proc[[#This Row],[App]],Table2[],3,0),"open")</f>
        <v>ok</v>
      </c>
      <c r="C4231" s="149" t="s">
        <v>369</v>
      </c>
      <c r="D4231" t="s">
        <v>6365</v>
      </c>
      <c r="E4231" t="s">
        <v>6406</v>
      </c>
      <c r="F4231" s="150" t="s">
        <v>6406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17</v>
      </c>
      <c r="R4231" s="152" t="s">
        <v>410</v>
      </c>
      <c r="S4231" s="150"/>
    </row>
    <row r="4232" spans="1:19" hidden="1">
      <c r="A4232" s="149" t="s">
        <v>6404</v>
      </c>
      <c r="B4232" s="150" t="str">
        <f>IFERROR(VLOOKUP(Proc[[#This Row],[App]],Table2[],3,0),"open")</f>
        <v>ok</v>
      </c>
      <c r="C4232" s="149" t="s">
        <v>369</v>
      </c>
      <c r="D4232" t="s">
        <v>6366</v>
      </c>
      <c r="E4232" t="s">
        <v>6406</v>
      </c>
      <c r="F4232" s="150" t="s">
        <v>6406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17</v>
      </c>
      <c r="R4232" s="152" t="s">
        <v>410</v>
      </c>
      <c r="S4232" s="150"/>
    </row>
    <row r="4233" spans="1:19" hidden="1">
      <c r="A4233" s="149" t="s">
        <v>6404</v>
      </c>
      <c r="B4233" s="150" t="str">
        <f>IFERROR(VLOOKUP(Proc[[#This Row],[App]],Table2[],3,0),"open")</f>
        <v>ok</v>
      </c>
      <c r="C4233" s="149" t="s">
        <v>369</v>
      </c>
      <c r="D4233" t="s">
        <v>6367</v>
      </c>
      <c r="E4233" t="s">
        <v>6405</v>
      </c>
      <c r="F4233" s="150" t="s">
        <v>6405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17</v>
      </c>
      <c r="R4233" s="152" t="s">
        <v>410</v>
      </c>
      <c r="S4233" s="150"/>
    </row>
    <row r="4234" spans="1:19" hidden="1">
      <c r="A4234" s="149" t="s">
        <v>6404</v>
      </c>
      <c r="B4234" s="150" t="str">
        <f>IFERROR(VLOOKUP(Proc[[#This Row],[App]],Table2[],3,0),"open")</f>
        <v>ok</v>
      </c>
      <c r="C4234" s="149" t="s">
        <v>369</v>
      </c>
      <c r="D4234" t="s">
        <v>6368</v>
      </c>
      <c r="E4234" t="s">
        <v>6406</v>
      </c>
      <c r="F4234" s="150" t="s">
        <v>6406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17</v>
      </c>
      <c r="R4234" s="152" t="s">
        <v>410</v>
      </c>
      <c r="S4234" s="150"/>
    </row>
    <row r="4235" spans="1:19" hidden="1">
      <c r="A4235" s="149" t="s">
        <v>6404</v>
      </c>
      <c r="B4235" s="150" t="str">
        <f>IFERROR(VLOOKUP(Proc[[#This Row],[App]],Table2[],3,0),"open")</f>
        <v>ok</v>
      </c>
      <c r="C4235" s="149" t="s">
        <v>369</v>
      </c>
      <c r="D4235" t="s">
        <v>6369</v>
      </c>
      <c r="E4235" t="s">
        <v>6406</v>
      </c>
      <c r="F4235" s="150" t="s">
        <v>6406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17</v>
      </c>
      <c r="R4235" s="152" t="s">
        <v>410</v>
      </c>
      <c r="S4235" s="150"/>
    </row>
    <row r="4236" spans="1:19" hidden="1">
      <c r="A4236" s="149" t="s">
        <v>6404</v>
      </c>
      <c r="B4236" s="150" t="str">
        <f>IFERROR(VLOOKUP(Proc[[#This Row],[App]],Table2[],3,0),"open")</f>
        <v>ok</v>
      </c>
      <c r="C4236" s="149" t="s">
        <v>369</v>
      </c>
      <c r="D4236" t="s">
        <v>6370</v>
      </c>
      <c r="E4236" t="s">
        <v>6406</v>
      </c>
      <c r="F4236" s="150" t="s">
        <v>6406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17</v>
      </c>
      <c r="R4236" s="152" t="s">
        <v>410</v>
      </c>
      <c r="S4236" s="150"/>
    </row>
    <row r="4237" spans="1:19" hidden="1">
      <c r="A4237" s="149" t="s">
        <v>6404</v>
      </c>
      <c r="B4237" s="150" t="str">
        <f>IFERROR(VLOOKUP(Proc[[#This Row],[App]],Table2[],3,0),"open")</f>
        <v>ok</v>
      </c>
      <c r="C4237" s="149" t="s">
        <v>369</v>
      </c>
      <c r="D4237" t="s">
        <v>6371</v>
      </c>
      <c r="E4237" t="s">
        <v>6406</v>
      </c>
      <c r="F4237" s="150" t="s">
        <v>6406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17</v>
      </c>
      <c r="R4237" s="152" t="s">
        <v>410</v>
      </c>
      <c r="S4237" s="150"/>
    </row>
    <row r="4238" spans="1:19" hidden="1">
      <c r="A4238" s="149" t="s">
        <v>6404</v>
      </c>
      <c r="B4238" s="150" t="str">
        <f>IFERROR(VLOOKUP(Proc[[#This Row],[App]],Table2[],3,0),"open")</f>
        <v>ok</v>
      </c>
      <c r="C4238" s="149" t="s">
        <v>369</v>
      </c>
      <c r="D4238" t="s">
        <v>6372</v>
      </c>
      <c r="E4238" t="s">
        <v>6406</v>
      </c>
      <c r="F4238" s="150" t="s">
        <v>6406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17</v>
      </c>
      <c r="R4238" s="152" t="s">
        <v>410</v>
      </c>
      <c r="S4238" s="150"/>
    </row>
    <row r="4239" spans="1:19" hidden="1">
      <c r="A4239" s="149" t="s">
        <v>6404</v>
      </c>
      <c r="B4239" s="150" t="str">
        <f>IFERROR(VLOOKUP(Proc[[#This Row],[App]],Table2[],3,0),"open")</f>
        <v>ok</v>
      </c>
      <c r="C4239" s="149" t="s">
        <v>369</v>
      </c>
      <c r="D4239" t="s">
        <v>6373</v>
      </c>
      <c r="E4239" t="s">
        <v>6405</v>
      </c>
      <c r="F4239" s="150" t="s">
        <v>6405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17</v>
      </c>
      <c r="R4239" s="152" t="s">
        <v>410</v>
      </c>
      <c r="S4239" s="150"/>
    </row>
    <row r="4240" spans="1:19" hidden="1">
      <c r="A4240" s="149" t="s">
        <v>6404</v>
      </c>
      <c r="B4240" s="150" t="str">
        <f>IFERROR(VLOOKUP(Proc[[#This Row],[App]],Table2[],3,0),"open")</f>
        <v>ok</v>
      </c>
      <c r="C4240" s="149" t="s">
        <v>369</v>
      </c>
      <c r="D4240" t="s">
        <v>6374</v>
      </c>
      <c r="E4240" t="s">
        <v>6405</v>
      </c>
      <c r="F4240" s="150" t="s">
        <v>6405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17</v>
      </c>
      <c r="R4240" s="152" t="s">
        <v>410</v>
      </c>
      <c r="S4240" s="150"/>
    </row>
    <row r="4241" spans="1:19" hidden="1">
      <c r="A4241" s="149" t="s">
        <v>6404</v>
      </c>
      <c r="B4241" s="150" t="str">
        <f>IFERROR(VLOOKUP(Proc[[#This Row],[App]],Table2[],3,0),"open")</f>
        <v>ok</v>
      </c>
      <c r="C4241" s="149" t="s">
        <v>369</v>
      </c>
      <c r="D4241" t="s">
        <v>6375</v>
      </c>
      <c r="E4241" t="s">
        <v>6405</v>
      </c>
      <c r="F4241" s="150" t="s">
        <v>6405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17</v>
      </c>
      <c r="R4241" s="152" t="s">
        <v>410</v>
      </c>
      <c r="S4241" s="150"/>
    </row>
    <row r="4242" spans="1:19" hidden="1">
      <c r="A4242" s="149" t="s">
        <v>6404</v>
      </c>
      <c r="B4242" s="150" t="str">
        <f>IFERROR(VLOOKUP(Proc[[#This Row],[App]],Table2[],3,0),"open")</f>
        <v>ok</v>
      </c>
      <c r="C4242" s="149" t="s">
        <v>369</v>
      </c>
      <c r="D4242" t="s">
        <v>6376</v>
      </c>
      <c r="E4242" t="s">
        <v>6405</v>
      </c>
      <c r="F4242" s="150" t="s">
        <v>6405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17</v>
      </c>
      <c r="R4242" s="152" t="s">
        <v>410</v>
      </c>
      <c r="S4242" s="150"/>
    </row>
    <row r="4243" spans="1:19" hidden="1">
      <c r="A4243" s="149" t="s">
        <v>6404</v>
      </c>
      <c r="B4243" s="150" t="str">
        <f>IFERROR(VLOOKUP(Proc[[#This Row],[App]],Table2[],3,0),"open")</f>
        <v>ok</v>
      </c>
      <c r="C4243" s="149" t="s">
        <v>369</v>
      </c>
      <c r="D4243" t="s">
        <v>6377</v>
      </c>
      <c r="E4243" t="s">
        <v>6405</v>
      </c>
      <c r="F4243" s="150" t="s">
        <v>6405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17</v>
      </c>
      <c r="R4243" s="152" t="s">
        <v>410</v>
      </c>
      <c r="S4243" s="150"/>
    </row>
    <row r="4244" spans="1:19" hidden="1">
      <c r="A4244" s="149" t="s">
        <v>6404</v>
      </c>
      <c r="B4244" s="150" t="str">
        <f>IFERROR(VLOOKUP(Proc[[#This Row],[App]],Table2[],3,0),"open")</f>
        <v>ok</v>
      </c>
      <c r="C4244" s="149" t="s">
        <v>369</v>
      </c>
      <c r="D4244" t="s">
        <v>6378</v>
      </c>
      <c r="E4244" t="s">
        <v>6406</v>
      </c>
      <c r="F4244" s="150" t="s">
        <v>6406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17</v>
      </c>
      <c r="R4244" s="152" t="s">
        <v>410</v>
      </c>
      <c r="S4244" s="150"/>
    </row>
    <row r="4245" spans="1:19" hidden="1">
      <c r="A4245" s="149" t="s">
        <v>6404</v>
      </c>
      <c r="B4245" s="150" t="str">
        <f>IFERROR(VLOOKUP(Proc[[#This Row],[App]],Table2[],3,0),"open")</f>
        <v>ok</v>
      </c>
      <c r="C4245" s="149" t="s">
        <v>369</v>
      </c>
      <c r="D4245" t="s">
        <v>6379</v>
      </c>
      <c r="E4245" t="s">
        <v>6406</v>
      </c>
      <c r="F4245" s="150" t="s">
        <v>6406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17</v>
      </c>
      <c r="R4245" s="152" t="s">
        <v>410</v>
      </c>
      <c r="S4245" s="150"/>
    </row>
    <row r="4246" spans="1:19" hidden="1">
      <c r="A4246" s="149" t="s">
        <v>6404</v>
      </c>
      <c r="B4246" s="150" t="str">
        <f>IFERROR(VLOOKUP(Proc[[#This Row],[App]],Table2[],3,0),"open")</f>
        <v>ok</v>
      </c>
      <c r="C4246" s="149" t="s">
        <v>369</v>
      </c>
      <c r="D4246" t="s">
        <v>6380</v>
      </c>
      <c r="E4246" t="s">
        <v>6406</v>
      </c>
      <c r="F4246" s="150" t="s">
        <v>6406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17</v>
      </c>
      <c r="R4246" s="152" t="s">
        <v>410</v>
      </c>
      <c r="S4246" s="150"/>
    </row>
    <row r="4247" spans="1:19" hidden="1">
      <c r="A4247" s="149" t="s">
        <v>6404</v>
      </c>
      <c r="B4247" s="150" t="str">
        <f>IFERROR(VLOOKUP(Proc[[#This Row],[App]],Table2[],3,0),"open")</f>
        <v>ok</v>
      </c>
      <c r="C4247" s="149" t="s">
        <v>369</v>
      </c>
      <c r="D4247" t="s">
        <v>6381</v>
      </c>
      <c r="E4247" t="s">
        <v>6406</v>
      </c>
      <c r="F4247" s="150" t="s">
        <v>6406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17</v>
      </c>
      <c r="R4247" s="152" t="s">
        <v>410</v>
      </c>
      <c r="S4247" s="150"/>
    </row>
    <row r="4248" spans="1:19" hidden="1">
      <c r="A4248" s="149" t="s">
        <v>6404</v>
      </c>
      <c r="B4248" s="150" t="str">
        <f>IFERROR(VLOOKUP(Proc[[#This Row],[App]],Table2[],3,0),"open")</f>
        <v>ok</v>
      </c>
      <c r="C4248" s="149" t="s">
        <v>369</v>
      </c>
      <c r="D4248" t="s">
        <v>6382</v>
      </c>
      <c r="E4248" t="s">
        <v>6405</v>
      </c>
      <c r="F4248" s="150" t="s">
        <v>6405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17</v>
      </c>
      <c r="R4248" s="152" t="s">
        <v>410</v>
      </c>
      <c r="S4248" s="150"/>
    </row>
    <row r="4249" spans="1:19" hidden="1">
      <c r="A4249" s="149" t="s">
        <v>6404</v>
      </c>
      <c r="B4249" s="150" t="str">
        <f>IFERROR(VLOOKUP(Proc[[#This Row],[App]],Table2[],3,0),"open")</f>
        <v>ok</v>
      </c>
      <c r="C4249" s="149" t="s">
        <v>369</v>
      </c>
      <c r="D4249" t="s">
        <v>6383</v>
      </c>
      <c r="E4249" t="s">
        <v>6405</v>
      </c>
      <c r="F4249" s="150" t="s">
        <v>6405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17</v>
      </c>
      <c r="R4249" s="152" t="s">
        <v>410</v>
      </c>
      <c r="S4249" s="150"/>
    </row>
    <row r="4250" spans="1:19" hidden="1">
      <c r="A4250" s="149" t="s">
        <v>6404</v>
      </c>
      <c r="B4250" s="150" t="str">
        <f>IFERROR(VLOOKUP(Proc[[#This Row],[App]],Table2[],3,0),"open")</f>
        <v>ok</v>
      </c>
      <c r="C4250" s="149" t="s">
        <v>369</v>
      </c>
      <c r="D4250" t="s">
        <v>6384</v>
      </c>
      <c r="E4250" t="s">
        <v>6405</v>
      </c>
      <c r="F4250" s="150" t="s">
        <v>6405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17</v>
      </c>
      <c r="R4250" s="152" t="s">
        <v>410</v>
      </c>
      <c r="S4250" s="150"/>
    </row>
    <row r="4251" spans="1:19" hidden="1">
      <c r="A4251" s="149" t="s">
        <v>6404</v>
      </c>
      <c r="B4251" s="150" t="str">
        <f>IFERROR(VLOOKUP(Proc[[#This Row],[App]],Table2[],3,0),"open")</f>
        <v>ok</v>
      </c>
      <c r="C4251" s="149" t="s">
        <v>369</v>
      </c>
      <c r="D4251" t="s">
        <v>6385</v>
      </c>
      <c r="E4251" t="s">
        <v>6407</v>
      </c>
      <c r="F4251" s="150" t="s">
        <v>6407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17</v>
      </c>
      <c r="R4251" s="152" t="s">
        <v>410</v>
      </c>
      <c r="S4251" s="150"/>
    </row>
    <row r="4252" spans="1:19" hidden="1">
      <c r="A4252" s="149" t="s">
        <v>6404</v>
      </c>
      <c r="B4252" s="150" t="str">
        <f>IFERROR(VLOOKUP(Proc[[#This Row],[App]],Table2[],3,0),"open")</f>
        <v>ok</v>
      </c>
      <c r="C4252" s="149" t="s">
        <v>369</v>
      </c>
      <c r="D4252" t="s">
        <v>6386</v>
      </c>
      <c r="E4252" t="s">
        <v>6407</v>
      </c>
      <c r="F4252" s="150" t="s">
        <v>6407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17</v>
      </c>
      <c r="R4252" s="152" t="s">
        <v>410</v>
      </c>
      <c r="S4252" s="150"/>
    </row>
    <row r="4253" spans="1:19" hidden="1">
      <c r="A4253" s="149" t="s">
        <v>6404</v>
      </c>
      <c r="B4253" s="150" t="str">
        <f>IFERROR(VLOOKUP(Proc[[#This Row],[App]],Table2[],3,0),"open")</f>
        <v>ok</v>
      </c>
      <c r="C4253" s="149" t="s">
        <v>369</v>
      </c>
      <c r="D4253" t="s">
        <v>6387</v>
      </c>
      <c r="E4253" t="s">
        <v>6407</v>
      </c>
      <c r="F4253" s="150" t="s">
        <v>6407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17</v>
      </c>
      <c r="R4253" s="152" t="s">
        <v>410</v>
      </c>
      <c r="S4253" s="150"/>
    </row>
    <row r="4254" spans="1:19" hidden="1">
      <c r="A4254" s="149" t="s">
        <v>6404</v>
      </c>
      <c r="B4254" s="150" t="str">
        <f>IFERROR(VLOOKUP(Proc[[#This Row],[App]],Table2[],3,0),"open")</f>
        <v>ok</v>
      </c>
      <c r="C4254" s="149" t="s">
        <v>369</v>
      </c>
      <c r="D4254" t="s">
        <v>6388</v>
      </c>
      <c r="E4254" t="s">
        <v>6407</v>
      </c>
      <c r="F4254" s="150" t="s">
        <v>6407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17</v>
      </c>
      <c r="R4254" s="152" t="s">
        <v>410</v>
      </c>
      <c r="S4254" s="150"/>
    </row>
    <row r="4255" spans="1:19" hidden="1">
      <c r="A4255" s="149" t="s">
        <v>6404</v>
      </c>
      <c r="B4255" s="150" t="str">
        <f>IFERROR(VLOOKUP(Proc[[#This Row],[App]],Table2[],3,0),"open")</f>
        <v>ok</v>
      </c>
      <c r="C4255" s="149" t="s">
        <v>369</v>
      </c>
      <c r="D4255" t="s">
        <v>6389</v>
      </c>
      <c r="E4255" t="s">
        <v>6406</v>
      </c>
      <c r="F4255" s="150" t="s">
        <v>6406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17</v>
      </c>
      <c r="R4255" s="152" t="s">
        <v>410</v>
      </c>
      <c r="S4255" s="150"/>
    </row>
    <row r="4256" spans="1:19" hidden="1">
      <c r="A4256" s="149" t="s">
        <v>6404</v>
      </c>
      <c r="B4256" s="150" t="str">
        <f>IFERROR(VLOOKUP(Proc[[#This Row],[App]],Table2[],3,0),"open")</f>
        <v>ok</v>
      </c>
      <c r="C4256" s="149" t="s">
        <v>377</v>
      </c>
      <c r="D4256" t="s">
        <v>6390</v>
      </c>
      <c r="E4256" t="s">
        <v>6406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17</v>
      </c>
      <c r="R4256" s="152" t="s">
        <v>410</v>
      </c>
      <c r="S4256" s="150"/>
    </row>
    <row r="4257" spans="1:19" hidden="1">
      <c r="A4257" s="149" t="s">
        <v>6404</v>
      </c>
      <c r="B4257" s="150" t="str">
        <f>IFERROR(VLOOKUP(Proc[[#This Row],[App]],Table2[],3,0),"open")</f>
        <v>ok</v>
      </c>
      <c r="C4257" s="149" t="s">
        <v>369</v>
      </c>
      <c r="D4257" t="s">
        <v>6391</v>
      </c>
      <c r="E4257" t="s">
        <v>6406</v>
      </c>
      <c r="F4257" s="150" t="s">
        <v>6406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17</v>
      </c>
      <c r="R4257" s="152" t="s">
        <v>410</v>
      </c>
      <c r="S4257" s="150"/>
    </row>
    <row r="4258" spans="1:19" hidden="1">
      <c r="A4258" s="149" t="s">
        <v>6404</v>
      </c>
      <c r="B4258" s="150" t="str">
        <f>IFERROR(VLOOKUP(Proc[[#This Row],[App]],Table2[],3,0),"open")</f>
        <v>ok</v>
      </c>
      <c r="C4258" s="149" t="s">
        <v>377</v>
      </c>
      <c r="D4258" t="s">
        <v>6392</v>
      </c>
      <c r="E4258" t="s">
        <v>6406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17</v>
      </c>
      <c r="R4258" s="152" t="s">
        <v>410</v>
      </c>
      <c r="S4258" s="150"/>
    </row>
    <row r="4259" spans="1:19" hidden="1">
      <c r="A4259" s="149" t="s">
        <v>6404</v>
      </c>
      <c r="B4259" s="150" t="str">
        <f>IFERROR(VLOOKUP(Proc[[#This Row],[App]],Table2[],3,0),"open")</f>
        <v>ok</v>
      </c>
      <c r="C4259" s="149" t="s">
        <v>377</v>
      </c>
      <c r="D4259" t="s">
        <v>6393</v>
      </c>
      <c r="E4259" t="s">
        <v>6406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17</v>
      </c>
      <c r="R4259" s="152" t="s">
        <v>410</v>
      </c>
      <c r="S4259" s="150"/>
    </row>
    <row r="4260" spans="1:19" hidden="1">
      <c r="A4260" s="149" t="s">
        <v>6404</v>
      </c>
      <c r="B4260" s="150" t="str">
        <f>IFERROR(VLOOKUP(Proc[[#This Row],[App]],Table2[],3,0),"open")</f>
        <v>ok</v>
      </c>
      <c r="C4260" s="149" t="s">
        <v>369</v>
      </c>
      <c r="D4260" t="s">
        <v>6394</v>
      </c>
      <c r="E4260" t="s">
        <v>6407</v>
      </c>
      <c r="F4260" s="150" t="s">
        <v>6407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17</v>
      </c>
      <c r="R4260" s="152" t="s">
        <v>410</v>
      </c>
      <c r="S4260" s="150"/>
    </row>
    <row r="4261" spans="1:19" hidden="1">
      <c r="A4261" s="149" t="s">
        <v>6404</v>
      </c>
      <c r="B4261" s="150" t="str">
        <f>IFERROR(VLOOKUP(Proc[[#This Row],[App]],Table2[],3,0),"open")</f>
        <v>ok</v>
      </c>
      <c r="C4261" s="149" t="s">
        <v>369</v>
      </c>
      <c r="D4261" t="s">
        <v>6395</v>
      </c>
      <c r="E4261" t="s">
        <v>6406</v>
      </c>
      <c r="F4261" s="150" t="s">
        <v>6406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17</v>
      </c>
      <c r="R4261" s="152" t="s">
        <v>410</v>
      </c>
      <c r="S4261" s="150"/>
    </row>
    <row r="4262" spans="1:19" hidden="1">
      <c r="A4262" s="149" t="s">
        <v>6404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6406</v>
      </c>
      <c r="F4262" s="150" t="s">
        <v>6406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17</v>
      </c>
      <c r="R4262" s="152" t="s">
        <v>410</v>
      </c>
      <c r="S4262" s="150"/>
    </row>
    <row r="4263" spans="1:19" hidden="1">
      <c r="A4263" s="149" t="s">
        <v>6404</v>
      </c>
      <c r="B4263" s="150" t="str">
        <f>IFERROR(VLOOKUP(Proc[[#This Row],[App]],Table2[],3,0),"open")</f>
        <v>ok</v>
      </c>
      <c r="C4263" s="149" t="s">
        <v>369</v>
      </c>
      <c r="D4263" t="s">
        <v>6396</v>
      </c>
      <c r="E4263" t="s">
        <v>6406</v>
      </c>
      <c r="F4263" s="150" t="s">
        <v>6406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17</v>
      </c>
      <c r="R4263" s="152" t="s">
        <v>410</v>
      </c>
      <c r="S4263" s="150"/>
    </row>
    <row r="4264" spans="1:19" hidden="1">
      <c r="A4264" s="149" t="s">
        <v>6404</v>
      </c>
      <c r="B4264" s="150" t="str">
        <f>IFERROR(VLOOKUP(Proc[[#This Row],[App]],Table2[],3,0),"open")</f>
        <v>ok</v>
      </c>
      <c r="C4264" s="149" t="s">
        <v>369</v>
      </c>
      <c r="D4264" t="s">
        <v>6397</v>
      </c>
      <c r="E4264" t="s">
        <v>6407</v>
      </c>
      <c r="F4264" s="150" t="s">
        <v>6407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17</v>
      </c>
      <c r="R4264" s="152" t="s">
        <v>410</v>
      </c>
      <c r="S4264" s="150"/>
    </row>
    <row r="4265" spans="1:19" hidden="1">
      <c r="A4265" s="149" t="s">
        <v>6404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6406</v>
      </c>
      <c r="F4265" s="150" t="s">
        <v>6406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17</v>
      </c>
      <c r="R4265" s="152" t="s">
        <v>410</v>
      </c>
      <c r="S4265" s="150"/>
    </row>
    <row r="4266" spans="1:19" hidden="1">
      <c r="A4266" s="149" t="s">
        <v>6404</v>
      </c>
      <c r="B4266" s="150" t="str">
        <f>IFERROR(VLOOKUP(Proc[[#This Row],[App]],Table2[],3,0),"open")</f>
        <v>ok</v>
      </c>
      <c r="C4266" s="149" t="s">
        <v>369</v>
      </c>
      <c r="D4266" t="s">
        <v>6398</v>
      </c>
      <c r="E4266" t="s">
        <v>6406</v>
      </c>
      <c r="F4266" s="150" t="s">
        <v>6406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17</v>
      </c>
      <c r="R4266" s="152" t="s">
        <v>410</v>
      </c>
      <c r="S4266" s="150"/>
    </row>
    <row r="4267" spans="1:19" hidden="1">
      <c r="A4267" s="149" t="s">
        <v>6404</v>
      </c>
      <c r="B4267" s="150" t="str">
        <f>IFERROR(VLOOKUP(Proc[[#This Row],[App]],Table2[],3,0),"open")</f>
        <v>ok</v>
      </c>
      <c r="C4267" s="149" t="s">
        <v>369</v>
      </c>
      <c r="D4267" t="s">
        <v>6399</v>
      </c>
      <c r="E4267" t="s">
        <v>6407</v>
      </c>
      <c r="F4267" s="150" t="s">
        <v>6407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17</v>
      </c>
      <c r="R4267" s="152" t="s">
        <v>410</v>
      </c>
      <c r="S4267" s="150"/>
    </row>
    <row r="4268" spans="1:19" hidden="1">
      <c r="A4268" s="149" t="s">
        <v>6404</v>
      </c>
      <c r="B4268" s="150" t="str">
        <f>IFERROR(VLOOKUP(Proc[[#This Row],[App]],Table2[],3,0),"open")</f>
        <v>ok</v>
      </c>
      <c r="C4268" s="149" t="s">
        <v>369</v>
      </c>
      <c r="D4268" t="s">
        <v>6400</v>
      </c>
      <c r="E4268" t="s">
        <v>6407</v>
      </c>
      <c r="F4268" s="150" t="s">
        <v>6407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17</v>
      </c>
      <c r="R4268" s="152" t="s">
        <v>410</v>
      </c>
      <c r="S4268" s="150"/>
    </row>
    <row r="4269" spans="1:19" hidden="1">
      <c r="A4269" s="149" t="s">
        <v>6404</v>
      </c>
      <c r="B4269" s="150" t="str">
        <f>IFERROR(VLOOKUP(Proc[[#This Row],[App]],Table2[],3,0),"open")</f>
        <v>ok</v>
      </c>
      <c r="C4269" s="149" t="s">
        <v>369</v>
      </c>
      <c r="D4269" t="s">
        <v>6401</v>
      </c>
      <c r="E4269" t="s">
        <v>6407</v>
      </c>
      <c r="F4269" s="150" t="s">
        <v>6407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17</v>
      </c>
      <c r="R4269" s="152" t="s">
        <v>410</v>
      </c>
      <c r="S4269" s="150"/>
    </row>
    <row r="4270" spans="1:19" hidden="1">
      <c r="A4270" s="149" t="s">
        <v>6404</v>
      </c>
      <c r="B4270" s="150" t="str">
        <f>IFERROR(VLOOKUP(Proc[[#This Row],[App]],Table2[],3,0),"open")</f>
        <v>ok</v>
      </c>
      <c r="C4270" s="149" t="s">
        <v>369</v>
      </c>
      <c r="D4270" t="s">
        <v>6402</v>
      </c>
      <c r="E4270" t="s">
        <v>6407</v>
      </c>
      <c r="F4270" s="150" t="s">
        <v>6407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17</v>
      </c>
      <c r="R4270" s="152" t="s">
        <v>410</v>
      </c>
      <c r="S4270" s="150"/>
    </row>
    <row r="4271" spans="1:19" hidden="1">
      <c r="A4271" s="149" t="s">
        <v>6404</v>
      </c>
      <c r="B4271" s="150" t="str">
        <f>IFERROR(VLOOKUP(Proc[[#This Row],[App]],Table2[],3,0),"open")</f>
        <v>ok</v>
      </c>
      <c r="C4271" s="149" t="s">
        <v>369</v>
      </c>
      <c r="D4271" t="s">
        <v>6408</v>
      </c>
      <c r="E4271" t="s">
        <v>6407</v>
      </c>
      <c r="F4271" s="150" t="s">
        <v>6407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17</v>
      </c>
      <c r="R4271" s="152" t="s">
        <v>410</v>
      </c>
      <c r="S4271" s="150"/>
    </row>
    <row r="4272" spans="1:19" hidden="1">
      <c r="A4272" s="149" t="s">
        <v>6404</v>
      </c>
      <c r="B4272" s="150" t="str">
        <f>IFERROR(VLOOKUP(Proc[[#This Row],[App]],Table2[],3,0),"open")</f>
        <v>ok</v>
      </c>
      <c r="C4272" s="149" t="s">
        <v>369</v>
      </c>
      <c r="D4272" t="s">
        <v>6403</v>
      </c>
      <c r="E4272" t="s">
        <v>6406</v>
      </c>
      <c r="F4272" s="150" t="s">
        <v>6406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17</v>
      </c>
      <c r="R4272" s="152" t="s">
        <v>410</v>
      </c>
      <c r="S4272" s="150"/>
    </row>
    <row r="4273" spans="1:19" hidden="1">
      <c r="A4273" t="s">
        <v>6411</v>
      </c>
      <c r="B4273" s="150" t="str">
        <f>IFERROR(VLOOKUP(Proc[[#This Row],[App]],Table2[],3,0),"open")</f>
        <v>ok</v>
      </c>
      <c r="C4273" s="149" t="s">
        <v>369</v>
      </c>
      <c r="D4273" t="s">
        <v>6409</v>
      </c>
      <c r="E4273" t="s">
        <v>6412</v>
      </c>
      <c r="F4273" s="150" t="s">
        <v>6412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16</v>
      </c>
      <c r="R4273" s="153" t="s">
        <v>489</v>
      </c>
      <c r="S4273" s="150"/>
    </row>
    <row r="4274" spans="1:19" hidden="1">
      <c r="A4274" t="s">
        <v>6411</v>
      </c>
      <c r="B4274" s="150" t="str">
        <f>IFERROR(VLOOKUP(Proc[[#This Row],[App]],Table2[],3,0),"open")</f>
        <v>ok</v>
      </c>
      <c r="C4274" s="149" t="s">
        <v>369</v>
      </c>
      <c r="D4274" t="s">
        <v>6410</v>
      </c>
      <c r="E4274" t="s">
        <v>6413</v>
      </c>
      <c r="F4274" s="150" t="s">
        <v>6413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16</v>
      </c>
      <c r="R4274" s="153" t="s">
        <v>489</v>
      </c>
      <c r="S4274" s="150"/>
    </row>
    <row r="4275" spans="1:19" hidden="1">
      <c r="A4275" t="s">
        <v>6428</v>
      </c>
      <c r="B4275" s="150" t="str">
        <f>IFERROR(VLOOKUP(Proc[[#This Row],[App]],Table2[],3,0),"open")</f>
        <v>ok</v>
      </c>
      <c r="C4275" s="149" t="s">
        <v>369</v>
      </c>
      <c r="D4275" t="s">
        <v>6414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16</v>
      </c>
      <c r="R4275" s="153" t="s">
        <v>780</v>
      </c>
      <c r="S4275" s="150"/>
    </row>
    <row r="4276" spans="1:19" hidden="1">
      <c r="A4276" s="149" t="s">
        <v>6428</v>
      </c>
      <c r="B4276" s="150" t="str">
        <f>IFERROR(VLOOKUP(Proc[[#This Row],[App]],Table2[],3,0),"open")</f>
        <v>ok</v>
      </c>
      <c r="C4276" s="149" t="s">
        <v>369</v>
      </c>
      <c r="D4276" t="s">
        <v>6415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16</v>
      </c>
      <c r="R4276" s="153" t="s">
        <v>780</v>
      </c>
      <c r="S4276" s="150"/>
    </row>
    <row r="4277" spans="1:19" hidden="1">
      <c r="A4277" s="149" t="s">
        <v>6428</v>
      </c>
      <c r="B4277" s="150" t="str">
        <f>IFERROR(VLOOKUP(Proc[[#This Row],[App]],Table2[],3,0),"open")</f>
        <v>ok</v>
      </c>
      <c r="C4277" s="149" t="s">
        <v>369</v>
      </c>
      <c r="D4277" t="s">
        <v>6416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16</v>
      </c>
      <c r="R4277" s="153" t="s">
        <v>780</v>
      </c>
      <c r="S4277" s="150"/>
    </row>
    <row r="4278" spans="1:19" hidden="1">
      <c r="A4278" s="149" t="s">
        <v>6428</v>
      </c>
      <c r="B4278" s="150" t="str">
        <f>IFERROR(VLOOKUP(Proc[[#This Row],[App]],Table2[],3,0),"open")</f>
        <v>ok</v>
      </c>
      <c r="C4278" s="149" t="s">
        <v>369</v>
      </c>
      <c r="D4278" t="s">
        <v>6417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16</v>
      </c>
      <c r="R4278" s="153" t="s">
        <v>780</v>
      </c>
      <c r="S4278" s="150"/>
    </row>
    <row r="4279" spans="1:19" hidden="1">
      <c r="A4279" s="149" t="s">
        <v>6428</v>
      </c>
      <c r="B4279" s="150" t="str">
        <f>IFERROR(VLOOKUP(Proc[[#This Row],[App]],Table2[],3,0),"open")</f>
        <v>ok</v>
      </c>
      <c r="C4279" s="149" t="s">
        <v>369</v>
      </c>
      <c r="D4279" t="s">
        <v>6418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16</v>
      </c>
      <c r="R4279" s="153" t="s">
        <v>780</v>
      </c>
      <c r="S4279" s="150"/>
    </row>
    <row r="4280" spans="1:19" hidden="1">
      <c r="A4280" s="149" t="s">
        <v>6428</v>
      </c>
      <c r="B4280" s="150" t="str">
        <f>IFERROR(VLOOKUP(Proc[[#This Row],[App]],Table2[],3,0),"open")</f>
        <v>ok</v>
      </c>
      <c r="C4280" s="149" t="s">
        <v>369</v>
      </c>
      <c r="D4280" t="s">
        <v>6419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16</v>
      </c>
      <c r="R4280" s="153" t="s">
        <v>780</v>
      </c>
      <c r="S4280" s="150"/>
    </row>
    <row r="4281" spans="1:19" hidden="1">
      <c r="A4281" s="149" t="s">
        <v>6428</v>
      </c>
      <c r="B4281" s="150" t="str">
        <f>IFERROR(VLOOKUP(Proc[[#This Row],[App]],Table2[],3,0),"open")</f>
        <v>ok</v>
      </c>
      <c r="C4281" s="149" t="s">
        <v>369</v>
      </c>
      <c r="D4281" t="s">
        <v>6420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16</v>
      </c>
      <c r="R4281" s="153" t="s">
        <v>780</v>
      </c>
      <c r="S4281" s="150"/>
    </row>
    <row r="4282" spans="1:19" hidden="1">
      <c r="A4282" s="149" t="s">
        <v>6428</v>
      </c>
      <c r="B4282" s="150" t="str">
        <f>IFERROR(VLOOKUP(Proc[[#This Row],[App]],Table2[],3,0),"open")</f>
        <v>ok</v>
      </c>
      <c r="C4282" s="149" t="s">
        <v>369</v>
      </c>
      <c r="D4282" t="s">
        <v>6421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16</v>
      </c>
      <c r="R4282" s="153" t="s">
        <v>780</v>
      </c>
      <c r="S4282" s="150"/>
    </row>
    <row r="4283" spans="1:19" hidden="1">
      <c r="A4283" s="149" t="s">
        <v>6428</v>
      </c>
      <c r="B4283" s="150" t="str">
        <f>IFERROR(VLOOKUP(Proc[[#This Row],[App]],Table2[],3,0),"open")</f>
        <v>ok</v>
      </c>
      <c r="C4283" s="149" t="s">
        <v>369</v>
      </c>
      <c r="D4283" t="s">
        <v>6422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16</v>
      </c>
      <c r="R4283" s="153" t="s">
        <v>780</v>
      </c>
      <c r="S4283" s="150"/>
    </row>
    <row r="4284" spans="1:19" hidden="1">
      <c r="A4284" s="149" t="s">
        <v>6428</v>
      </c>
      <c r="B4284" s="150" t="str">
        <f>IFERROR(VLOOKUP(Proc[[#This Row],[App]],Table2[],3,0),"open")</f>
        <v>ok</v>
      </c>
      <c r="C4284" s="149" t="s">
        <v>369</v>
      </c>
      <c r="D4284" t="s">
        <v>6423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16</v>
      </c>
      <c r="R4284" s="153" t="s">
        <v>780</v>
      </c>
      <c r="S4284" s="150"/>
    </row>
    <row r="4285" spans="1:19" hidden="1">
      <c r="A4285" s="149" t="s">
        <v>6428</v>
      </c>
      <c r="B4285" s="150" t="str">
        <f>IFERROR(VLOOKUP(Proc[[#This Row],[App]],Table2[],3,0),"open")</f>
        <v>ok</v>
      </c>
      <c r="C4285" s="149" t="s">
        <v>369</v>
      </c>
      <c r="D4285" t="s">
        <v>6424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16</v>
      </c>
      <c r="R4285" s="153" t="s">
        <v>780</v>
      </c>
      <c r="S4285" s="150"/>
    </row>
    <row r="4286" spans="1:19" hidden="1">
      <c r="A4286" s="149" t="s">
        <v>6428</v>
      </c>
      <c r="B4286" s="150" t="str">
        <f>IFERROR(VLOOKUP(Proc[[#This Row],[App]],Table2[],3,0),"open")</f>
        <v>ok</v>
      </c>
      <c r="C4286" s="149" t="s">
        <v>369</v>
      </c>
      <c r="D4286" t="s">
        <v>6425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16</v>
      </c>
      <c r="R4286" s="153" t="s">
        <v>780</v>
      </c>
      <c r="S4286" s="150"/>
    </row>
    <row r="4287" spans="1:19" hidden="1">
      <c r="A4287" s="149" t="s">
        <v>6428</v>
      </c>
      <c r="B4287" s="150" t="str">
        <f>IFERROR(VLOOKUP(Proc[[#This Row],[App]],Table2[],3,0),"open")</f>
        <v>ok</v>
      </c>
      <c r="C4287" s="149" t="s">
        <v>369</v>
      </c>
      <c r="D4287" t="s">
        <v>6426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16</v>
      </c>
      <c r="R4287" s="153" t="s">
        <v>780</v>
      </c>
      <c r="S4287" s="150"/>
    </row>
    <row r="4288" spans="1:19" hidden="1">
      <c r="A4288" s="149" t="s">
        <v>6428</v>
      </c>
      <c r="B4288" s="150" t="str">
        <f>IFERROR(VLOOKUP(Proc[[#This Row],[App]],Table2[],3,0),"open")</f>
        <v>ok</v>
      </c>
      <c r="C4288" s="149" t="s">
        <v>369</v>
      </c>
      <c r="D4288" t="s">
        <v>6427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16</v>
      </c>
      <c r="R4288" s="153" t="s">
        <v>780</v>
      </c>
      <c r="S4288" s="150"/>
    </row>
    <row r="4289" spans="1:19" s="149" customFormat="1" hidden="1">
      <c r="A4289" s="149" t="s">
        <v>6429</v>
      </c>
      <c r="B4289" s="150" t="str">
        <f>IFERROR(VLOOKUP(Proc[[#This Row],[App]],Table2[],3,0),"open")</f>
        <v>ok</v>
      </c>
      <c r="C4289" s="149" t="s">
        <v>369</v>
      </c>
      <c r="D4289" s="149" t="s">
        <v>6430</v>
      </c>
      <c r="E4289" s="149" t="s">
        <v>6431</v>
      </c>
      <c r="F4289" s="150" t="s">
        <v>6431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13</v>
      </c>
      <c r="R4289" s="154" t="s">
        <v>515</v>
      </c>
      <c r="S4289" s="150"/>
    </row>
    <row r="4290" spans="1:19" s="149" customFormat="1" hidden="1">
      <c r="A4290" s="149" t="s">
        <v>6432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6437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12</v>
      </c>
      <c r="R4290" s="154" t="s">
        <v>780</v>
      </c>
      <c r="S4290" s="150"/>
    </row>
    <row r="4291" spans="1:19" s="149" customFormat="1" hidden="1">
      <c r="A4291" s="149" t="s">
        <v>6432</v>
      </c>
      <c r="B4291" s="150" t="str">
        <f>IFERROR(VLOOKUP(Proc[[#This Row],[App]],Table2[],3,0),"open")</f>
        <v>ok</v>
      </c>
      <c r="C4291" s="149" t="s">
        <v>369</v>
      </c>
      <c r="D4291" s="149" t="s">
        <v>6433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6437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12</v>
      </c>
      <c r="R4291" s="154" t="s">
        <v>780</v>
      </c>
      <c r="S4291" s="150"/>
    </row>
    <row r="4292" spans="1:19" s="149" customFormat="1" hidden="1">
      <c r="A4292" s="149" t="s">
        <v>6432</v>
      </c>
      <c r="B4292" s="150" t="str">
        <f>IFERROR(VLOOKUP(Proc[[#This Row],[App]],Table2[],3,0),"open")</f>
        <v>ok</v>
      </c>
      <c r="C4292" s="149" t="s">
        <v>369</v>
      </c>
      <c r="D4292" s="149" t="s">
        <v>6434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6437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12</v>
      </c>
      <c r="R4292" s="154" t="s">
        <v>780</v>
      </c>
      <c r="S4292" s="150"/>
    </row>
    <row r="4293" spans="1:19" s="149" customFormat="1" hidden="1">
      <c r="A4293" s="149" t="s">
        <v>6432</v>
      </c>
      <c r="B4293" s="150" t="str">
        <f>IFERROR(VLOOKUP(Proc[[#This Row],[App]],Table2[],3,0),"open")</f>
        <v>ok</v>
      </c>
      <c r="C4293" s="149" t="s">
        <v>369</v>
      </c>
      <c r="D4293" s="149" t="s">
        <v>6435</v>
      </c>
      <c r="E4293" s="149" t="s">
        <v>6479</v>
      </c>
      <c r="F4293" s="150" t="s">
        <v>6479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6437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12</v>
      </c>
      <c r="R4293" s="154" t="s">
        <v>780</v>
      </c>
      <c r="S4293" s="150"/>
    </row>
    <row r="4294" spans="1:19" hidden="1">
      <c r="A4294" t="s">
        <v>6436</v>
      </c>
      <c r="B4294" s="150" t="str">
        <f>IFERROR(VLOOKUP(Proc[[#This Row],[App]],Table2[],3,0),"open")</f>
        <v>ok</v>
      </c>
      <c r="C4294" s="149" t="s">
        <v>369</v>
      </c>
      <c r="D4294" t="s">
        <v>6362</v>
      </c>
      <c r="E4294" t="s">
        <v>6405</v>
      </c>
      <c r="F4294" s="150" t="s">
        <v>6405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6437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12</v>
      </c>
      <c r="R4294" s="154" t="s">
        <v>410</v>
      </c>
      <c r="S4294" s="150"/>
    </row>
    <row r="4295" spans="1:19" hidden="1">
      <c r="A4295" t="s">
        <v>6436</v>
      </c>
      <c r="B4295" s="150" t="str">
        <f>IFERROR(VLOOKUP(Proc[[#This Row],[App]],Table2[],3,0),"open")</f>
        <v>ok</v>
      </c>
      <c r="C4295" s="149" t="s">
        <v>369</v>
      </c>
      <c r="D4295" t="s">
        <v>6374</v>
      </c>
      <c r="E4295" t="s">
        <v>6405</v>
      </c>
      <c r="F4295" s="150" t="s">
        <v>6405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6437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12</v>
      </c>
      <c r="R4295" s="154" t="s">
        <v>410</v>
      </c>
      <c r="S4295" s="150"/>
    </row>
    <row r="4296" spans="1:19" hidden="1">
      <c r="A4296" t="s">
        <v>6438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6437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10</v>
      </c>
      <c r="R4296" s="154" t="s">
        <v>1459</v>
      </c>
      <c r="S4296" s="150"/>
    </row>
    <row r="4297" spans="1:19" hidden="1">
      <c r="A4297" s="149" t="s">
        <v>6438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6437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10</v>
      </c>
      <c r="R4297" s="154" t="s">
        <v>1459</v>
      </c>
      <c r="S4297" s="150"/>
    </row>
    <row r="4298" spans="1:19" hidden="1">
      <c r="A4298" s="149" t="s">
        <v>6438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6437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10</v>
      </c>
      <c r="R4298" s="154" t="s">
        <v>1459</v>
      </c>
      <c r="S4298" s="150"/>
    </row>
    <row r="4299" spans="1:19" hidden="1">
      <c r="A4299" s="149" t="s">
        <v>6438</v>
      </c>
      <c r="B4299" s="150" t="str">
        <f>IFERROR(VLOOKUP(Proc[[#This Row],[App]],Table2[],3,0),"open")</f>
        <v>open</v>
      </c>
      <c r="C4299" s="149" t="s">
        <v>369</v>
      </c>
      <c r="D4299" t="s">
        <v>6439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6437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10</v>
      </c>
      <c r="R4299" s="154" t="s">
        <v>1459</v>
      </c>
      <c r="S4299" s="150"/>
    </row>
    <row r="4300" spans="1:19" hidden="1">
      <c r="A4300" s="149" t="s">
        <v>6438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6447</v>
      </c>
      <c r="F4300" s="150" t="s">
        <v>6447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6437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10</v>
      </c>
      <c r="R4300" s="154" t="s">
        <v>1459</v>
      </c>
      <c r="S4300" s="150"/>
    </row>
    <row r="4301" spans="1:19" hidden="1">
      <c r="A4301" s="149" t="s">
        <v>6438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6447</v>
      </c>
      <c r="F4301" s="150" t="s">
        <v>6447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6437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10</v>
      </c>
      <c r="R4301" s="154" t="s">
        <v>1459</v>
      </c>
      <c r="S4301" s="150"/>
    </row>
    <row r="4302" spans="1:19" hidden="1">
      <c r="A4302" s="149" t="s">
        <v>6438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6448</v>
      </c>
      <c r="F4302" s="150" t="s">
        <v>6448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6437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10</v>
      </c>
      <c r="R4302" s="154" t="s">
        <v>1459</v>
      </c>
      <c r="S4302" s="150"/>
    </row>
    <row r="4303" spans="1:19" hidden="1">
      <c r="A4303" s="149" t="s">
        <v>6438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6449</v>
      </c>
      <c r="F4303" s="150" t="s">
        <v>6449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6437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10</v>
      </c>
      <c r="R4303" s="154" t="s">
        <v>1459</v>
      </c>
      <c r="S4303" s="150"/>
    </row>
    <row r="4304" spans="1:19">
      <c r="A4304" s="149" t="s">
        <v>6438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6437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10</v>
      </c>
      <c r="R4304" s="154" t="s">
        <v>1459</v>
      </c>
      <c r="S4304" s="150"/>
    </row>
    <row r="4305" spans="1:19" hidden="1">
      <c r="A4305" s="149" t="s">
        <v>6438</v>
      </c>
      <c r="B4305" s="150" t="str">
        <f>IFERROR(VLOOKUP(Proc[[#This Row],[App]],Table2[],3,0),"open")</f>
        <v>open</v>
      </c>
      <c r="C4305" s="149" t="s">
        <v>369</v>
      </c>
      <c r="D4305" t="s">
        <v>6440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6437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10</v>
      </c>
      <c r="R4305" s="154" t="s">
        <v>1459</v>
      </c>
      <c r="S4305" s="150"/>
    </row>
    <row r="4306" spans="1:19" hidden="1">
      <c r="A4306" s="149" t="s">
        <v>6438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6449</v>
      </c>
      <c r="F4306" s="150" t="s">
        <v>6449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6437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10</v>
      </c>
      <c r="R4306" s="154" t="s">
        <v>1459</v>
      </c>
      <c r="S4306" s="150"/>
    </row>
    <row r="4307" spans="1:19" hidden="1">
      <c r="A4307" s="149" t="s">
        <v>6438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6447</v>
      </c>
      <c r="F4307" s="150" t="s">
        <v>6447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6437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10</v>
      </c>
      <c r="R4307" s="154" t="s">
        <v>1459</v>
      </c>
      <c r="S4307" s="150"/>
    </row>
    <row r="4308" spans="1:19" hidden="1">
      <c r="A4308" s="149" t="s">
        <v>6438</v>
      </c>
      <c r="B4308" s="150" t="str">
        <f>IFERROR(VLOOKUP(Proc[[#This Row],[App]],Table2[],3,0),"open")</f>
        <v>open</v>
      </c>
      <c r="C4308" s="149" t="s">
        <v>369</v>
      </c>
      <c r="D4308" t="s">
        <v>6441</v>
      </c>
      <c r="E4308" t="s">
        <v>6450</v>
      </c>
      <c r="F4308" s="150" t="s">
        <v>6450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6437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10</v>
      </c>
      <c r="R4308" s="154" t="s">
        <v>1459</v>
      </c>
      <c r="S4308" s="150"/>
    </row>
    <row r="4309" spans="1:19" hidden="1">
      <c r="A4309" s="149" t="s">
        <v>6438</v>
      </c>
      <c r="B4309" s="150" t="str">
        <f>IFERROR(VLOOKUP(Proc[[#This Row],[App]],Table2[],3,0),"open")</f>
        <v>open</v>
      </c>
      <c r="C4309" s="149" t="s">
        <v>369</v>
      </c>
      <c r="D4309" t="s">
        <v>6442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6437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10</v>
      </c>
      <c r="R4309" s="154" t="s">
        <v>1459</v>
      </c>
      <c r="S4309" s="150"/>
    </row>
    <row r="4310" spans="1:19" hidden="1">
      <c r="A4310" s="149" t="s">
        <v>6438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6451</v>
      </c>
      <c r="F4310" s="150" t="s">
        <v>6451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6437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10</v>
      </c>
      <c r="R4310" s="154" t="s">
        <v>1459</v>
      </c>
      <c r="S4310" s="150"/>
    </row>
    <row r="4311" spans="1:19" hidden="1">
      <c r="A4311" s="149" t="s">
        <v>6438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6447</v>
      </c>
      <c r="F4311" s="150" t="s">
        <v>6447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6437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10</v>
      </c>
      <c r="R4311" s="154" t="s">
        <v>1459</v>
      </c>
      <c r="S4311" s="150"/>
    </row>
    <row r="4312" spans="1:19" hidden="1">
      <c r="A4312" s="149" t="s">
        <v>6438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6452</v>
      </c>
      <c r="F4312" s="150" t="s">
        <v>6452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6437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10</v>
      </c>
      <c r="R4312" s="154" t="s">
        <v>1459</v>
      </c>
      <c r="S4312" s="150"/>
    </row>
    <row r="4313" spans="1:19" hidden="1">
      <c r="A4313" s="149" t="s">
        <v>6438</v>
      </c>
      <c r="B4313" s="150" t="str">
        <f>IFERROR(VLOOKUP(Proc[[#This Row],[App]],Table2[],3,0),"open")</f>
        <v>open</v>
      </c>
      <c r="C4313" s="149" t="s">
        <v>369</v>
      </c>
      <c r="D4313" t="s">
        <v>6443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6437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10</v>
      </c>
      <c r="R4313" s="154" t="s">
        <v>1459</v>
      </c>
      <c r="S4313" s="150"/>
    </row>
    <row r="4314" spans="1:19" hidden="1">
      <c r="A4314" s="149" t="s">
        <v>6438</v>
      </c>
      <c r="B4314" s="150" t="str">
        <f>IFERROR(VLOOKUP(Proc[[#This Row],[App]],Table2[],3,0),"open")</f>
        <v>open</v>
      </c>
      <c r="C4314" s="149" t="s">
        <v>369</v>
      </c>
      <c r="D4314" t="s">
        <v>6444</v>
      </c>
      <c r="E4314" t="s">
        <v>6450</v>
      </c>
      <c r="F4314" s="150" t="s">
        <v>6450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6437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10</v>
      </c>
      <c r="R4314" s="154" t="s">
        <v>1459</v>
      </c>
      <c r="S4314" s="150"/>
    </row>
    <row r="4315" spans="1:19" hidden="1">
      <c r="A4315" s="149" t="s">
        <v>6438</v>
      </c>
      <c r="B4315" s="150" t="str">
        <f>IFERROR(VLOOKUP(Proc[[#This Row],[App]],Table2[],3,0),"open")</f>
        <v>open</v>
      </c>
      <c r="C4315" s="149" t="s">
        <v>369</v>
      </c>
      <c r="D4315" t="s">
        <v>6445</v>
      </c>
      <c r="E4315" t="s">
        <v>6450</v>
      </c>
      <c r="F4315" s="150" t="s">
        <v>6450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6437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10</v>
      </c>
      <c r="R4315" s="154" t="s">
        <v>1459</v>
      </c>
      <c r="S4315" s="150"/>
    </row>
    <row r="4316" spans="1:19" hidden="1">
      <c r="A4316" s="149" t="s">
        <v>6438</v>
      </c>
      <c r="B4316" s="150" t="str">
        <f>IFERROR(VLOOKUP(Proc[[#This Row],[App]],Table2[],3,0),"open")</f>
        <v>open</v>
      </c>
      <c r="C4316" s="149" t="s">
        <v>369</v>
      </c>
      <c r="D4316" t="s">
        <v>6446</v>
      </c>
      <c r="E4316" t="s">
        <v>6450</v>
      </c>
      <c r="F4316" s="150" t="s">
        <v>6450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6437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10</v>
      </c>
      <c r="R4316" s="154" t="s">
        <v>1459</v>
      </c>
      <c r="S4316" s="150"/>
    </row>
    <row r="4317" spans="1:19" hidden="1">
      <c r="A4317" t="s">
        <v>6453</v>
      </c>
      <c r="B4317" s="150" t="str">
        <f>IFERROR(VLOOKUP(Proc[[#This Row],[App]],Table2[],3,0),"open")</f>
        <v>ok</v>
      </c>
      <c r="C4317" s="149" t="s">
        <v>369</v>
      </c>
      <c r="D4317" t="s">
        <v>6454</v>
      </c>
      <c r="E4317" t="s">
        <v>6470</v>
      </c>
      <c r="F4317" s="150" t="s">
        <v>6470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6437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10</v>
      </c>
      <c r="R4317" s="154" t="s">
        <v>489</v>
      </c>
      <c r="S4317" s="150"/>
    </row>
    <row r="4318" spans="1:19" hidden="1">
      <c r="A4318" s="149" t="s">
        <v>6453</v>
      </c>
      <c r="B4318" s="150" t="str">
        <f>IFERROR(VLOOKUP(Proc[[#This Row],[App]],Table2[],3,0),"open")</f>
        <v>ok</v>
      </c>
      <c r="C4318" s="149" t="s">
        <v>369</v>
      </c>
      <c r="D4318" t="s">
        <v>6455</v>
      </c>
      <c r="E4318" t="s">
        <v>6471</v>
      </c>
      <c r="F4318" s="150" t="s">
        <v>6471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6437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10</v>
      </c>
      <c r="R4318" s="154" t="s">
        <v>489</v>
      </c>
      <c r="S4318" s="150"/>
    </row>
    <row r="4319" spans="1:19" hidden="1">
      <c r="A4319" s="149" t="s">
        <v>6453</v>
      </c>
      <c r="B4319" s="150" t="str">
        <f>IFERROR(VLOOKUP(Proc[[#This Row],[App]],Table2[],3,0),"open")</f>
        <v>ok</v>
      </c>
      <c r="C4319" s="149" t="s">
        <v>369</v>
      </c>
      <c r="D4319" t="s">
        <v>6456</v>
      </c>
      <c r="E4319" t="s">
        <v>6472</v>
      </c>
      <c r="F4319" s="150" t="s">
        <v>6472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6437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10</v>
      </c>
      <c r="R4319" s="154" t="s">
        <v>489</v>
      </c>
      <c r="S4319" s="150"/>
    </row>
    <row r="4320" spans="1:19" hidden="1">
      <c r="A4320" s="149" t="s">
        <v>6453</v>
      </c>
      <c r="B4320" s="150" t="str">
        <f>IFERROR(VLOOKUP(Proc[[#This Row],[App]],Table2[],3,0),"open")</f>
        <v>ok</v>
      </c>
      <c r="C4320" s="149" t="s">
        <v>369</v>
      </c>
      <c r="D4320" t="s">
        <v>6457</v>
      </c>
      <c r="E4320" t="s">
        <v>6470</v>
      </c>
      <c r="F4320" s="150" t="s">
        <v>6470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6437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10</v>
      </c>
      <c r="R4320" s="154" t="s">
        <v>489</v>
      </c>
      <c r="S4320" s="150"/>
    </row>
    <row r="4321" spans="1:19" hidden="1">
      <c r="A4321" s="149" t="s">
        <v>6453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6473</v>
      </c>
      <c r="F4321" s="150" t="s">
        <v>6473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6437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10</v>
      </c>
      <c r="R4321" s="154" t="s">
        <v>489</v>
      </c>
      <c r="S4321" s="150"/>
    </row>
    <row r="4322" spans="1:19" hidden="1">
      <c r="A4322" s="149" t="s">
        <v>6453</v>
      </c>
      <c r="B4322" s="150" t="str">
        <f>IFERROR(VLOOKUP(Proc[[#This Row],[App]],Table2[],3,0),"open")</f>
        <v>ok</v>
      </c>
      <c r="C4322" s="149" t="s">
        <v>369</v>
      </c>
      <c r="D4322" t="s">
        <v>6458</v>
      </c>
      <c r="E4322" t="s">
        <v>6474</v>
      </c>
      <c r="F4322" s="150" t="s">
        <v>6474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6437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10</v>
      </c>
      <c r="R4322" s="154" t="s">
        <v>489</v>
      </c>
      <c r="S4322" s="150"/>
    </row>
    <row r="4323" spans="1:19" hidden="1">
      <c r="A4323" s="149" t="s">
        <v>6453</v>
      </c>
      <c r="B4323" s="150" t="str">
        <f>IFERROR(VLOOKUP(Proc[[#This Row],[App]],Table2[],3,0),"open")</f>
        <v>ok</v>
      </c>
      <c r="C4323" s="149" t="s">
        <v>369</v>
      </c>
      <c r="D4323" t="s">
        <v>6459</v>
      </c>
      <c r="E4323" t="s">
        <v>6474</v>
      </c>
      <c r="F4323" s="150" t="s">
        <v>6474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6437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10</v>
      </c>
      <c r="R4323" s="154" t="s">
        <v>489</v>
      </c>
      <c r="S4323" s="150"/>
    </row>
    <row r="4324" spans="1:19" hidden="1">
      <c r="A4324" s="149" t="s">
        <v>6453</v>
      </c>
      <c r="B4324" s="150" t="str">
        <f>IFERROR(VLOOKUP(Proc[[#This Row],[App]],Table2[],3,0),"open")</f>
        <v>ok</v>
      </c>
      <c r="C4324" s="149" t="s">
        <v>369</v>
      </c>
      <c r="D4324" t="s">
        <v>6460</v>
      </c>
      <c r="E4324" t="s">
        <v>6474</v>
      </c>
      <c r="F4324" s="150" t="s">
        <v>6474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6437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10</v>
      </c>
      <c r="R4324" s="154" t="s">
        <v>489</v>
      </c>
      <c r="S4324" s="150"/>
    </row>
    <row r="4325" spans="1:19" hidden="1">
      <c r="A4325" s="149" t="s">
        <v>6453</v>
      </c>
      <c r="B4325" s="150" t="str">
        <f>IFERROR(VLOOKUP(Proc[[#This Row],[App]],Table2[],3,0),"open")</f>
        <v>ok</v>
      </c>
      <c r="C4325" s="149" t="s">
        <v>369</v>
      </c>
      <c r="D4325" t="s">
        <v>6461</v>
      </c>
      <c r="E4325" t="s">
        <v>6474</v>
      </c>
      <c r="F4325" s="150" t="s">
        <v>6474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6437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10</v>
      </c>
      <c r="R4325" s="154" t="s">
        <v>489</v>
      </c>
      <c r="S4325" s="150"/>
    </row>
    <row r="4326" spans="1:19" hidden="1">
      <c r="A4326" s="149" t="s">
        <v>6453</v>
      </c>
      <c r="B4326" s="150" t="str">
        <f>IFERROR(VLOOKUP(Proc[[#This Row],[App]],Table2[],3,0),"open")</f>
        <v>ok</v>
      </c>
      <c r="C4326" s="149" t="s">
        <v>369</v>
      </c>
      <c r="D4326" t="s">
        <v>6462</v>
      </c>
      <c r="E4326" t="s">
        <v>6474</v>
      </c>
      <c r="F4326" s="150" t="s">
        <v>6474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6437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10</v>
      </c>
      <c r="R4326" s="154" t="s">
        <v>489</v>
      </c>
      <c r="S4326" s="150"/>
    </row>
    <row r="4327" spans="1:19" hidden="1">
      <c r="A4327" s="149" t="s">
        <v>6453</v>
      </c>
      <c r="B4327" s="150" t="str">
        <f>IFERROR(VLOOKUP(Proc[[#This Row],[App]],Table2[],3,0),"open")</f>
        <v>ok</v>
      </c>
      <c r="C4327" s="149" t="s">
        <v>369</v>
      </c>
      <c r="D4327" t="s">
        <v>6463</v>
      </c>
      <c r="E4327" t="s">
        <v>6474</v>
      </c>
      <c r="F4327" s="150" t="s">
        <v>6474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6437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10</v>
      </c>
      <c r="R4327" s="154" t="s">
        <v>489</v>
      </c>
      <c r="S4327" s="150"/>
    </row>
    <row r="4328" spans="1:19" hidden="1">
      <c r="A4328" s="149" t="s">
        <v>6453</v>
      </c>
      <c r="B4328" s="150" t="str">
        <f>IFERROR(VLOOKUP(Proc[[#This Row],[App]],Table2[],3,0),"open")</f>
        <v>ok</v>
      </c>
      <c r="C4328" s="149" t="s">
        <v>369</v>
      </c>
      <c r="D4328" t="s">
        <v>6464</v>
      </c>
      <c r="E4328" t="s">
        <v>6474</v>
      </c>
      <c r="F4328" s="150" t="s">
        <v>6474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6437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10</v>
      </c>
      <c r="R4328" s="154" t="s">
        <v>489</v>
      </c>
      <c r="S4328" s="150"/>
    </row>
    <row r="4329" spans="1:19" hidden="1">
      <c r="A4329" s="149" t="s">
        <v>6453</v>
      </c>
      <c r="B4329" s="150" t="str">
        <f>IFERROR(VLOOKUP(Proc[[#This Row],[App]],Table2[],3,0),"open")</f>
        <v>ok</v>
      </c>
      <c r="C4329" s="149" t="s">
        <v>369</v>
      </c>
      <c r="D4329" t="s">
        <v>6465</v>
      </c>
      <c r="E4329" t="s">
        <v>6474</v>
      </c>
      <c r="F4329" s="150" t="s">
        <v>6474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6437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10</v>
      </c>
      <c r="R4329" s="154" t="s">
        <v>489</v>
      </c>
      <c r="S4329" s="150"/>
    </row>
    <row r="4330" spans="1:19" hidden="1">
      <c r="A4330" s="149" t="s">
        <v>6453</v>
      </c>
      <c r="B4330" s="150" t="str">
        <f>IFERROR(VLOOKUP(Proc[[#This Row],[App]],Table2[],3,0),"open")</f>
        <v>ok</v>
      </c>
      <c r="C4330" s="149" t="s">
        <v>369</v>
      </c>
      <c r="D4330" t="s">
        <v>6460</v>
      </c>
      <c r="E4330" t="s">
        <v>6474</v>
      </c>
      <c r="F4330" s="150" t="s">
        <v>6474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6437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10</v>
      </c>
      <c r="R4330" s="154" t="s">
        <v>489</v>
      </c>
      <c r="S4330" s="150"/>
    </row>
    <row r="4331" spans="1:19" hidden="1">
      <c r="A4331" s="149" t="s">
        <v>6453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6474</v>
      </c>
      <c r="F4331" s="150" t="s">
        <v>6474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6437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10</v>
      </c>
      <c r="R4331" s="154" t="s">
        <v>489</v>
      </c>
      <c r="S4331" s="150"/>
    </row>
    <row r="4332" spans="1:19" hidden="1">
      <c r="A4332" s="149" t="s">
        <v>6453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6474</v>
      </c>
      <c r="F4332" s="150" t="s">
        <v>6474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6437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10</v>
      </c>
      <c r="R4332" s="154" t="s">
        <v>489</v>
      </c>
      <c r="S4332" s="150"/>
    </row>
    <row r="4333" spans="1:19" hidden="1">
      <c r="A4333" s="149" t="s">
        <v>6453</v>
      </c>
      <c r="B4333" s="150" t="str">
        <f>IFERROR(VLOOKUP(Proc[[#This Row],[App]],Table2[],3,0),"open")</f>
        <v>ok</v>
      </c>
      <c r="C4333" s="149" t="s">
        <v>369</v>
      </c>
      <c r="D4333" t="s">
        <v>6466</v>
      </c>
      <c r="E4333" t="s">
        <v>6475</v>
      </c>
      <c r="F4333" s="150" t="s">
        <v>6475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6437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10</v>
      </c>
      <c r="R4333" s="154" t="s">
        <v>489</v>
      </c>
      <c r="S4333" s="150"/>
    </row>
    <row r="4334" spans="1:19" hidden="1">
      <c r="A4334" s="149" t="s">
        <v>6453</v>
      </c>
      <c r="B4334" s="150" t="str">
        <f>IFERROR(VLOOKUP(Proc[[#This Row],[App]],Table2[],3,0),"open")</f>
        <v>ok</v>
      </c>
      <c r="C4334" s="149" t="s">
        <v>369</v>
      </c>
      <c r="D4334" t="s">
        <v>6467</v>
      </c>
      <c r="E4334" t="s">
        <v>6475</v>
      </c>
      <c r="F4334" s="150" t="s">
        <v>6475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6437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10</v>
      </c>
      <c r="R4334" s="154" t="s">
        <v>489</v>
      </c>
      <c r="S4334" s="150"/>
    </row>
    <row r="4335" spans="1:19" hidden="1">
      <c r="A4335" s="149" t="s">
        <v>6453</v>
      </c>
      <c r="B4335" s="150" t="str">
        <f>IFERROR(VLOOKUP(Proc[[#This Row],[App]],Table2[],3,0),"open")</f>
        <v>ok</v>
      </c>
      <c r="C4335" s="149" t="s">
        <v>369</v>
      </c>
      <c r="D4335" t="s">
        <v>6468</v>
      </c>
      <c r="E4335" t="s">
        <v>6475</v>
      </c>
      <c r="F4335" s="150" t="s">
        <v>6475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6437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10</v>
      </c>
      <c r="R4335" s="154" t="s">
        <v>489</v>
      </c>
      <c r="S4335" s="150"/>
    </row>
    <row r="4336" spans="1:19" hidden="1">
      <c r="A4336" s="149" t="s">
        <v>6453</v>
      </c>
      <c r="B4336" s="150" t="str">
        <f>IFERROR(VLOOKUP(Proc[[#This Row],[App]],Table2[],3,0),"open")</f>
        <v>ok</v>
      </c>
      <c r="C4336" s="149" t="s">
        <v>369</v>
      </c>
      <c r="D4336" t="s">
        <v>6469</v>
      </c>
      <c r="E4336" t="s">
        <v>6475</v>
      </c>
      <c r="F4336" s="150" t="s">
        <v>6475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6437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10</v>
      </c>
      <c r="R4336" s="154" t="s">
        <v>489</v>
      </c>
      <c r="S4336" s="150"/>
    </row>
    <row r="4337" spans="1:19" hidden="1">
      <c r="A4337" s="149" t="s">
        <v>6453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6475</v>
      </c>
      <c r="F4337" s="150" t="s">
        <v>6475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6437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10</v>
      </c>
      <c r="R4337" s="154" t="s">
        <v>489</v>
      </c>
      <c r="S4337" s="150"/>
    </row>
    <row r="4338" spans="1:19" hidden="1">
      <c r="A4338" s="149" t="s">
        <v>6453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6473</v>
      </c>
      <c r="F4338" s="150" t="s">
        <v>6473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6437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10</v>
      </c>
      <c r="R4338" s="154" t="s">
        <v>489</v>
      </c>
      <c r="S4338" s="150"/>
    </row>
    <row r="4339" spans="1:19" hidden="1">
      <c r="A4339" t="s">
        <v>6476</v>
      </c>
      <c r="B4339" s="150" t="str">
        <f>IFERROR(VLOOKUP(Proc[[#This Row],[App]],Table2[],3,0),"open")</f>
        <v>ok</v>
      </c>
      <c r="C4339" s="149" t="s">
        <v>369</v>
      </c>
      <c r="D4339" t="s">
        <v>6487</v>
      </c>
      <c r="E4339" t="s">
        <v>6478</v>
      </c>
      <c r="F4339" s="150" t="s">
        <v>6478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6437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10</v>
      </c>
      <c r="R4339" s="154" t="s">
        <v>489</v>
      </c>
      <c r="S4339" s="150"/>
    </row>
    <row r="4340" spans="1:19" hidden="1">
      <c r="A4340" s="149" t="s">
        <v>6476</v>
      </c>
      <c r="B4340" s="150" t="str">
        <f>IFERROR(VLOOKUP(Proc[[#This Row],[App]],Table2[],3,0),"open")</f>
        <v>ok</v>
      </c>
      <c r="C4340" s="149" t="s">
        <v>369</v>
      </c>
      <c r="D4340" t="s">
        <v>6477</v>
      </c>
      <c r="E4340" t="s">
        <v>6474</v>
      </c>
      <c r="F4340" s="150" t="s">
        <v>6474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6437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10</v>
      </c>
      <c r="R4340" s="154" t="s">
        <v>489</v>
      </c>
      <c r="S4340" s="150"/>
    </row>
    <row r="4341" spans="1:19" hidden="1">
      <c r="A4341" t="s">
        <v>6489</v>
      </c>
      <c r="B4341" s="150" t="str">
        <f>IFERROR(VLOOKUP(Proc[[#This Row],[App]],Table2[],3,0),"open")</f>
        <v>ok</v>
      </c>
      <c r="C4341" s="149" t="s">
        <v>369</v>
      </c>
      <c r="D4341" t="s">
        <v>6514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6437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10</v>
      </c>
      <c r="R4341" s="156" t="s">
        <v>1459</v>
      </c>
      <c r="S4341" s="150"/>
    </row>
    <row r="4342" spans="1:19" hidden="1">
      <c r="A4342" t="s">
        <v>6489</v>
      </c>
      <c r="B4342" s="150" t="str">
        <f>IFERROR(VLOOKUP(Proc[[#This Row],[App]],Table2[],3,0),"open")</f>
        <v>ok</v>
      </c>
      <c r="C4342" s="149" t="s">
        <v>369</v>
      </c>
      <c r="D4342" t="s">
        <v>6515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6437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10</v>
      </c>
      <c r="R4342" s="156" t="s">
        <v>1459</v>
      </c>
      <c r="S4342" s="150"/>
    </row>
    <row r="4343" spans="1:19" hidden="1">
      <c r="A4343" t="s">
        <v>6493</v>
      </c>
      <c r="B4343" s="150" t="str">
        <f>IFERROR(VLOOKUP(Proc[[#This Row],[App]],Table2[],3,0),"open")</f>
        <v>ok</v>
      </c>
      <c r="C4343" s="149" t="s">
        <v>369</v>
      </c>
      <c r="D4343" t="s">
        <v>6518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6437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</v>
      </c>
      <c r="R4343" s="156" t="s">
        <v>410</v>
      </c>
      <c r="S4343" s="150"/>
    </row>
    <row r="4344" spans="1:19" hidden="1">
      <c r="A4344" s="149" t="s">
        <v>6493</v>
      </c>
      <c r="B4344" s="150" t="str">
        <f>IFERROR(VLOOKUP(Proc[[#This Row],[App]],Table2[],3,0),"open")</f>
        <v>ok</v>
      </c>
      <c r="C4344" s="149" t="s">
        <v>369</v>
      </c>
      <c r="D4344" t="s">
        <v>6491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6437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</v>
      </c>
      <c r="R4344" s="156" t="s">
        <v>410</v>
      </c>
      <c r="S4344" s="150"/>
    </row>
    <row r="4345" spans="1:19" hidden="1">
      <c r="A4345" t="s">
        <v>6496</v>
      </c>
      <c r="B4345" s="150" t="str">
        <f>IFERROR(VLOOKUP(Proc[[#This Row],[App]],Table2[],3,0),"open")</f>
        <v>ok</v>
      </c>
      <c r="C4345" s="149" t="s">
        <v>369</v>
      </c>
      <c r="D4345" t="s">
        <v>6494</v>
      </c>
      <c r="E4345" t="s">
        <v>6475</v>
      </c>
      <c r="F4345" s="150" t="s">
        <v>6475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6437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</v>
      </c>
      <c r="R4345" s="156" t="s">
        <v>489</v>
      </c>
      <c r="S4345" s="150"/>
    </row>
    <row r="4346" spans="1:19" hidden="1">
      <c r="A4346" t="s">
        <v>6496</v>
      </c>
      <c r="B4346" s="150" t="str">
        <f>IFERROR(VLOOKUP(Proc[[#This Row],[App]],Table2[],3,0),"open")</f>
        <v>ok</v>
      </c>
      <c r="C4346" s="149" t="s">
        <v>369</v>
      </c>
      <c r="D4346" t="s">
        <v>6495</v>
      </c>
      <c r="E4346" t="s">
        <v>6475</v>
      </c>
      <c r="F4346" s="150" t="s">
        <v>6475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6437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</v>
      </c>
      <c r="R4346" s="156" t="s">
        <v>489</v>
      </c>
      <c r="S4346" s="150"/>
    </row>
    <row r="4347" spans="1:19" hidden="1">
      <c r="A4347" t="s">
        <v>6497</v>
      </c>
      <c r="B4347" s="150" t="str">
        <f>IFERROR(VLOOKUP(Proc[[#This Row],[App]],Table2[],3,0),"open")</f>
        <v>ok</v>
      </c>
      <c r="C4347" s="149" t="s">
        <v>369</v>
      </c>
      <c r="D4347" t="s">
        <v>6498</v>
      </c>
      <c r="E4347" t="s">
        <v>6478</v>
      </c>
      <c r="F4347" s="150" t="s">
        <v>6478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6437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</v>
      </c>
      <c r="R4347" s="156" t="s">
        <v>489</v>
      </c>
      <c r="S4347" s="150"/>
    </row>
    <row r="4348" spans="1:19" hidden="1">
      <c r="A4348" t="s">
        <v>6497</v>
      </c>
      <c r="B4348" s="150" t="str">
        <f>IFERROR(VLOOKUP(Proc[[#This Row],[App]],Table2[],3,0),"open")</f>
        <v>ok</v>
      </c>
      <c r="C4348" s="149" t="s">
        <v>369</v>
      </c>
      <c r="D4348" t="s">
        <v>6499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6437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</v>
      </c>
      <c r="R4348" s="156" t="s">
        <v>489</v>
      </c>
      <c r="S4348" s="150"/>
    </row>
    <row r="4349" spans="1:19" hidden="1">
      <c r="A4349" s="149" t="s">
        <v>6497</v>
      </c>
      <c r="B4349" s="150" t="str">
        <f>IFERROR(VLOOKUP(Proc[[#This Row],[App]],Table2[],3,0),"open")</f>
        <v>ok</v>
      </c>
      <c r="C4349" s="149" t="s">
        <v>369</v>
      </c>
      <c r="D4349" t="s">
        <v>6500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6437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</v>
      </c>
      <c r="R4349" s="156" t="s">
        <v>489</v>
      </c>
      <c r="S4349" s="150"/>
    </row>
    <row r="4350" spans="1:19" hidden="1">
      <c r="A4350" s="149" t="s">
        <v>6497</v>
      </c>
      <c r="B4350" s="150" t="str">
        <f>IFERROR(VLOOKUP(Proc[[#This Row],[App]],Table2[],3,0),"open")</f>
        <v>ok</v>
      </c>
      <c r="C4350" s="149" t="s">
        <v>369</v>
      </c>
      <c r="D4350" t="s">
        <v>6501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6437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</v>
      </c>
      <c r="R4350" s="156" t="s">
        <v>489</v>
      </c>
      <c r="S4350" s="150"/>
    </row>
    <row r="4351" spans="1:19" hidden="1">
      <c r="A4351" s="149" t="s">
        <v>6497</v>
      </c>
      <c r="B4351" s="150" t="str">
        <f>IFERROR(VLOOKUP(Proc[[#This Row],[App]],Table2[],3,0),"open")</f>
        <v>ok</v>
      </c>
      <c r="C4351" s="149" t="s">
        <v>369</v>
      </c>
      <c r="D4351" t="s">
        <v>6502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6437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</v>
      </c>
      <c r="R4351" s="156" t="s">
        <v>489</v>
      </c>
      <c r="S4351" s="150"/>
    </row>
    <row r="4352" spans="1:19" hidden="1">
      <c r="A4352" s="149" t="s">
        <v>6497</v>
      </c>
      <c r="B4352" s="150" t="str">
        <f>IFERROR(VLOOKUP(Proc[[#This Row],[App]],Table2[],3,0),"open")</f>
        <v>ok</v>
      </c>
      <c r="C4352" s="149" t="s">
        <v>369</v>
      </c>
      <c r="D4352" t="s">
        <v>6503</v>
      </c>
      <c r="E4352" t="s">
        <v>6510</v>
      </c>
      <c r="F4352" s="150" t="s">
        <v>6510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6437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</v>
      </c>
      <c r="R4352" s="156" t="s">
        <v>489</v>
      </c>
      <c r="S4352" s="150"/>
    </row>
    <row r="4353" spans="1:19" hidden="1">
      <c r="A4353" s="149" t="s">
        <v>6497</v>
      </c>
      <c r="B4353" s="150" t="str">
        <f>IFERROR(VLOOKUP(Proc[[#This Row],[App]],Table2[],3,0),"open")</f>
        <v>ok</v>
      </c>
      <c r="C4353" s="149" t="s">
        <v>369</v>
      </c>
      <c r="D4353" t="s">
        <v>6504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6437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</v>
      </c>
      <c r="R4353" s="156" t="s">
        <v>489</v>
      </c>
      <c r="S4353" s="150"/>
    </row>
    <row r="4354" spans="1:19" hidden="1">
      <c r="A4354" s="149" t="s">
        <v>6497</v>
      </c>
      <c r="B4354" s="150" t="str">
        <f>IFERROR(VLOOKUP(Proc[[#This Row],[App]],Table2[],3,0),"open")</f>
        <v>ok</v>
      </c>
      <c r="C4354" s="149" t="s">
        <v>369</v>
      </c>
      <c r="D4354" t="s">
        <v>6505</v>
      </c>
      <c r="E4354" t="s">
        <v>6511</v>
      </c>
      <c r="F4354" s="150" t="s">
        <v>6511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6437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</v>
      </c>
      <c r="R4354" s="156" t="s">
        <v>489</v>
      </c>
      <c r="S4354" s="150"/>
    </row>
    <row r="4355" spans="1:19" hidden="1">
      <c r="A4355" s="149" t="s">
        <v>6497</v>
      </c>
      <c r="B4355" s="150" t="str">
        <f>IFERROR(VLOOKUP(Proc[[#This Row],[App]],Table2[],3,0),"open")</f>
        <v>ok</v>
      </c>
      <c r="C4355" s="149" t="s">
        <v>369</v>
      </c>
      <c r="D4355" t="s">
        <v>6506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6437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</v>
      </c>
      <c r="R4355" s="156" t="s">
        <v>489</v>
      </c>
      <c r="S4355" s="150"/>
    </row>
    <row r="4356" spans="1:19" hidden="1">
      <c r="A4356" s="149" t="s">
        <v>6497</v>
      </c>
      <c r="B4356" s="150" t="str">
        <f>IFERROR(VLOOKUP(Proc[[#This Row],[App]],Table2[],3,0),"open")</f>
        <v>ok</v>
      </c>
      <c r="C4356" s="149" t="s">
        <v>369</v>
      </c>
      <c r="D4356" t="s">
        <v>6507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6437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</v>
      </c>
      <c r="R4356" s="156" t="s">
        <v>489</v>
      </c>
      <c r="S4356" s="150"/>
    </row>
    <row r="4357" spans="1:19" hidden="1">
      <c r="A4357" s="149" t="s">
        <v>6497</v>
      </c>
      <c r="B4357" s="150" t="str">
        <f>IFERROR(VLOOKUP(Proc[[#This Row],[App]],Table2[],3,0),"open")</f>
        <v>ok</v>
      </c>
      <c r="C4357" s="149" t="s">
        <v>369</v>
      </c>
      <c r="D4357" t="s">
        <v>6508</v>
      </c>
      <c r="E4357" t="s">
        <v>6512</v>
      </c>
      <c r="F4357" s="150" t="s">
        <v>6512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6437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</v>
      </c>
      <c r="R4357" s="157" t="s">
        <v>489</v>
      </c>
      <c r="S4357" s="150"/>
    </row>
    <row r="4358" spans="1:19" hidden="1">
      <c r="A4358" s="149" t="s">
        <v>6497</v>
      </c>
      <c r="B4358" s="150" t="str">
        <f>IFERROR(VLOOKUP(Proc[[#This Row],[App]],Table2[],3,0),"open")</f>
        <v>ok</v>
      </c>
      <c r="C4358" s="149" t="s">
        <v>369</v>
      </c>
      <c r="D4358" t="s">
        <v>6509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6437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</v>
      </c>
      <c r="R4358" s="157" t="s">
        <v>489</v>
      </c>
      <c r="S4358" s="150"/>
    </row>
    <row r="4359" spans="1:19" hidden="1">
      <c r="A4359" s="149" t="s">
        <v>6346</v>
      </c>
      <c r="B4359" s="150" t="str">
        <f>IFERROR(VLOOKUP(Proc[[#This Row],[App]],Table2[],3,0),"open")</f>
        <v>ok</v>
      </c>
      <c r="C4359" t="s">
        <v>369</v>
      </c>
      <c r="D4359" s="149" t="s">
        <v>6335</v>
      </c>
      <c r="E4359" s="149" t="s">
        <v>6513</v>
      </c>
      <c r="F4359" s="149" t="s">
        <v>6513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</v>
      </c>
      <c r="R4359" s="156" t="s">
        <v>780</v>
      </c>
      <c r="S4359" s="150"/>
    </row>
    <row r="4360" spans="1:19" hidden="1">
      <c r="A4360" s="149" t="s">
        <v>6346</v>
      </c>
      <c r="B4360" s="150" t="str">
        <f>IFERROR(VLOOKUP(Proc[[#This Row],[App]],Table2[],3,0),"open")</f>
        <v>ok</v>
      </c>
      <c r="C4360" s="149" t="s">
        <v>369</v>
      </c>
      <c r="D4360" s="149" t="s">
        <v>6336</v>
      </c>
      <c r="E4360" s="149" t="s">
        <v>6513</v>
      </c>
      <c r="F4360" s="149" t="s">
        <v>6513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</v>
      </c>
      <c r="R4360" s="156" t="s">
        <v>780</v>
      </c>
      <c r="S4360" s="150"/>
    </row>
    <row r="4361" spans="1:19" hidden="1">
      <c r="A4361" s="149" t="s">
        <v>6346</v>
      </c>
      <c r="B4361" s="150" t="str">
        <f>IFERROR(VLOOKUP(Proc[[#This Row],[App]],Table2[],3,0),"open")</f>
        <v>ok</v>
      </c>
      <c r="C4361" s="149" t="s">
        <v>369</v>
      </c>
      <c r="D4361" s="149" t="s">
        <v>6337</v>
      </c>
      <c r="E4361" s="149" t="s">
        <v>6513</v>
      </c>
      <c r="F4361" s="149" t="s">
        <v>6513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</v>
      </c>
      <c r="R4361" s="156" t="s">
        <v>780</v>
      </c>
      <c r="S4361" s="150"/>
    </row>
    <row r="4362" spans="1:19" hidden="1">
      <c r="A4362" s="149" t="s">
        <v>6346</v>
      </c>
      <c r="B4362" s="150" t="str">
        <f>IFERROR(VLOOKUP(Proc[[#This Row],[App]],Table2[],3,0),"open")</f>
        <v>ok</v>
      </c>
      <c r="C4362" s="149" t="s">
        <v>369</v>
      </c>
      <c r="D4362" s="149" t="s">
        <v>6338</v>
      </c>
      <c r="E4362" s="149" t="s">
        <v>6513</v>
      </c>
      <c r="F4362" s="149" t="s">
        <v>6513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</v>
      </c>
      <c r="R4362" s="156" t="s">
        <v>780</v>
      </c>
      <c r="S4362" s="150"/>
    </row>
    <row r="4363" spans="1:19" hidden="1">
      <c r="A4363" s="149" t="s">
        <v>6346</v>
      </c>
      <c r="B4363" s="150" t="str">
        <f>IFERROR(VLOOKUP(Proc[[#This Row],[App]],Table2[],3,0),"open")</f>
        <v>ok</v>
      </c>
      <c r="C4363" s="149" t="s">
        <v>369</v>
      </c>
      <c r="D4363" s="149" t="s">
        <v>6339</v>
      </c>
      <c r="E4363" s="149" t="s">
        <v>6513</v>
      </c>
      <c r="F4363" s="149" t="s">
        <v>6513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</v>
      </c>
      <c r="R4363" s="156" t="s">
        <v>780</v>
      </c>
      <c r="S4363" s="150"/>
    </row>
    <row r="4364" spans="1:19" hidden="1">
      <c r="A4364" s="149" t="s">
        <v>6346</v>
      </c>
      <c r="B4364" s="150" t="str">
        <f>IFERROR(VLOOKUP(Proc[[#This Row],[App]],Table2[],3,0),"open")</f>
        <v>ok</v>
      </c>
      <c r="C4364" s="149" t="s">
        <v>369</v>
      </c>
      <c r="D4364" s="149" t="s">
        <v>6340</v>
      </c>
      <c r="E4364" s="149" t="s">
        <v>6513</v>
      </c>
      <c r="F4364" s="149" t="s">
        <v>6513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</v>
      </c>
      <c r="R4364" s="156" t="s">
        <v>780</v>
      </c>
      <c r="S4364" s="150"/>
    </row>
    <row r="4365" spans="1:19" hidden="1">
      <c r="A4365" s="149" t="s">
        <v>6346</v>
      </c>
      <c r="B4365" s="150" t="str">
        <f>IFERROR(VLOOKUP(Proc[[#This Row],[App]],Table2[],3,0),"open")</f>
        <v>ok</v>
      </c>
      <c r="C4365" s="149" t="s">
        <v>369</v>
      </c>
      <c r="D4365" s="149" t="s">
        <v>6352</v>
      </c>
      <c r="E4365" s="149" t="s">
        <v>6513</v>
      </c>
      <c r="F4365" s="149" t="s">
        <v>6513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</v>
      </c>
      <c r="R4365" s="156" t="s">
        <v>780</v>
      </c>
      <c r="S4365" s="150"/>
    </row>
    <row r="4366" spans="1:19" hidden="1">
      <c r="A4366" s="149" t="s">
        <v>6346</v>
      </c>
      <c r="B4366" s="150" t="str">
        <f>IFERROR(VLOOKUP(Proc[[#This Row],[App]],Table2[],3,0),"open")</f>
        <v>ok</v>
      </c>
      <c r="C4366" s="149" t="s">
        <v>369</v>
      </c>
      <c r="D4366" s="149" t="s">
        <v>6341</v>
      </c>
      <c r="E4366" s="149" t="s">
        <v>6513</v>
      </c>
      <c r="F4366" s="149" t="s">
        <v>6513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</v>
      </c>
      <c r="R4366" s="156" t="s">
        <v>780</v>
      </c>
      <c r="S4366" s="150"/>
    </row>
    <row r="4367" spans="1:19" hidden="1">
      <c r="A4367" s="149" t="s">
        <v>6346</v>
      </c>
      <c r="B4367" s="150" t="str">
        <f>IFERROR(VLOOKUP(Proc[[#This Row],[App]],Table2[],3,0),"open")</f>
        <v>ok</v>
      </c>
      <c r="C4367" s="149" t="s">
        <v>369</v>
      </c>
      <c r="D4367" s="149" t="s">
        <v>6342</v>
      </c>
      <c r="E4367" s="149" t="s">
        <v>6513</v>
      </c>
      <c r="F4367" s="149" t="s">
        <v>6513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</v>
      </c>
      <c r="R4367" s="156" t="s">
        <v>780</v>
      </c>
      <c r="S4367" s="150"/>
    </row>
    <row r="4368" spans="1:19" hidden="1">
      <c r="A4368" s="149" t="s">
        <v>6346</v>
      </c>
      <c r="B4368" s="150" t="str">
        <f>IFERROR(VLOOKUP(Proc[[#This Row],[App]],Table2[],3,0),"open")</f>
        <v>ok</v>
      </c>
      <c r="C4368" s="149" t="s">
        <v>369</v>
      </c>
      <c r="D4368" s="149" t="s">
        <v>6343</v>
      </c>
      <c r="E4368" s="149" t="s">
        <v>6513</v>
      </c>
      <c r="F4368" s="149" t="s">
        <v>6513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</v>
      </c>
      <c r="R4368" s="156" t="s">
        <v>780</v>
      </c>
      <c r="S4368" s="150"/>
    </row>
    <row r="4369" spans="1:19" hidden="1">
      <c r="A4369" s="149" t="s">
        <v>6346</v>
      </c>
      <c r="B4369" s="150" t="str">
        <f>IFERROR(VLOOKUP(Proc[[#This Row],[App]],Table2[],3,0),"open")</f>
        <v>ok</v>
      </c>
      <c r="C4369" s="149" t="s">
        <v>369</v>
      </c>
      <c r="D4369" s="149" t="s">
        <v>6344</v>
      </c>
      <c r="E4369" s="149" t="s">
        <v>6513</v>
      </c>
      <c r="F4369" s="149" t="s">
        <v>6513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</v>
      </c>
      <c r="R4369" s="156" t="s">
        <v>780</v>
      </c>
      <c r="S4369" s="150"/>
    </row>
    <row r="4370" spans="1:19" hidden="1">
      <c r="A4370" s="149" t="s">
        <v>6346</v>
      </c>
      <c r="B4370" s="150" t="str">
        <f>IFERROR(VLOOKUP(Proc[[#This Row],[App]],Table2[],3,0),"open")</f>
        <v>ok</v>
      </c>
      <c r="C4370" s="149" t="s">
        <v>369</v>
      </c>
      <c r="D4370" s="149" t="s">
        <v>6345</v>
      </c>
      <c r="E4370" s="149" t="s">
        <v>6513</v>
      </c>
      <c r="F4370" s="149" t="s">
        <v>6513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</v>
      </c>
      <c r="R4370" s="156" t="s">
        <v>780</v>
      </c>
      <c r="S4370" s="150"/>
    </row>
    <row r="4371" spans="1:19" s="149" customFormat="1" hidden="1">
      <c r="A4371" s="149" t="s">
        <v>6516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6517</v>
      </c>
      <c r="F4371" s="150" t="s">
        <v>6517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6437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</v>
      </c>
      <c r="R4371" s="157" t="s">
        <v>489</v>
      </c>
      <c r="S4371" s="150"/>
    </row>
    <row r="4372" spans="1:19" s="149" customFormat="1" hidden="1">
      <c r="A4372" s="149" t="s">
        <v>6516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6517</v>
      </c>
      <c r="F4372" s="150" t="s">
        <v>6517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6437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</v>
      </c>
      <c r="R4372" s="157" t="s">
        <v>489</v>
      </c>
      <c r="S4372" s="150"/>
    </row>
    <row r="4373" spans="1:19" s="149" customFormat="1" hidden="1">
      <c r="A4373" s="149" t="s">
        <v>6516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6517</v>
      </c>
      <c r="F4373" s="150" t="s">
        <v>6517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6437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</v>
      </c>
      <c r="R4373" s="157" t="s">
        <v>489</v>
      </c>
      <c r="S4373" s="150"/>
    </row>
    <row r="4374" spans="1:19" s="149" customFormat="1" hidden="1">
      <c r="A4374" s="149" t="s">
        <v>6516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6517</v>
      </c>
      <c r="F4374" s="150" t="s">
        <v>6517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6437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</v>
      </c>
      <c r="R4374" s="157" t="s">
        <v>489</v>
      </c>
      <c r="S4374" s="150"/>
    </row>
    <row r="4375" spans="1:19">
      <c r="A4375" t="s">
        <v>6522</v>
      </c>
      <c r="B4375" s="150" t="str">
        <f>IFERROR(VLOOKUP(Proc[[#This Row],[App]],Table2[],3,0),"open")</f>
        <v>open</v>
      </c>
      <c r="C4375" t="s">
        <v>370</v>
      </c>
      <c r="D4375" t="s">
        <v>6519</v>
      </c>
      <c r="E4375" t="s">
        <v>6521</v>
      </c>
      <c r="F4375" s="150" t="s">
        <v>6520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0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6437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1</v>
      </c>
      <c r="R4375" s="158" t="s">
        <v>489</v>
      </c>
      <c r="S4375" s="150"/>
    </row>
    <row r="4376" spans="1:19">
      <c r="A4376" t="s">
        <v>6526</v>
      </c>
      <c r="B4376" s="150" t="str">
        <f>IFERROR(VLOOKUP(Proc[[#This Row],[App]],Table2[],3,0),"open")</f>
        <v>open</v>
      </c>
      <c r="C4376" t="s">
        <v>375</v>
      </c>
      <c r="D4376" t="s">
        <v>6523</v>
      </c>
      <c r="E4376" t="s">
        <v>4915</v>
      </c>
      <c r="F4376" s="150"/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0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6437</v>
      </c>
      <c r="M4376" s="158">
        <v>45946</v>
      </c>
      <c r="N4376" s="158"/>
      <c r="O4376" s="158"/>
      <c r="P4376" s="159" t="str">
        <f ca="1">IF(Proc[[#This Row],[DaysAgeing]]&gt;5,"yep","on track")</f>
        <v>on track</v>
      </c>
      <c r="Q4376" s="3">
        <f ca="1">IF(Proc[[#This Row],[DateClosed]]="",ABS(NETWORKDAYS(Proc[[#This Row],[DateOpened]],TODAY()))-1,ABS(NETWORKDAYS(Proc[[#This Row],[DateOpened]],Proc[[#This Row],[DateClosed]]))-1)</f>
        <v>1</v>
      </c>
      <c r="R4376" s="159" t="s">
        <v>415</v>
      </c>
      <c r="S4376" s="150"/>
    </row>
    <row r="4377" spans="1:19">
      <c r="A4377" t="s">
        <v>6526</v>
      </c>
      <c r="B4377" s="150" t="str">
        <f>IFERROR(VLOOKUP(Proc[[#This Row],[App]],Table2[],3,0),"open")</f>
        <v>open</v>
      </c>
      <c r="C4377" t="s">
        <v>375</v>
      </c>
      <c r="D4377" t="s">
        <v>6524</v>
      </c>
      <c r="E4377" t="s">
        <v>6525</v>
      </c>
      <c r="F4377" s="150"/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0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6437</v>
      </c>
      <c r="M4377" s="158">
        <v>45946</v>
      </c>
      <c r="N4377" s="158"/>
      <c r="O4377" s="158"/>
      <c r="P4377" s="159" t="str">
        <f ca="1">IF(Proc[[#This Row],[DaysAgeing]]&gt;5,"yep","on track")</f>
        <v>on track</v>
      </c>
      <c r="Q4377" s="3">
        <f ca="1">IF(Proc[[#This Row],[DateClosed]]="",ABS(NETWORKDAYS(Proc[[#This Row],[DateOpened]],TODAY()))-1,ABS(NETWORKDAYS(Proc[[#This Row],[DateOpened]],Proc[[#This Row],[DateClosed]]))-1)</f>
        <v>1</v>
      </c>
      <c r="R4377" s="159" t="s">
        <v>415</v>
      </c>
      <c r="S4377" s="150"/>
    </row>
    <row r="4378" spans="1:19">
      <c r="A4378" t="s">
        <v>6527</v>
      </c>
      <c r="B4378" s="150" t="str">
        <f>IFERROR(VLOOKUP(Proc[[#This Row],[App]],Table2[],3,0),"open")</f>
        <v>open</v>
      </c>
      <c r="C4378" t="s">
        <v>370</v>
      </c>
      <c r="D4378" t="s">
        <v>6528</v>
      </c>
      <c r="E4378" t="s">
        <v>6529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0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6437</v>
      </c>
      <c r="M4378" s="158">
        <v>45946</v>
      </c>
      <c r="N4378" s="158"/>
      <c r="O4378" s="158"/>
      <c r="P4378" s="159" t="str">
        <f ca="1">IF(Proc[[#This Row],[DaysAgeing]]&gt;5,"yep","on track")</f>
        <v>on track</v>
      </c>
      <c r="Q4378" s="3">
        <f ca="1">IF(Proc[[#This Row],[DateClosed]]="",ABS(NETWORKDAYS(Proc[[#This Row],[DateOpened]],TODAY()))-1,ABS(NETWORKDAYS(Proc[[#This Row],[DateOpened]],Proc[[#This Row],[DateClosed]]))-1)</f>
        <v>1</v>
      </c>
      <c r="R4378" s="159" t="s">
        <v>856</v>
      </c>
      <c r="S4378" s="150"/>
    </row>
    <row r="4379" spans="1:19">
      <c r="A4379" t="s">
        <v>6531</v>
      </c>
      <c r="B4379" s="150" t="str">
        <f>IFERROR(VLOOKUP(Proc[[#This Row],[App]],Table2[],3,0),"open")</f>
        <v>open</v>
      </c>
      <c r="C4379" t="s">
        <v>370</v>
      </c>
      <c r="D4379" t="s">
        <v>6532</v>
      </c>
      <c r="E4379" t="s">
        <v>6529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0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6437</v>
      </c>
      <c r="M4379" s="158">
        <v>45946</v>
      </c>
      <c r="N4379" s="158"/>
      <c r="O4379" s="158"/>
      <c r="P4379" s="159" t="str">
        <f ca="1">IF(Proc[[#This Row],[DaysAgeing]]&gt;5,"yep","on track")</f>
        <v>on track</v>
      </c>
      <c r="Q4379" s="3">
        <f ca="1">IF(Proc[[#This Row],[DateClosed]]="",ABS(NETWORKDAYS(Proc[[#This Row],[DateOpened]],TODAY()))-1,ABS(NETWORKDAYS(Proc[[#This Row],[DateOpened]],Proc[[#This Row],[DateClosed]]))-1)</f>
        <v>1</v>
      </c>
      <c r="R4379" s="159" t="s">
        <v>856</v>
      </c>
      <c r="S4379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A8EB-7640-4123-9F04-1A65E15E4C7A}">
  <dimension ref="A1:B10"/>
  <sheetViews>
    <sheetView workbookViewId="0">
      <selection activeCell="B14" sqref="B14"/>
    </sheetView>
  </sheetViews>
  <sheetFormatPr defaultRowHeight="15"/>
  <cols>
    <col min="1" max="1" width="57.85546875" bestFit="1" customWidth="1"/>
    <col min="2" max="2" width="24.85546875" bestFit="1" customWidth="1"/>
    <col min="3" max="3" width="26.42578125" bestFit="1" customWidth="1"/>
  </cols>
  <sheetData>
    <row r="1" spans="1:2">
      <c r="A1" t="s">
        <v>6245</v>
      </c>
      <c r="B1" s="149" t="s">
        <v>1458</v>
      </c>
    </row>
    <row r="2" spans="1:2">
      <c r="A2" t="s">
        <v>6245</v>
      </c>
      <c r="B2" s="149" t="s">
        <v>1458</v>
      </c>
    </row>
    <row r="3" spans="1:2">
      <c r="A3" t="s">
        <v>2330</v>
      </c>
      <c r="B3" s="149" t="s">
        <v>424</v>
      </c>
    </row>
    <row r="4" spans="1:2">
      <c r="A4" t="s">
        <v>4408</v>
      </c>
      <c r="B4" s="149" t="s">
        <v>4412</v>
      </c>
    </row>
    <row r="5" spans="1:2">
      <c r="A5" t="s">
        <v>2319</v>
      </c>
      <c r="B5" t="s">
        <v>5570</v>
      </c>
    </row>
    <row r="6" spans="1:2">
      <c r="A6" t="s">
        <v>6518</v>
      </c>
      <c r="B6" t="s">
        <v>4765</v>
      </c>
    </row>
    <row r="7" spans="1:2">
      <c r="A7" t="s">
        <v>5781</v>
      </c>
      <c r="B7" t="s">
        <v>6517</v>
      </c>
    </row>
    <row r="8" spans="1:2">
      <c r="A8" t="s">
        <v>5782</v>
      </c>
      <c r="B8" t="s">
        <v>6517</v>
      </c>
    </row>
    <row r="9" spans="1:2">
      <c r="A9" t="s">
        <v>5783</v>
      </c>
      <c r="B9" t="s">
        <v>6517</v>
      </c>
    </row>
    <row r="10" spans="1:2">
      <c r="A10" t="s">
        <v>5784</v>
      </c>
      <c r="B10" t="s">
        <v>6517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0226-4C26-411E-B33C-3721B811C574}">
  <dimension ref="A1:B64"/>
  <sheetViews>
    <sheetView workbookViewId="0">
      <selection activeCell="B1" sqref="B1"/>
    </sheetView>
  </sheetViews>
  <sheetFormatPr defaultRowHeight="15"/>
  <sheetData>
    <row r="1" spans="1:2">
      <c r="A1" t="s">
        <v>6317</v>
      </c>
      <c r="B1" t="s">
        <v>6249</v>
      </c>
    </row>
    <row r="2" spans="1:2">
      <c r="A2" t="s">
        <v>6245</v>
      </c>
      <c r="B2" t="s">
        <v>6272</v>
      </c>
    </row>
    <row r="3" spans="1:2">
      <c r="A3" t="s">
        <v>2330</v>
      </c>
      <c r="B3" t="s">
        <v>6272</v>
      </c>
    </row>
    <row r="4" spans="1:2">
      <c r="A4" t="s">
        <v>4408</v>
      </c>
      <c r="B4" t="s">
        <v>6272</v>
      </c>
    </row>
    <row r="5" spans="1:2">
      <c r="A5" t="s">
        <v>6439</v>
      </c>
      <c r="B5" t="s">
        <v>424</v>
      </c>
    </row>
    <row r="6" spans="1:2">
      <c r="A6" t="s">
        <v>5442</v>
      </c>
      <c r="B6" t="s">
        <v>6447</v>
      </c>
    </row>
    <row r="7" spans="1:2">
      <c r="A7" t="s">
        <v>5440</v>
      </c>
      <c r="B7" t="s">
        <v>6447</v>
      </c>
    </row>
    <row r="8" spans="1:2">
      <c r="A8" t="s">
        <v>5305</v>
      </c>
      <c r="B8" t="s">
        <v>6448</v>
      </c>
    </row>
    <row r="9" spans="1:2">
      <c r="A9" t="s">
        <v>5441</v>
      </c>
      <c r="B9" t="s">
        <v>6449</v>
      </c>
    </row>
    <row r="10" spans="1:2">
      <c r="A10" t="s">
        <v>2319</v>
      </c>
      <c r="B10" t="s">
        <v>5570</v>
      </c>
    </row>
    <row r="11" spans="1:2">
      <c r="A11" t="s">
        <v>6440</v>
      </c>
      <c r="B11" t="s">
        <v>6159</v>
      </c>
    </row>
    <row r="12" spans="1:2">
      <c r="A12" t="s">
        <v>5439</v>
      </c>
      <c r="B12" t="s">
        <v>6449</v>
      </c>
    </row>
    <row r="13" spans="1:2">
      <c r="A13" t="s">
        <v>5437</v>
      </c>
      <c r="B13" t="s">
        <v>6447</v>
      </c>
    </row>
    <row r="14" spans="1:2">
      <c r="A14" t="s">
        <v>6441</v>
      </c>
      <c r="B14" t="s">
        <v>6450</v>
      </c>
    </row>
    <row r="15" spans="1:2">
      <c r="A15" t="s">
        <v>6442</v>
      </c>
      <c r="B15" t="s">
        <v>661</v>
      </c>
    </row>
    <row r="16" spans="1:2">
      <c r="A16" t="s">
        <v>5444</v>
      </c>
      <c r="B16" t="s">
        <v>6451</v>
      </c>
    </row>
    <row r="17" spans="1:2">
      <c r="A17" t="s">
        <v>5443</v>
      </c>
      <c r="B17" t="s">
        <v>6447</v>
      </c>
    </row>
    <row r="18" spans="1:2">
      <c r="A18" t="s">
        <v>5435</v>
      </c>
      <c r="B18" t="s">
        <v>6452</v>
      </c>
    </row>
    <row r="19" spans="1:2">
      <c r="A19" t="s">
        <v>6443</v>
      </c>
      <c r="B19" t="s">
        <v>4411</v>
      </c>
    </row>
    <row r="20" spans="1:2">
      <c r="A20" t="s">
        <v>6444</v>
      </c>
      <c r="B20" t="s">
        <v>6450</v>
      </c>
    </row>
    <row r="21" spans="1:2">
      <c r="A21" t="s">
        <v>6445</v>
      </c>
      <c r="B21" t="s">
        <v>6450</v>
      </c>
    </row>
    <row r="22" spans="1:2">
      <c r="A22" t="s">
        <v>6446</v>
      </c>
      <c r="B22" t="s">
        <v>6450</v>
      </c>
    </row>
    <row r="23" spans="1:2">
      <c r="A23" t="s">
        <v>6454</v>
      </c>
      <c r="B23" t="s">
        <v>6470</v>
      </c>
    </row>
    <row r="24" spans="1:2">
      <c r="A24" t="s">
        <v>6455</v>
      </c>
      <c r="B24" t="s">
        <v>6471</v>
      </c>
    </row>
    <row r="25" spans="1:2">
      <c r="A25" t="s">
        <v>6456</v>
      </c>
      <c r="B25" t="s">
        <v>6472</v>
      </c>
    </row>
    <row r="26" spans="1:2">
      <c r="A26" t="s">
        <v>6457</v>
      </c>
      <c r="B26" t="s">
        <v>6470</v>
      </c>
    </row>
    <row r="27" spans="1:2">
      <c r="A27" t="s">
        <v>3569</v>
      </c>
      <c r="B27" t="s">
        <v>6473</v>
      </c>
    </row>
    <row r="28" spans="1:2">
      <c r="A28" t="s">
        <v>6458</v>
      </c>
      <c r="B28" t="s">
        <v>6474</v>
      </c>
    </row>
    <row r="29" spans="1:2">
      <c r="A29" t="s">
        <v>6459</v>
      </c>
      <c r="B29" t="s">
        <v>6474</v>
      </c>
    </row>
    <row r="30" spans="1:2">
      <c r="A30" t="s">
        <v>6460</v>
      </c>
      <c r="B30" t="s">
        <v>6474</v>
      </c>
    </row>
    <row r="31" spans="1:2">
      <c r="A31" t="s">
        <v>6461</v>
      </c>
      <c r="B31" t="s">
        <v>6474</v>
      </c>
    </row>
    <row r="32" spans="1:2">
      <c r="A32" t="s">
        <v>6462</v>
      </c>
      <c r="B32" t="s">
        <v>6474</v>
      </c>
    </row>
    <row r="33" spans="1:2">
      <c r="A33" t="s">
        <v>6463</v>
      </c>
      <c r="B33" t="s">
        <v>6474</v>
      </c>
    </row>
    <row r="34" spans="1:2">
      <c r="A34" t="s">
        <v>6464</v>
      </c>
      <c r="B34" t="s">
        <v>6474</v>
      </c>
    </row>
    <row r="35" spans="1:2">
      <c r="A35" t="s">
        <v>6465</v>
      </c>
      <c r="B35" t="s">
        <v>6474</v>
      </c>
    </row>
    <row r="36" spans="1:2">
      <c r="A36" t="s">
        <v>6460</v>
      </c>
      <c r="B36" t="s">
        <v>6474</v>
      </c>
    </row>
    <row r="37" spans="1:2">
      <c r="A37" t="s">
        <v>3574</v>
      </c>
      <c r="B37" t="s">
        <v>6474</v>
      </c>
    </row>
    <row r="38" spans="1:2">
      <c r="A38" t="s">
        <v>3572</v>
      </c>
      <c r="B38" t="s">
        <v>6474</v>
      </c>
    </row>
    <row r="39" spans="1:2">
      <c r="A39" t="s">
        <v>6466</v>
      </c>
      <c r="B39" t="s">
        <v>6475</v>
      </c>
    </row>
    <row r="40" spans="1:2">
      <c r="A40" t="s">
        <v>6467</v>
      </c>
      <c r="B40" t="s">
        <v>6475</v>
      </c>
    </row>
    <row r="41" spans="1:2">
      <c r="A41" t="s">
        <v>6468</v>
      </c>
      <c r="B41" t="s">
        <v>6475</v>
      </c>
    </row>
    <row r="42" spans="1:2">
      <c r="A42" t="s">
        <v>6469</v>
      </c>
      <c r="B42" t="s">
        <v>6475</v>
      </c>
    </row>
    <row r="43" spans="1:2">
      <c r="A43" t="s">
        <v>3571</v>
      </c>
      <c r="B43" t="s">
        <v>6475</v>
      </c>
    </row>
    <row r="44" spans="1:2">
      <c r="A44" t="s">
        <v>3573</v>
      </c>
      <c r="B44" t="s">
        <v>6473</v>
      </c>
    </row>
    <row r="45" spans="1:2">
      <c r="A45" t="s">
        <v>6487</v>
      </c>
      <c r="B45" t="s">
        <v>6478</v>
      </c>
    </row>
    <row r="46" spans="1:2">
      <c r="A46" t="s">
        <v>6477</v>
      </c>
      <c r="B46" t="s">
        <v>6474</v>
      </c>
    </row>
    <row r="47" spans="1:2">
      <c r="A47" t="s">
        <v>6514</v>
      </c>
      <c r="B47" t="s">
        <v>424</v>
      </c>
    </row>
    <row r="48" spans="1:2">
      <c r="A48" t="s">
        <v>6515</v>
      </c>
      <c r="B48" t="s">
        <v>425</v>
      </c>
    </row>
    <row r="49" spans="1:2">
      <c r="A49" t="s">
        <v>6490</v>
      </c>
      <c r="B49" t="s">
        <v>6492</v>
      </c>
    </row>
    <row r="50" spans="1:2">
      <c r="A50" t="s">
        <v>6491</v>
      </c>
      <c r="B50" t="s">
        <v>4765</v>
      </c>
    </row>
    <row r="51" spans="1:2">
      <c r="A51" t="s">
        <v>6494</v>
      </c>
      <c r="B51" t="s">
        <v>6475</v>
      </c>
    </row>
    <row r="52" spans="1:2">
      <c r="A52" t="s">
        <v>6495</v>
      </c>
      <c r="B52" t="s">
        <v>6475</v>
      </c>
    </row>
    <row r="53" spans="1:2">
      <c r="A53" t="s">
        <v>6498</v>
      </c>
      <c r="B53" t="s">
        <v>6478</v>
      </c>
    </row>
    <row r="54" spans="1:2">
      <c r="A54" t="s">
        <v>6499</v>
      </c>
      <c r="B54" t="s">
        <v>2367</v>
      </c>
    </row>
    <row r="55" spans="1:2">
      <c r="A55" t="s">
        <v>6500</v>
      </c>
      <c r="B55" t="s">
        <v>2367</v>
      </c>
    </row>
    <row r="56" spans="1:2">
      <c r="A56" t="s">
        <v>6501</v>
      </c>
      <c r="B56" t="s">
        <v>2367</v>
      </c>
    </row>
    <row r="57" spans="1:2">
      <c r="A57" t="s">
        <v>6502</v>
      </c>
      <c r="B57" t="s">
        <v>2367</v>
      </c>
    </row>
    <row r="58" spans="1:2">
      <c r="A58" t="s">
        <v>6503</v>
      </c>
      <c r="B58" t="s">
        <v>6510</v>
      </c>
    </row>
    <row r="59" spans="1:2">
      <c r="A59" t="s">
        <v>6504</v>
      </c>
      <c r="B59" t="s">
        <v>2200</v>
      </c>
    </row>
    <row r="60" spans="1:2">
      <c r="A60" t="s">
        <v>6505</v>
      </c>
      <c r="B60" t="s">
        <v>6511</v>
      </c>
    </row>
    <row r="61" spans="1:2">
      <c r="A61" t="s">
        <v>6506</v>
      </c>
      <c r="B61" t="s">
        <v>3615</v>
      </c>
    </row>
    <row r="62" spans="1:2">
      <c r="A62" t="s">
        <v>6507</v>
      </c>
      <c r="B62" t="s">
        <v>4891</v>
      </c>
    </row>
    <row r="63" spans="1:2">
      <c r="A63" t="s">
        <v>6508</v>
      </c>
      <c r="B63" t="s">
        <v>6512</v>
      </c>
    </row>
    <row r="64" spans="1:2">
      <c r="A64" t="s">
        <v>6509</v>
      </c>
      <c r="B64" t="s">
        <v>2178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5"/>
  <cols>
    <col min="1" max="1" width="64" bestFit="1" customWidth="1"/>
    <col min="2" max="2" width="24.85546875" bestFit="1" customWidth="1"/>
    <col min="3" max="3" width="20.28515625" bestFit="1" customWidth="1"/>
  </cols>
  <sheetData>
    <row r="1" spans="1:2">
      <c r="A1" t="s">
        <v>6317</v>
      </c>
      <c r="B1" t="s">
        <v>6325</v>
      </c>
    </row>
    <row r="2" spans="1:2">
      <c r="A2" t="s">
        <v>6362</v>
      </c>
      <c r="B2" t="s">
        <v>6405</v>
      </c>
    </row>
    <row r="3" spans="1:2">
      <c r="A3" t="s">
        <v>6374</v>
      </c>
      <c r="B3" t="s">
        <v>6405</v>
      </c>
    </row>
    <row r="4" spans="1:2">
      <c r="A4" t="s">
        <v>6430</v>
      </c>
      <c r="B4" t="s">
        <v>6431</v>
      </c>
    </row>
    <row r="5" spans="1:2">
      <c r="A5" t="s">
        <v>6252</v>
      </c>
      <c r="B5" t="s">
        <v>6249</v>
      </c>
    </row>
    <row r="6" spans="1:2">
      <c r="A6" t="s">
        <v>6433</v>
      </c>
      <c r="B6" t="s">
        <v>6250</v>
      </c>
    </row>
    <row r="7" spans="1:2">
      <c r="A7" t="s">
        <v>6434</v>
      </c>
      <c r="B7" t="s">
        <v>6250</v>
      </c>
    </row>
    <row r="8" spans="1:2">
      <c r="A8" t="s">
        <v>6435</v>
      </c>
      <c r="B8" t="s">
        <v>6479</v>
      </c>
    </row>
    <row r="9" spans="1:2">
      <c r="A9" t="s">
        <v>6362</v>
      </c>
      <c r="B9" t="s">
        <v>6405</v>
      </c>
    </row>
    <row r="10" spans="1:2">
      <c r="A10" t="s">
        <v>6374</v>
      </c>
      <c r="B10" t="s">
        <v>6405</v>
      </c>
    </row>
    <row r="11" spans="1:2">
      <c r="A11" t="s">
        <v>6245</v>
      </c>
      <c r="B11" s="149" t="s">
        <v>6272</v>
      </c>
    </row>
    <row r="12" spans="1:2">
      <c r="A12" t="s">
        <v>2330</v>
      </c>
      <c r="B12" s="149" t="s">
        <v>6272</v>
      </c>
    </row>
    <row r="13" spans="1:2">
      <c r="A13" t="s">
        <v>4408</v>
      </c>
      <c r="B13" s="149" t="s">
        <v>6272</v>
      </c>
    </row>
    <row r="14" spans="1:2">
      <c r="A14" t="s">
        <v>6439</v>
      </c>
      <c r="B14" t="s">
        <v>6480</v>
      </c>
    </row>
    <row r="15" spans="1:2">
      <c r="A15" t="s">
        <v>5442</v>
      </c>
      <c r="B15" t="s">
        <v>5477</v>
      </c>
    </row>
    <row r="16" spans="1:2">
      <c r="A16" t="s">
        <v>5440</v>
      </c>
      <c r="B16" t="s">
        <v>5477</v>
      </c>
    </row>
    <row r="17" spans="1:2">
      <c r="A17" t="s">
        <v>5305</v>
      </c>
      <c r="B17" t="s">
        <v>5463</v>
      </c>
    </row>
    <row r="18" spans="1:2">
      <c r="A18" t="s">
        <v>5441</v>
      </c>
      <c r="B18" t="s">
        <v>5477</v>
      </c>
    </row>
    <row r="19" spans="1:2">
      <c r="A19" t="s">
        <v>2319</v>
      </c>
      <c r="B19" t="s">
        <v>5570</v>
      </c>
    </row>
    <row r="20" spans="1:2">
      <c r="A20" t="s">
        <v>6440</v>
      </c>
      <c r="B20" t="s">
        <v>6450</v>
      </c>
    </row>
    <row r="21" spans="1:2">
      <c r="A21" t="s">
        <v>5439</v>
      </c>
      <c r="B21" t="s">
        <v>5477</v>
      </c>
    </row>
    <row r="22" spans="1:2">
      <c r="A22" t="s">
        <v>5437</v>
      </c>
      <c r="B22" t="s">
        <v>5477</v>
      </c>
    </row>
    <row r="23" spans="1:2">
      <c r="A23" t="s">
        <v>6441</v>
      </c>
      <c r="B23" t="s">
        <v>4929</v>
      </c>
    </row>
    <row r="24" spans="1:2">
      <c r="A24" t="s">
        <v>6442</v>
      </c>
      <c r="B24" t="s">
        <v>6481</v>
      </c>
    </row>
    <row r="25" spans="1:2">
      <c r="A25" t="s">
        <v>5444</v>
      </c>
      <c r="B25" t="s">
        <v>5477</v>
      </c>
    </row>
    <row r="26" spans="1:2">
      <c r="A26" t="s">
        <v>5443</v>
      </c>
      <c r="B26" t="s">
        <v>5477</v>
      </c>
    </row>
    <row r="27" spans="1:2">
      <c r="A27" t="s">
        <v>5435</v>
      </c>
      <c r="B27" t="s">
        <v>662</v>
      </c>
    </row>
    <row r="28" spans="1:2">
      <c r="A28" t="s">
        <v>6443</v>
      </c>
      <c r="B28" t="s">
        <v>6482</v>
      </c>
    </row>
    <row r="29" spans="1:2">
      <c r="A29" t="s">
        <v>6444</v>
      </c>
      <c r="B29" t="s">
        <v>4929</v>
      </c>
    </row>
    <row r="30" spans="1:2">
      <c r="A30" t="s">
        <v>6445</v>
      </c>
      <c r="B30" t="s">
        <v>4929</v>
      </c>
    </row>
    <row r="31" spans="1:2">
      <c r="A31" t="s">
        <v>6446</v>
      </c>
      <c r="B31" t="s">
        <v>4929</v>
      </c>
    </row>
    <row r="32" spans="1:2">
      <c r="A32" t="s">
        <v>6454</v>
      </c>
      <c r="B32" t="s">
        <v>6483</v>
      </c>
    </row>
    <row r="33" spans="1:2">
      <c r="A33" t="s">
        <v>6455</v>
      </c>
      <c r="B33" t="s">
        <v>447</v>
      </c>
    </row>
    <row r="34" spans="1:2">
      <c r="A34" t="s">
        <v>6456</v>
      </c>
      <c r="B34" t="s">
        <v>6484</v>
      </c>
    </row>
    <row r="35" spans="1:2">
      <c r="A35" t="s">
        <v>6457</v>
      </c>
      <c r="B35" t="s">
        <v>6484</v>
      </c>
    </row>
    <row r="36" spans="1:2">
      <c r="A36" t="s">
        <v>3569</v>
      </c>
      <c r="B36" t="s">
        <v>3570</v>
      </c>
    </row>
    <row r="37" spans="1:2">
      <c r="A37" t="s">
        <v>6458</v>
      </c>
      <c r="B37" t="s">
        <v>6485</v>
      </c>
    </row>
    <row r="38" spans="1:2">
      <c r="A38" t="s">
        <v>6459</v>
      </c>
      <c r="B38" t="s">
        <v>6486</v>
      </c>
    </row>
    <row r="39" spans="1:2">
      <c r="A39" t="s">
        <v>6460</v>
      </c>
      <c r="B39" t="s">
        <v>6485</v>
      </c>
    </row>
    <row r="40" spans="1:2">
      <c r="A40" t="s">
        <v>6461</v>
      </c>
      <c r="B40" t="s">
        <v>6485</v>
      </c>
    </row>
    <row r="41" spans="1:2">
      <c r="A41" t="s">
        <v>6462</v>
      </c>
      <c r="B41" t="s">
        <v>6485</v>
      </c>
    </row>
    <row r="42" spans="1:2">
      <c r="A42" t="s">
        <v>6463</v>
      </c>
      <c r="B42" t="s">
        <v>6485</v>
      </c>
    </row>
    <row r="43" spans="1:2">
      <c r="A43" t="s">
        <v>6464</v>
      </c>
      <c r="B43" t="s">
        <v>6485</v>
      </c>
    </row>
    <row r="44" spans="1:2">
      <c r="A44" t="s">
        <v>6465</v>
      </c>
      <c r="B44" t="s">
        <v>6486</v>
      </c>
    </row>
    <row r="45" spans="1:2">
      <c r="A45" t="s">
        <v>6460</v>
      </c>
      <c r="B45" t="s">
        <v>6485</v>
      </c>
    </row>
    <row r="46" spans="1:2">
      <c r="A46" t="s">
        <v>3574</v>
      </c>
      <c r="B46" t="s">
        <v>3570</v>
      </c>
    </row>
    <row r="47" spans="1:2">
      <c r="A47" t="s">
        <v>3572</v>
      </c>
      <c r="B47" t="s">
        <v>3570</v>
      </c>
    </row>
    <row r="48" spans="1:2">
      <c r="A48" t="s">
        <v>6466</v>
      </c>
      <c r="B48" t="s">
        <v>2413</v>
      </c>
    </row>
    <row r="49" spans="1:2">
      <c r="A49" t="s">
        <v>6467</v>
      </c>
      <c r="B49" t="s">
        <v>6485</v>
      </c>
    </row>
    <row r="50" spans="1:2">
      <c r="A50" t="s">
        <v>6468</v>
      </c>
      <c r="B50" t="s">
        <v>6473</v>
      </c>
    </row>
    <row r="51" spans="1:2">
      <c r="A51" t="s">
        <v>6469</v>
      </c>
      <c r="B51" t="s">
        <v>6473</v>
      </c>
    </row>
    <row r="52" spans="1:2">
      <c r="A52" t="s">
        <v>3571</v>
      </c>
      <c r="B52" t="s">
        <v>3570</v>
      </c>
    </row>
    <row r="53" spans="1:2">
      <c r="A53" t="s">
        <v>3573</v>
      </c>
      <c r="B53" t="s">
        <v>3570</v>
      </c>
    </row>
    <row r="54" spans="1:2">
      <c r="A54" t="s">
        <v>6487</v>
      </c>
      <c r="B54" t="s">
        <v>6488</v>
      </c>
    </row>
    <row r="55" spans="1:2">
      <c r="A55" t="s">
        <v>6477</v>
      </c>
      <c r="B55" t="s">
        <v>6486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6275</v>
      </c>
      <c r="B137" t="s">
        <v>569</v>
      </c>
    </row>
    <row r="138" spans="1:2">
      <c r="A138" s="146" t="s">
        <v>6307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2025-10-16T18:48:09Z</dcterms:modified>
  <cp:category/>
  <cp:contentStatus/>
</cp:coreProperties>
</file>