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A786B9A-84BF-4FFE-9488-4F74B7C2C137}" xr6:coauthVersionLast="47" xr6:coauthVersionMax="47" xr10:uidLastSave="{00000000-0000-0000-0000-000000000000}"/>
  <bookViews>
    <workbookView xWindow="-289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"ef1ad68d-5abf-4c5f-8191-ca799b73f7cc"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71" i="1" l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<sst xmlns="http://schemas.openxmlformats.org/spreadsheetml/2006/main" count="16790" uniqueCount="4050">
  <si>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</si>
  <si>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</si>
  <si>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</si>
  <si>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</si>
  <si>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</si>
  <si>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</si>
  <si>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</si>
  <si>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</si>
  <si>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</si>
  <si>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</si>
  <si>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</si>
  <si>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</si>
  <si>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</si>
  <si>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</si>
  <si>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</si>
  <si>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</si>
  <si>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</si>
  <si>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</si>
  <si>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</si>
  <si>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</si>
  <si>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</si>
  <si>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</si>
  <si>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</si>
  <si>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</si>
  <si>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</si>
  <si>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</si>
  <si>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</si>
  <si>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</si>
  <si>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</si>
  <si>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</si>
  <si>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</si>
  <si>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</si>
  <si>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</si>
  <si>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</si>
  <si>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</si>
  <si>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</si>
  <si>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</si>
  <si>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</si>
  <si>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</si>
  <si>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</si>
  <si>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</si>
  <si>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</si>
  <si>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</si>
  <si>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</si>
  <si>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</si>
  <si>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</si>
  <si>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</si>
  <si>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</si>
  <si>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</si>
  <si>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</si>
  <si>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</si>
  <si>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</si>
  <si>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</si>
  <si>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</si>
  <si>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</si>
  <si>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</si>
  <si>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</si>
  <si>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</si>
  <si>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</si>
  <si>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</si>
  <si>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</si>
  <si>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</si>
  <si>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</si>
  <si>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</si>
  <si>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</si>
  <si>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</si>
  <si>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</si>
  <si>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</si>
  <si>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</si>
  <si>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</si>
  <si>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</si>
  <si>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</si>
  <si>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</si>
  <si>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</si>
  <si>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</si>
  <si>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</si>
  <si>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</si>
  <si>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</si>
  <si>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</si>
  <si>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</si>
  <si>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</si>
  <si>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</si>
  <si>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</si>
  <si>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</si>
  <si>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</si>
  <si>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</si>
  <si>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</si>
  <si>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</si>
  <si>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</si>
  <si>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</si>
  <si>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</si>
  <si>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</si>
  <si>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</si>
  <si>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</si>
  <si>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</si>
  <si>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</si>
  <si>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</si>
  <si>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</si>
  <si>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</si>
  <si>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</si>
  <si>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</si>
  <si>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</si>
  <si>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</si>
  <si>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</si>
  <si>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</si>
  <si>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</si>
  <si>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</si>
  <si>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</si>
  <si>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</si>
  <si>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</si>
  <si>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</si>
  <si>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</si>
  <si>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</si>
  <si>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</si>
  <si>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</si>
  <si>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</si>
  <si>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</si>
  <si>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</si>
  <si>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</si>
  <si>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</si>
  <si>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</si>
  <si>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</si>
  <si>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</si>
  <si>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</si>
  <si>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</si>
  <si>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</si>
  <si>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</si>
  <si>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</si>
  <si>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</si>
  <si>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</si>
  <si>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</si>
  <si>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</si>
  <si>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</si>
  <si>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</si>
  <si>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</si>
  <si>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</si>
  <si>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</si>
  <si>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</si>
  <si>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</si>
  <si>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</si>
  <si>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</si>
  <si>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</si>
  <si>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</si>
  <si>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</si>
  <si>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</si>
  <si>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</si>
  <si>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</si>
  <si>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</si>
  <si>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</si>
  <si>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</si>
  <si>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</si>
  <si>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</si>
  <si>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</si>
  <si>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</si>
  <si>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</si>
  <si>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</si>
  <si>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</si>
  <si>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</si>
  <si>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</si>
  <si>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</si>
  <si>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</si>
  <si>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</si>
  <si>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</si>
  <si>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</si>
  <si>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</si>
  <si>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</si>
  <si>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</si>
  <si>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</si>
  <si>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</si>
  <si>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</si>
  <si>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</si>
  <si>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</si>
  <si>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</si>
  <si>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</si>
  <si>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</si>
  <si>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</si>
  <si>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</si>
  <si>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</si>
  <si>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</si>
  <si>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</si>
  <si>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</si>
  <si>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</si>
  <si>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</si>
  <si>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</si>
  <si>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</si>
  <si>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</si>
  <si>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</si>
  <si>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</si>
  <si>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</si>
  <si>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</si>
  <si>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</si>
  <si>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</si>
  <si>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</si>
  <si>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</si>
  <si>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</si>
  <si>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</si>
  <si>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</si>
  <si>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</si>
  <si>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</si>
  <si>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</si>
  <si>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</si>
  <si>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</si>
  <si>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</si>
  <si>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</si>
  <si>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</si>
  <si>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</si>
  <si>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</si>
  <si>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</si>
  <si>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</si>
  <si>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</si>
  <si>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</si>
  <si>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</si>
  <si>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</si>
  <si>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</si>
  <si>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</si>
  <si>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</si>
  <si>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</si>
  <si>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</si>
  <si>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</si>
  <si>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</si>
  <si>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</si>
  <si>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</si>
  <si>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</si>
  <si>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</si>
  <si>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</si>
  <si>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</si>
  <si>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</si>
  <si>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</si>
  <si>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</si>
  <si>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</si>
  <si>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</si>
  <si>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</si>
  <si>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</si>
  <si>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</si>
  <si>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</si>
  <si>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</si>
  <si>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</si>
  <si>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</si>
  <si>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</si>
  <si>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</si>
  <si>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</si>
  <si>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</si>
  <si>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</si>
  <si>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</si>
  <si>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</si>
  <si>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</si>
  <si>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</si>
  <si>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</si>
  <si>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</si>
  <si>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</si>
  <si>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</si>
  <si>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</si>
  <si>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</si>
  <si>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</si>
  <si>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</si>
  <si>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</si>
  <si>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</si>
  <si>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</si>
  <si>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</si>
  <si>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</si>
  <si>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</si>
  <si>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</si>
  <si>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</si>
  <si>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</si>
  <si>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</si>
  <si>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</si>
  <si>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</si>
  <si>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</si>
  <si>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</si>
  <si>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</si>
  <si>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</si>
  <si>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</si>
  <si>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</si>
  <si>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</si>
  <si>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</si>
  <si>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</si>
  <si>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</si>
  <si>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</si>
  <si>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</si>
  <si>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</si>
  <si>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</si>
  <si>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</si>
  <si>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</si>
  <si>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</si>
  <si>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</si>
  <si>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</si>
  <si>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</si>
  <si>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</si>
  <si>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</si>
  <si>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</si>
  <si>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</si>
  <si>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</si>
  <si>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</si>
  <si>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</si>
  <si>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</si>
  <si>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</si>
  <si>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</si>
  <si>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</si>
  <si>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</si>
  <si>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</si>
  <si>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</si>
  <si>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</si>
  <si>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</si>
  <si>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</si>
  <si>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</si>
  <si>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</si>
  <si>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</si>
  <si>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</si>
  <si>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</si>
  <si>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</si>
  <si>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</si>
  <si>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</si>
  <si>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</si>
  <si>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</si>
  <si>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</si>
  <si>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</si>
  <si>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</si>
  <si>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</si>
  <si>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</si>
  <si>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</si>
  <si>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</si>
  <si>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</si>
  <si>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</si>
  <si>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</si>
  <si>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</si>
  <si>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</si>
  <si>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</si>
  <si>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</si>
  <si>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</si>
  <si>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</si>
  <si>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</si>
  <si>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</si>
  <si>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</si>
  <si>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</si>
  <si>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</si>
  <si>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</si>
  <si>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</si>
  <si>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</si>
  <si>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</si>
  <si>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</si>
  <si>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</si>
  <si>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</si>
  <si>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</si>
  <si>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</si>
  <si>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</si>
  <si>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</si>
  <si>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</si>
  <si>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</si>
  <si>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</si>
  <si>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</si>
  <si>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</si>
  <si>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</si>
  <si>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</si>
  <si>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</si>
  <si>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</si>
  <si>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</si>
  <si>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</si>
  <si>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</si>
  <si>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</si>
  <si>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</si>
  <si>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</si>
  <si>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</si>
  <si>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</si>
  <si>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</si>
  <si>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</si>
  <si>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</si>
  <si>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</si>
  <si>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</si>
  <si>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</si>
  <si>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</si>
  <si>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</si>
  <si>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</si>
  <si>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</si>
  <si>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</si>
  <si>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</si>
  <si>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</si>
  <si>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</si>
  <si>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</si>
  <si>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</si>
  <si>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</si>
  <si>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</si>
  <si>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</si>
  <si>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</si>
  <si>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</si>
  <si>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</si>
  <si>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</si>
  <si>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</si>
  <si>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</si>
  <si>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</si>
  <si>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</si>
  <si>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</si>
  <si>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</si>
  <si>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</si>
  <si>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</si>
  <si>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</si>
  <si>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</si>
  <si>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</si>
  <si>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</si>
  <si>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</si>
  <si>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</si>
  <si>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</si>
  <si>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</si>
  <si>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</si>
  <si>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</si>
  <si>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</si>
  <si>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</si>
  <si>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</si>
  <si>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</si>
  <si>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</si>
  <si>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</si>
  <si>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</si>
  <si>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</si>
  <si>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</si>
  <si>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</si>
  <si>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</si>
  <si>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</si>
  <si>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</si>
  <si>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</si>
  <si>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</si>
  <si>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</si>
  <si>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</si>
  <si>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</si>
  <si>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</si>
  <si>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</si>
  <si>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</si>
  <si>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</si>
  <si>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</si>
  <si>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</si>
  <si>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</si>
  <si>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</si>
  <si>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</si>
  <si>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</si>
  <si>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</si>
  <si>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</si>
  <si>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</si>
  <si>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</si>
  <si>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</si>
  <si>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</si>
  <si>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</si>
  <si>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</si>
  <si>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</si>
  <si>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</si>
  <si>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</si>
  <si>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</si>
  <si>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</si>
  <si>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</si>
  <si>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</si>
  <si>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</si>
  <si>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</si>
  <si>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</si>
  <si>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</si>
  <si>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</si>
  <si>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</si>
  <si>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</si>
  <si>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</si>
  <si>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</si>
  <si>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</si>
  <si>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</si>
  <si>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</si>
  <si>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</si>
  <si>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</si>
  <si>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</si>
  <si>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</si>
  <si>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</si>
  <si>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</si>
  <si>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</si>
  <si>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</si>
  <si>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</si>
  <si>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</si>
  <si>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</si>
  <si>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</si>
  <si>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</si>
  <si>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</si>
  <si>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</si>
  <si>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</si>
  <si>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</si>
  <si>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</si>
  <si>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</si>
  <si>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</si>
  <si>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</si>
  <si>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</si>
  <si>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</si>
  <si>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</si>
  <si>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</si>
  <si>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</si>
  <si>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</si>
  <si>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</si>
  <si>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</si>
  <si>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</si>
  <si>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</si>
  <si>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</si>
  <si>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</si>
  <si>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</si>
  <si>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</si>
  <si>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</si>
  <si>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</si>
  <si>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</si>
  <si>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</si>
  <si>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</si>
  <si>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</si>
  <si>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</si>
  <si>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</si>
  <si>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</si>
  <si>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</si>
  <si>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</si>
  <si>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</si>
  <si>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</si>
  <si>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</si>
  <si>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</si>
  <si>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</si>
  <si>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</si>
  <si>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</si>
  <si>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</si>
  <si>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</si>
  <si>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</si>
  <si>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</si>
  <si>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</si>
  <si>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</si>
  <si>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</si>
  <si>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</si>
  <si>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</si>
  <si>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</si>
  <si>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</si>
  <si>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</si>
  <si>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</si>
  <si>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</si>
  <si>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</si>
  <si>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</si>
  <si>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</si>
  <si>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</si>
  <si>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</si>
  <si>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</si>
  <si>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</si>
  <si>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</si>
  <si>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</si>
  <si>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</si>
  <si>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</si>
  <si>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</si>
  <si>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</si>
  <si>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</si>
  <si>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</si>
  <si>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</si>
  <si>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</si>
  <si>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</si>
  <si>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</si>
  <si>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</si>
  <si>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</si>
  <si>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</si>
  <si>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</si>
  <si>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</si>
  <si>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</si>
  <si>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</si>
  <si>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</si>
  <si>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</si>
  <si>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</si>
  <si>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</si>
  <si>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</si>
  <si>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</si>
  <si>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</si>
  <si>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</si>
  <si>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</si>
  <si>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</si>
  <si>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</si>
  <si>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</si>
  <si>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</si>
  <si>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</si>
  <si>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</si>
  <si>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</si>
  <si>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</si>
  <si>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</si>
  <si>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</si>
  <si>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</si>
  <si>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</si>
  <si>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</si>
  <si>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</si>
  <si>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</si>
  <si>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</si>
  <si>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</si>
  <si>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</si>
  <si>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</si>
  <si>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</si>
  <si>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</si>
  <si>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</si>
  <si>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</si>
  <si>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</si>
  <si>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</si>
  <si>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</si>
  <si>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</si>
  <si>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</si>
  <si>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</si>
  <si>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</si>
  <si>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</si>
  <si>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</si>
  <si>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</si>
  <si>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</si>
  <si>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</si>
  <si>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</si>
  <si>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</si>
  <si>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</si>
  <si>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</si>
  <si>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</si>
  <si>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</si>
  <si>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</si>
  <si>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</si>
  <si>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</si>
  <si>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</si>
  <si>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</si>
  <si>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</si>
  <si>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</si>
  <si>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</si>
  <si>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</si>
  <si>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</si>
  <si>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</si>
  <si>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</si>
  <si>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</si>
  <si>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</si>
  <si>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</si>
  <si>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</si>
  <si>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</si>
  <si>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</si>
  <si>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</si>
  <si>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</si>
  <si>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</si>
  <si>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</si>
  <si>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</si>
  <si>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</si>
  <si>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</si>
  <si>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</si>
  <si>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</si>
  <si>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</si>
  <si>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</si>
  <si>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</si>
  <si>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</si>
  <si>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</si>
  <si>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</si>
  <si>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</si>
  <si>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</si>
  <si>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</si>
  <si>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</si>
  <si>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</si>
  <si>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</si>
  <si>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</si>
  <si>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</si>
  <si>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</si>
  <si>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</si>
  <si>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</si>
  <si>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</si>
  <si>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</si>
  <si>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</si>
  <si>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</si>
  <si>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</si>
  <si>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</si>
  <si>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</si>
  <si>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</si>
  <si>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</si>
  <si>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</si>
  <si>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</si>
  <si>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</si>
  <si>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</si>
  <si>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</si>
  <si>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</si>
  <si>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</si>
  <si>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</si>
  <si>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</si>
  <si>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</si>
  <si>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</si>
  <si>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</si>
  <si>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</si>
  <si>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</si>
  <si>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</si>
  <si>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</si>
  <si>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</si>
  <si>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</si>
  <si>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</si>
  <si>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</si>
  <si>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</si>
  <si>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</si>
  <si>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</si>
  <si>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</si>
  <si>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</si>
  <si>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</si>
  <si>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</si>
  <si>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</si>
  <si>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</si>
  <si>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</si>
  <si>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</si>
  <si>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</si>
  <si>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</si>
  <si>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</si>
  <si>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</si>
  <si>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</si>
  <si>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</si>
  <si>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</si>
  <si>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</si>
  <si>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</si>
  <si>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</si>
  <si>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</si>
  <si>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</si>
  <si>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</si>
  <si>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</si>
  <si>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</si>
  <si>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</si>
  <si>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</si>
  <si>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</si>
  <si>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</si>
  <si>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</si>
  <si>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</si>
  <si>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</si>
  <si>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</si>
  <si>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</si>
  <si>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</si>
  <si>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</si>
  <si>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</si>
  <si>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</si>
  <si>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</si>
  <si>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</si>
  <si>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</si>
  <si>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</si>
  <si>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</si>
  <si>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</si>
  <si>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</si>
  <si>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</si>
  <si>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</si>
  <si>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</si>
  <si>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</si>
  <si>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</si>
  <si>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</si>
  <si>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</si>
  <si>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</si>
  <si>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</si>
  <si>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</si>
  <si>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</si>
  <si>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</si>
  <si>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</si>
  <si>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</si>
  <si>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</si>
  <si>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</si>
  <si>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</si>
  <si>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</si>
  <si>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</si>
  <si>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</si>
  <si>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</si>
  <si>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</si>
  <si>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</si>
  <si>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</si>
  <si>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</si>
  <si>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</si>
  <si>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</si>
  <si>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</si>
  <si>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</si>
  <si>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</si>
  <si>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</si>
  <si>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</si>
  <si>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</si>
  <si>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</si>
  <si>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</si>
  <si>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</si>
  <si>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</si>
  <si>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</si>
  <si>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</si>
  <si>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</si>
  <si>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</si>
  <si>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</si>
  <si>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</si>
  <si>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</si>
  <si>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</si>
  <si>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</si>
  <si>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</si>
  <si>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</si>
  <si>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</si>
  <si>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</si>
  <si>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</si>
  <si>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</si>
  <si>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</si>
  <si>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</si>
  <si>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</si>
  <si>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</si>
  <si>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</si>
  <si>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</si>
  <si>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</si>
  <si>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</si>
  <si>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</si>
  <si>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</si>
  <si>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</si>
  <si>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</si>
  <si>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</si>
  <si>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</si>
  <si>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</si>
  <si>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</si>
  <si>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</si>
  <si>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</si>
  <si>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</si>
  <si>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</si>
  <si>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</si>
  <si>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</si>
  <si>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</si>
  <si>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</si>
  <si>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</si>
  <si>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</si>
  <si>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</si>
  <si>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</si>
  <si>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</si>
  <si>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</si>
  <si>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</si>
  <si>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</si>
  <si>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</si>
  <si>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</si>
  <si>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</si>
  <si>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</si>
  <si>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</si>
  <si>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</si>
  <si>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</si>
  <si>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</si>
  <si>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</si>
  <si>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</si>
  <si>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</si>
  <si>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</si>
  <si>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</si>
  <si>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</si>
  <si>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</si>
  <si>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</si>
  <si>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</si>
  <si>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</si>
  <si>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</si>
  <si>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</si>
  <si>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</si>
  <si>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</si>
  <si>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</si>
  <si>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</si>
  <si>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</si>
  <si>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</si>
  <si>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</si>
  <si>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</si>
  <si>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</si>
  <si>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</si>
  <si>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</si>
  <si>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</si>
  <si>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</si>
  <si>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</si>
  <si>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</si>
  <si>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</si>
  <si>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</si>
  <si>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</si>
  <si>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</si>
  <si>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</si>
  <si>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</si>
  <si>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</si>
  <si>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</si>
  <si>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</si>
  <si>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</si>
  <si>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</si>
  <si>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</si>
  <si>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</si>
  <si>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</si>
  <si>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</si>
  <si>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</si>
  <si>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</si>
  <si>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</si>
  <si>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</si>
  <si>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</si>
  <si>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</si>
  <si>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</si>
  <si>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</si>
  <si>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</si>
  <si>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</si>
  <si>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</si>
  <si>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</si>
  <si>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</si>
  <si>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</si>
  <si>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</si>
  <si>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</si>
  <si>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</si>
  <si>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</si>
  <si>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</si>
  <si>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</si>
  <si>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</si>
  <si>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</si>
  <si>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</si>
  <si>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</si>
  <si>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</si>
  <si>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</si>
  <si>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</si>
  <si>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</si>
  <si>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</si>
  <si>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</si>
  <si>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</si>
  <si>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</si>
  <si>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</si>
  <si>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</si>
  <si>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</si>
  <si>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</si>
  <si>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</si>
  <si>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</si>
  <si>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</si>
  <si>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</si>
  <si>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</si>
  <si>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</si>
  <si>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</si>
  <si>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</si>
  <si>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</si>
  <si>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</si>
  <si>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</si>
  <si>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</si>
  <si>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</si>
  <si>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</si>
  <si>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</si>
  <si>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</si>
  <si>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</si>
  <si>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</si>
  <si>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</si>
  <si>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</si>
  <si>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</si>
  <si>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</si>
  <si>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</si>
  <si>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</si>
  <si>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</si>
  <si>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</si>
  <si>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</si>
  <si>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</si>
  <si>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</si>
  <si>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</si>
  <si>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</si>
  <si>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</si>
  <si>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</si>
  <si>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</si>
  <si>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</si>
  <si>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</si>
  <si>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</si>
  <si>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</si>
  <si>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</si>
  <si>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</si>
  <si>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</si>
  <si>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</si>
  <si>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</si>
  <si>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</si>
  <si>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</si>
  <si>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</si>
  <si>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</si>
  <si>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</si>
  <si>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</si>
  <si>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</si>
  <si>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</si>
  <si>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</si>
  <si>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</si>
  <si>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</si>
  <si>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</si>
  <si>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</si>
  <si>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</si>
  <si>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</si>
  <si>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</si>
  <si>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</si>
  <si>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</si>
  <si>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</si>
  <si>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</si>
  <si>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</si>
  <si>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</si>
  <si>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</si>
  <si>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</si>
  <si>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</si>
  <si>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</si>
  <si>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</si>
  <si>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</si>
  <si>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</si>
  <si>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</si>
  <si>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</si>
  <si>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</si>
  <si>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</si>
  <si>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</si>
  <si>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</si>
  <si>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</si>
  <si>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</si>
  <si>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</si>
  <si>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</si>
  <si>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</si>
  <si>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</si>
  <si>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</si>
  <si>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</si>
  <si>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</si>
  <si>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</si>
  <si>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</si>
  <si>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</si>
  <si>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</si>
  <si>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</si>
  <si>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</si>
  <si>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</si>
  <si>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</si>
  <si>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</si>
  <si>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</si>
  <si>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</si>
  <si>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</si>
  <si>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</si>
  <si>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</si>
  <si>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</si>
  <si>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</si>
  <si>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</si>
  <si>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</si>
  <si>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</si>
  <si>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</si>
  <si>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</si>
  <si>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</si>
  <si>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</si>
  <si>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</si>
  <si>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</si>
  <si>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</si>
  <si>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</si>
  <si>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</si>
  <si>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</si>
  <si>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</si>
  <si>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</si>
  <si>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</si>
  <si>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</si>
  <si>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</si>
  <si>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</si>
  <si>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</si>
  <si>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</si>
  <si>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</si>
  <si>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</si>
  <si>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</si>
  <si>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</si>
  <si>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</si>
  <si>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</si>
  <si>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</si>
  <si>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</si>
  <si>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</si>
  <si>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</si>
  <si>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</si>
  <si>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</si>
  <si>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</si>
  <si>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</si>
  <si>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</si>
  <si>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</si>
  <si>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</si>
  <si>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</si>
  <si>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</si>
  <si>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</si>
  <si>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</si>
  <si>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</si>
  <si>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</si>
  <si>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</si>
  <si>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</si>
  <si>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</si>
  <si>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</si>
  <si>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</si>
  <si>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</si>
  <si>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</si>
  <si>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</si>
  <si>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</si>
  <si>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</si>
  <si>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</si>
  <si>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</si>
  <si>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</si>
  <si>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</si>
  <si>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</si>
  <si>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</si>
  <si>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</si>
  <si>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</si>
  <si>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</si>
  <si>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</si>
  <si>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</si>
  <si>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</si>
  <si>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</si>
  <si>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</si>
  <si>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</si>
  <si>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</si>
  <si>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</si>
  <si>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</si>
  <si>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</si>
  <si>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</si>
  <si>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</si>
  <si>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</si>
  <si>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</si>
  <si>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</si>
  <si>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</si>
  <si>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</si>
  <si>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</si>
  <si>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</si>
  <si>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</si>
  <si>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</si>
  <si>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</si>
  <si>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</si>
  <si>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</si>
  <si>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</si>
  <si>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</si>
  <si>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</si>
  <si>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</si>
  <si>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</si>
  <si>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</si>
  <si>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</si>
  <si>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</si>
  <si>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</si>
  <si>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</si>
  <si>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</si>
  <si>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</si>
  <si>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</si>
  <si>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</si>
  <si>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</si>
  <si>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</si>
  <si>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</si>
  <si>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</si>
  <si>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</si>
  <si>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</si>
  <si>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</si>
  <si>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</si>
  <si>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</si>
  <si>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</si>
  <si>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</si>
  <si>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</si>
  <si>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</si>
  <si>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</si>
  <si>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</si>
  <si>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</si>
  <si>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</si>
  <si>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</si>
  <si>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</si>
  <si>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</si>
  <si>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</si>
  <si>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</si>
  <si>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</si>
  <si>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</si>
  <si>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</si>
  <si>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</si>
  <si>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</si>
  <si>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</si>
  <si>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</si>
  <si>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</si>
  <si>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</si>
  <si>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</si>
  <si>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</si>
  <si>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</si>
  <si>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</si>
  <si>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</si>
  <si>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</si>
  <si>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</si>
  <si>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</si>
  <si>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</si>
  <si>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</si>
  <si>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</si>
  <si>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</si>
  <si>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</si>
  <si>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</si>
  <si>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</si>
  <si>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</si>
  <si>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</si>
  <si>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</si>
  <si>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</si>
  <si>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</si>
  <si>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</si>
  <si>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</si>
  <si>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</si>
  <si>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</si>
  <si>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</si>
  <si>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</si>
  <si>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</si>
  <si>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</si>
  <si>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</si>
  <si>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</si>
  <si>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</si>
  <si>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</si>
  <si>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</si>
  <si>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</si>
  <si>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</si>
  <si>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</si>
  <si>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</si>
  <si>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</si>
  <si>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</si>
  <si>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</si>
  <si>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</si>
  <si>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</si>
  <si>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</si>
  <si>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</si>
  <si>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</si>
  <si>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</si>
  <si>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</si>
  <si>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</si>
  <si>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</si>
  <si>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</si>
  <si>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</si>
  <si>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</si>
  <si>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</si>
  <si>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</si>
  <si>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</si>
  <si>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</si>
  <si>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</si>
  <si>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</si>
  <si>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</si>
  <si>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</si>
  <si>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</si>
  <si>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</si>
  <si>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</si>
  <si>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</si>
  <si>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</si>
  <si>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</si>
  <si>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</si>
  <si>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</si>
  <si>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</si>
  <si>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</si>
  <si>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</si>
  <si>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</si>
  <si>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</si>
  <si>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</si>
  <si>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</si>
  <si>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</si>
  <si>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</si>
  <si>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</si>
  <si>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</si>
  <si>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</si>
  <si>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</si>
  <si>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</si>
  <si>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</si>
  <si>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</si>
  <si>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</si>
  <si>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</si>
  <si>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</si>
  <si>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</si>
  <si>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</si>
  <si>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</si>
  <si>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</si>
  <si>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</si>
  <si>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</si>
  <si>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</si>
  <si>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</si>
  <si>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</si>
  <si>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</si>
  <si>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</si>
  <si>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</si>
  <si>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</si>
  <si>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</si>
  <si>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</si>
  <si>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</si>
  <si>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</si>
  <si>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</si>
  <si>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</si>
  <si>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</si>
  <si>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</si>
  <si>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</si>
  <si>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</si>
  <si>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</si>
  <si>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</si>
  <si>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</si>
  <si>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</si>
  <si>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</si>
  <si>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</si>
  <si>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</si>
  <si>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</si>
  <si>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</si>
  <si>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</si>
  <si>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</si>
  <si>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</si>
  <si>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</si>
  <si>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</si>
  <si>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</si>
  <si>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</si>
  <si>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</si>
  <si>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</si>
  <si>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</si>
  <si>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</si>
  <si>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</si>
  <si>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</si>
  <si>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</si>
  <si>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</si>
  <si>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</si>
  <si>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</si>
  <si>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</si>
  <si>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</si>
  <si>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</si>
  <si>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</si>
  <si>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</si>
  <si>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</si>
  <si>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</si>
  <si>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</si>
  <si>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</si>
  <si>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</si>
  <si>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</si>
  <si>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</si>
  <si>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</si>
  <si>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</si>
  <si>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</si>
  <si>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</si>
  <si>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</si>
  <si>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</si>
  <si>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</si>
  <si>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</si>
  <si>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</si>
  <si>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</si>
  <si>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</si>
  <si>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</si>
  <si>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</si>
  <si>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</si>
  <si>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</si>
  <si>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</si>
  <si>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</si>
  <si>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</si>
  <si>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</si>
  <si>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</si>
  <si>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</si>
  <si>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</si>
  <si>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</si>
  <si>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</si>
  <si>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</si>
  <si>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</si>
  <si>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</si>
  <si>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</si>
  <si>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</si>
  <si>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</si>
  <si>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</si>
  <si>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</si>
  <si>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</si>
  <si>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</si>
  <si>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</si>
  <si>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</si>
  <si>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</si>
  <si>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</si>
  <si>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</si>
  <si>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</si>
  <si>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</si>
  <si>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</si>
  <si>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</si>
  <si>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</si>
  <si>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</si>
  <si>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</si>
  <si>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</si>
  <si>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</si>
  <si>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</si>
  <si>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</si>
  <si>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</si>
  <si>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</si>
  <si>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</si>
  <si>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</si>
  <si>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</si>
  <si>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</si>
  <si>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</si>
  <si>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</si>
  <si>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</si>
  <si>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</si>
  <si>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</si>
  <si>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</si>
  <si>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</si>
  <si>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</si>
  <si>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</si>
  <si>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</si>
  <si>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</si>
  <si>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</si>
  <si>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</si>
  <si>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</si>
  <si>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</si>
  <si>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</si>
  <si>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</si>
  <si>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</si>
  <si>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</si>
  <si>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</si>
  <si>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</si>
  <si>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</si>
  <si>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</si>
  <si>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</si>
  <si>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</si>
  <si>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</si>
  <si>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</si>
  <si>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</si>
  <si>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</si>
  <si>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</si>
  <si>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</si>
  <si>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</si>
  <si>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</si>
  <si>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</si>
  <si>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</si>
  <si>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</si>
  <si>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</si>
  <si>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</si>
  <si>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</si>
  <si>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</si>
  <si>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</si>
  <si>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</si>
  <si>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</si>
  <si>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</si>
  <si>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</si>
  <si>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</si>
  <si>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</si>
  <si>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</si>
  <si>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</si>
  <si>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</si>
  <si>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</si>
  <si>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</si>
  <si>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</si>
  <si>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</si>
  <si>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</si>
  <si>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</si>
  <si>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</si>
  <si>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</si>
  <si>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</si>
  <si>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</si>
  <si>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</si>
  <si>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</si>
  <si>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</si>
  <si>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</si>
  <si>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</si>
  <si>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</si>
  <si>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</si>
  <si>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</si>
  <si>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</si>
  <si>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</si>
  <si>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</si>
  <si>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</si>
  <si>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</si>
  <si>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</si>
  <si>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</si>
  <si>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</si>
  <si>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</si>
  <si>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</si>
  <si>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</si>
  <si>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</si>
  <si>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</si>
  <si>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</si>
  <si>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</si>
  <si>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</si>
  <si>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</si>
  <si>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</si>
  <si>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</si>
  <si>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</si>
  <si>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</si>
  <si>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</si>
  <si>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</si>
  <si>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</si>
  <si>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</si>
  <si>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</si>
  <si>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</si>
  <si>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</si>
  <si>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</si>
  <si>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</si>
  <si>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</si>
  <si>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</si>
  <si>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</si>
  <si>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</si>
  <si>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</si>
  <si>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</si>
  <si>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</si>
  <si>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</si>
  <si>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</si>
  <si>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</si>
  <si>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</si>
  <si>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</si>
  <si>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</si>
  <si>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</si>
  <si>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</si>
  <si>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</si>
  <si>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</si>
  <si>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</si>
  <si>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</si>
  <si>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</si>
  <si>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</si>
  <si>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</si>
  <si>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</si>
  <si>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</si>
  <si>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</si>
  <si>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</si>
  <si>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</si>
  <si>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</si>
  <si>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</si>
  <si>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</si>
  <si>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</si>
  <si>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</si>
  <si>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</si>
  <si>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</si>
  <si>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</si>
  <si>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</si>
  <si>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</si>
  <si>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</si>
  <si>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</si>
  <si>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</si>
  <si>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</si>
  <si>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</si>
  <si>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</si>
  <si>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</si>
  <si>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</si>
  <si>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</si>
  <si>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</si>
  <si>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</si>
  <si>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</si>
  <si>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</si>
  <si>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</si>
  <si>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</si>
  <si>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</si>
  <si>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</si>
  <si>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</si>
  <si>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</si>
  <si>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</si>
  <si>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</si>
  <si>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</si>
  <si>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</si>
  <si>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</si>
  <si>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</si>
  <si>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</si>
  <si>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</si>
  <si>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</si>
  <si>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</si>
  <si>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</si>
  <si>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</si>
  <si>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</si>
  <si>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</si>
  <si>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</si>
  <si>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</si>
  <si>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</si>
  <si>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</si>
  <si>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</si>
  <si>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</si>
  <si>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</si>
  <si>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</si>
  <si>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</si>
  <si>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</si>
  <si>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</si>
  <si>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</si>
  <si>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</si>
  <si>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</si>
  <si>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</si>
  <si>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</si>
  <si>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</si>
  <si>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</si>
  <si>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</si>
  <si>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</si>
  <si>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</si>
  <si>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</si>
  <si>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</si>
  <si>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</si>
  <si>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</si>
  <si>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</si>
  <si>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</si>
  <si>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</si>
  <si>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</si>
  <si>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</si>
  <si>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</si>
  <si>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</si>
  <si>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</si>
  <si>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</si>
  <si>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</si>
  <si>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</si>
  <si>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</si>
  <si>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</si>
  <si>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</si>
  <si>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</si>
  <si>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</si>
  <si>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</si>
  <si>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</si>
  <si>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</si>
  <si>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</si>
  <si>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</si>
  <si>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</si>
  <si>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</si>
  <si>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</si>
  <si>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</si>
  <si>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</si>
  <si>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</si>
  <si>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</si>
  <si>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</si>
  <si>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</si>
  <si>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</si>
  <si>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</si>
  <si>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</si>
  <si>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</si>
  <si>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</si>
  <si>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</si>
  <si>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</si>
  <si>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</si>
  <si>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</si>
  <si>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</si>
  <si>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</si>
  <si>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</si>
  <si>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</si>
  <si>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</si>
  <si>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</si>
  <si>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</si>
  <si>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</si>
  <si>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</si>
  <si>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</si>
  <si>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</si>
  <si>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</si>
  <si>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</si>
  <si>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</si>
  <si>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</si>
  <si>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</si>
  <si>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</si>
  <si>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</si>
  <si>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</si>
  <si>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</si>
  <si>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</si>
  <si>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</si>
  <si>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</si>
  <si>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</si>
  <si>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</si>
  <si>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</si>
  <si>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</si>
  <si>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</si>
  <si>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</si>
  <si>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</si>
  <si>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</si>
  <si>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</si>
  <si>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</si>
  <si>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</si>
  <si>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</si>
  <si>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</si>
  <si>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</si>
  <si>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</si>
  <si>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</si>
  <si>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</si>
  <si>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</si>
  <si>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</si>
  <si>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</si>
  <si>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</si>
  <si>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</si>
  <si>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</si>
  <si>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</si>
  <si>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</si>
  <si>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</si>
  <si>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</si>
  <si>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</si>
  <si>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</si>
  <si>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</si>
  <si>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</si>
  <si>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</si>
  <si>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</si>
  <si>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</si>
  <si>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</si>
  <si>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</si>
  <si>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</si>
  <si>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</si>
  <si>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</si>
  <si>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</si>
  <si>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</si>
  <si>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</si>
  <si>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</si>
  <si>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</si>
  <si>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</si>
  <si>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</si>
  <si>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</si>
  <si>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</si>
  <si>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</si>
  <si>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</si>
  <si>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</si>
  <si>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</si>
  <si>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</si>
  <si>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</si>
  <si>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</si>
  <si>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</si>
  <si>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</si>
  <si>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</si>
  <si>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</si>
  <si>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</si>
  <si>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</si>
  <si>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</si>
  <si>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</si>
  <si>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</si>
  <si>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</si>
  <si>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</si>
  <si>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</si>
  <si>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</si>
  <si>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</si>
  <si>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</si>
  <si>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</si>
  <si>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</si>
  <si>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</si>
  <si>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</si>
  <si>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</si>
  <si>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</si>
  <si>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</si>
  <si>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</si>
  <si>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</si>
  <si>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</si>
  <si>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</si>
  <si>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</si>
  <si>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</si>
  <si>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</si>
  <si>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</si>
  <si>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</si>
  <si>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</si>
  <si>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</si>
  <si>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</si>
  <si>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</si>
  <si>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</si>
  <si>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</si>
  <si>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</si>
  <si>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</si>
  <si>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</si>
  <si>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</si>
  <si>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</si>
  <si>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</si>
  <si>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</si>
  <si>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</si>
  <si>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</si>
  <si>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</si>
  <si>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</si>
  <si>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</si>
  <si>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</si>
  <si>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</si>
  <si>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</si>
  <si>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</si>
  <si>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</si>
  <si>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</si>
  <si>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</si>
  <si>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</si>
  <si>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</si>
  <si>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</si>
  <si>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</si>
  <si>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</si>
  <si>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</si>
  <si>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</si>
  <si>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</si>
  <si>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</si>
  <si>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</si>
  <si>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</si>
  <si>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</si>
  <si>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</si>
  <si>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</si>
  <si>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</si>
  <si>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</si>
  <si>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</si>
  <si>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</si>
  <si>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</si>
  <si>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</si>
  <si>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</si>
  <si>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</si>
  <si>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</si>
  <si>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</si>
  <si>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</si>
  <si>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</si>
  <si>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</si>
  <si>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</si>
  <si>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</si>
  <si>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</si>
  <si>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</si>
  <si>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</si>
  <si>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</si>
  <si>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</si>
  <si>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</si>
  <si>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</si>
  <si>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</si>
  <si>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</si>
  <si>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</si>
  <si>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</si>
  <si>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</si>
  <si>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</si>
  <si>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</si>
  <si>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</si>
  <si>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</si>
  <si>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</si>
  <si>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</si>
  <si>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</si>
  <si>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</si>
  <si>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</si>
  <si>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</si>
  <si>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</si>
  <si>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</si>
  <si>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</si>
  <si>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</si>
  <si>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</si>
  <si>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</si>
  <si>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</si>
  <si>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</si>
  <si>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</si>
  <si>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</si>
  <si>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</si>
  <si>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</si>
  <si>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</si>
  <si>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</si>
  <si>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</si>
  <si>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</si>
  <si>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</si>
  <si>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</si>
  <si>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</si>
  <si>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</si>
  <si>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</si>
  <si>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</si>
  <si>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</si>
  <si>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</si>
  <si>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</si>
  <si>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</si>
  <si>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</si>
  <si>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</si>
  <si>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</si>
  <si>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</si>
  <si>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</si>
  <si>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</si>
  <si>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</si>
  <si>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</si>
  <si>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</si>
  <si>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</si>
  <si>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</si>
  <si>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</si>
  <si>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</si>
  <si>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</si>
  <si>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</si>
  <si>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</si>
  <si>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</si>
  <si>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</si>
  <si>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</si>
  <si>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</si>
  <si>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</si>
  <si>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</si>
  <si>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</si>
  <si>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</si>
  <si>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</si>
  <si>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</si>
  <si>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</si>
  <si>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</si>
  <si>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</si>
  <si>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</si>
  <si>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</si>
  <si>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</si>
  <si>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</si>
  <si>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</si>
  <si>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</si>
  <si>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</si>
  <si>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</si>
  <si>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</si>
  <si>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</si>
  <si>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</si>
  <si>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</si>
  <si>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</si>
  <si>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</si>
  <si>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</si>
  <si>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</si>
  <si>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</si>
  <si>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</si>
  <si>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</si>
  <si>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</si>
  <si>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</si>
  <si>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</si>
  <si>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</si>
  <si>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</si>
  <si>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</si>
  <si>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</si>
  <si>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</si>
  <si>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</si>
  <si>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</si>
  <si>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</si>
  <si>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</si>
  <si>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</si>
  <si>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</si>
  <si>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</si>
  <si>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</si>
  <si>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</si>
  <si>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</si>
  <si>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</si>
  <si>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</si>
  <si>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</si>
  <si>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</si>
  <si>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</si>
  <si>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</si>
  <si>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</si>
  <si>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</si>
  <si>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</si>
  <si>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</si>
  <si>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</si>
  <si>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</si>
  <si>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</si>
  <si>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</si>
  <si>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</si>
  <si>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</si>
  <si>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</si>
  <si>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</si>
  <si>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</si>
  <si>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</si>
  <si>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</si>
  <si>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</si>
  <si>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</si>
  <si>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</si>
  <si>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</si>
  <si>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</si>
  <si>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</si>
  <si>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</si>
  <si>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</si>
  <si>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</si>
  <si>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</si>
  <si>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</si>
  <si>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</si>
  <si>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</si>
  <si>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</si>
  <si>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</si>
  <si>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</si>
  <si>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</si>
  <si>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</si>
  <si>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</si>
  <si>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</si>
  <si>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</si>
  <si>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</si>
  <si>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</si>
  <si>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</si>
  <si>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</si>
  <si>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</si>
  <si>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</si>
  <si>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</si>
  <si>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</si>
  <si>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</si>
  <si>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</si>
  <si>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</si>
  <si>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</si>
  <si>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</si>
  <si>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</si>
  <si>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</si>
  <si>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</si>
  <si>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</si>
  <si>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</si>
  <si>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</si>
  <si>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</si>
  <si>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</si>
  <si>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</si>
  <si>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</si>
  <si>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</si>
  <si>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</si>
  <si>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</si>
  <si>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</si>
  <si>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</si>
  <si>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</si>
  <si>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</si>
  <si>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</si>
  <si>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</si>
  <si>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</si>
  <si>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</si>
  <si>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</si>
  <si>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</si>
  <si>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</si>
  <si>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</si>
  <si>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</si>
  <si>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</si>
  <si>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</si>
  <si>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</si>
  <si>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</si>
  <si>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</si>
  <si>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</si>
  <si>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</si>
  <si>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</si>
  <si>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</si>
  <si>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</si>
  <si>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</si>
  <si>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</si>
  <si>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</si>
  <si>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</si>
  <si>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</si>
  <si>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</si>
  <si>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</si>
  <si>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</si>
  <si>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</si>
  <si>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</si>
  <si>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</si>
  <si>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</si>
  <si>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</si>
  <si>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</si>
  <si>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</si>
  <si>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</si>
  <si>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</si>
  <si>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</si>
  <si>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</si>
  <si>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</si>
  <si>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</si>
  <si>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</si>
  <si>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</si>
  <si>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</si>
  <si>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</si>
  <si>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</si>
  <si>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</si>
  <si>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</si>
  <si>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</si>
  <si>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</si>
  <si>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</si>
  <si>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</si>
  <si>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</si>
  <si>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</si>
  <si>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</si>
  <si>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</si>
  <si>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</si>
  <si>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</si>
  <si>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</si>
  <si>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</si>
  <si>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</si>
  <si>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</si>
  <si>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</si>
  <si>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</si>
  <si>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</si>
  <si>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</si>
  <si>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</si>
  <si>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</si>
  <si>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</si>
  <si>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</si>
  <si>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</si>
  <si>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</si>
  <si>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</si>
  <si>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</si>
  <si>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</si>
  <si>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</si>
  <si>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</si>
  <si>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</si>
  <si>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</si>
  <si>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</si>
  <si>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</si>
  <si>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</si>
  <si>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</si>
  <si>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</si>
  <si>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</si>
  <si>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</si>
  <si>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</si>
  <si>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</si>
  <si>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</si>
  <si>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</si>
  <si>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</si>
  <si>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</si>
  <si>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</si>
  <si>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</si>
  <si>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</si>
  <si>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</si>
  <si>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</si>
  <si>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</si>
  <si>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</si>
  <si>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</si>
  <si>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</si>
  <si>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</si>
  <si>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</si>
  <si>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</si>
  <si>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</si>
  <si>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</si>
  <si>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</si>
  <si>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</si>
  <si>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</si>
  <si>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</si>
  <si>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</si>
  <si>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</si>
  <si>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</si>
  <si>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</si>
  <si>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</si>
  <si>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</si>
  <si>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</si>
  <si>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</si>
  <si>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</si>
  <si>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</si>
  <si>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</si>
  <si>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</si>
  <si>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</si>
  <si>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</si>
  <si>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</si>
  <si>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</si>
  <si>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</si>
  <si>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</si>
  <si>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</si>
  <si>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</si>
  <si>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</si>
  <si>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</si>
  <si>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</si>
  <si>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</si>
  <si>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</si>
  <si>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</si>
  <si>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</si>
  <si>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</si>
  <si>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</si>
  <si>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</si>
  <si>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</si>
  <si>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</si>
  <si>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</si>
  <si>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</si>
  <si>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</si>
  <si>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</si>
  <si>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</si>
  <si>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</si>
  <si>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</si>
  <si>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</si>
  <si>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</si>
  <si>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</si>
  <si>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</si>
  <si>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</si>
  <si>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</si>
  <si>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</si>
  <si>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</si>
  <si>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</si>
  <si>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</si>
  <si>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</si>
  <si>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</si>
  <si>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</si>
  <si>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</si>
  <si>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</si>
  <si>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</si>
  <si>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</si>
  <si>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</si>
  <si>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</si>
  <si>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</si>
  <si>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</si>
  <si>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</si>
  <si>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</si>
  <si>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</si>
  <si>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</si>
  <si>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</si>
  <si>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</si>
  <si>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</si>
  <si>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</si>
  <si>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</si>
  <si>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</si>
  <si>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</si>
  <si>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</si>
  <si>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</si>
  <si>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</si>
  <si>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</si>
  <si>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</si>
  <si>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</si>
  <si>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</si>
  <si>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</si>
  <si>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</si>
  <si>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</si>
  <si>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</si>
  <si>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</si>
  <si>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</si>
  <si>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</si>
  <si>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</si>
  <si>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</si>
  <si>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</si>
  <si>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</si>
  <si>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</si>
  <si>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</si>
  <si>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</si>
  <si>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</si>
  <si>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</si>
  <si>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</si>
  <si>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</si>
  <si>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</si>
  <si>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</si>
  <si>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</si>
  <si>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</si>
  <si>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</si>
  <si>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</si>
  <si>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</si>
  <si>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</si>
  <si>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</si>
  <si>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</si>
  <si>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</si>
  <si>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</si>
  <si>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</si>
  <si>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</si>
  <si>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</si>
  <si>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</si>
  <si>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</si>
  <si>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</si>
  <si>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</si>
  <si>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</si>
  <si>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</si>
  <si>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</si>
  <si>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</si>
  <si>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</si>
  <si>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</si>
  <si>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</si>
  <si>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</si>
  <si>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</si>
  <si>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</si>
  <si>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</si>
  <si>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</si>
  <si>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</si>
  <si>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</si>
  <si>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</si>
  <si>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</si>
  <si>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</si>
  <si>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</si>
  <si>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</si>
  <si>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</si>
  <si>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</si>
  <si>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</si>
  <si>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</si>
  <si>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</si>
  <si>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</si>
  <si>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</si>
  <si>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</si>
  <si>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</si>
  <si>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</si>
  <si>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</si>
  <si>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</si>
  <si>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</si>
  <si>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</si>
  <si>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</si>
  <si>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</si>
  <si>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</si>
  <si>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</si>
  <si>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</si>
  <si>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</si>
  <si>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</si>
  <si>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</si>
  <si>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</si>
  <si>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</si>
  <si>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</si>
  <si>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</si>
  <si>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</si>
  <si>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</si>
  <si>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</si>
  <si>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</si>
  <si>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</si>
  <si>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</si>
  <si>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</si>
  <si>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</si>
  <si>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</si>
  <si>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</si>
  <si>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</si>
  <si>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</si>
  <si>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</si>
  <si>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</si>
  <si>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</si>
  <si>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</si>
  <si>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</si>
  <si>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</si>
  <si>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</si>
  <si>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</si>
  <si>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</si>
  <si>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</si>
  <si>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</si>
  <si>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</si>
  <si>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</si>
  <si>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</si>
  <si>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</si>
  <si>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</si>
  <si>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</si>
  <si>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</si>
  <si>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</si>
  <si>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</si>
  <si>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</si>
  <si>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</si>
  <si>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</si>
  <si>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</si>
  <si>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</si>
  <si>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</si>
  <si>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</si>
  <si>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</si>
  <si>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</si>
  <si>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</si>
  <si>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</si>
  <si>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</si>
  <si>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</si>
  <si>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</si>
  <si>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</si>
  <si>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</si>
  <si>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</si>
  <si>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</si>
  <si>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</si>
  <si>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</si>
  <si>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</si>
  <si>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</si>
  <si>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</si>
  <si>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</si>
  <si>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</si>
  <si>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</si>
  <si>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</si>
  <si>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</si>
  <si>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</si>
  <si>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</si>
  <si>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</si>
  <si>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</si>
  <si>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</si>
  <si>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</si>
  <si>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</si>
  <si>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</si>
  <si>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</si>
  <si>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</si>
  <si>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</si>
  <si>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</si>
  <si>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</si>
  <si>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</si>
  <si>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</si>
  <si>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</si>
  <si>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</si>
  <si>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</si>
  <si>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</si>
  <si>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</si>
  <si>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</si>
  <si>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</si>
  <si>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</si>
  <si>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</si>
  <si>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</si>
  <si>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</si>
  <si>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</si>
  <si>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</si>
  <si>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</si>
  <si>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</si>
  <si>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</si>
  <si>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</si>
  <si>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</si>
  <si>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</si>
  <si>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</si>
  <si>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</si>
  <si>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</si>
  <si>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</si>
  <si>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</si>
  <si>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</si>
  <si>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</si>
  <si>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</si>
  <si>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</si>
  <si>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</si>
  <si>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</si>
  <si>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</si>
  <si>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</si>
  <si>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</si>
  <si>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</si>
  <si>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</si>
  <si>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</si>
  <si>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</si>
  <si>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</si>
  <si>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</si>
  <si>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</si>
  <si>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</si>
  <si>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</si>
  <si>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</si>
  <si>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</si>
  <si>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</si>
  <si>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</si>
  <si>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</si>
  <si>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</si>
  <si>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</si>
  <si>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</si>
  <si>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</si>
  <si>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</si>
  <si>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</si>
  <si>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</si>
  <si>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</si>
  <si>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</si>
  <si>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</si>
  <si>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</si>
  <si>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</si>
  <si>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</si>
  <si>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</si>
  <si>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</si>
  <si>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</si>
  <si>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</si>
  <si>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</si>
  <si>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</si>
  <si>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</si>
  <si>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</si>
  <si>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</si>
  <si>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</si>
  <si>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</si>
  <si>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</si>
  <si>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</si>
  <si>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</si>
  <si>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</si>
  <si>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</si>
  <si>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</si>
  <si>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</si>
  <si>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</si>
  <si>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</si>
  <si>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</si>
  <si>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</si>
  <si>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</si>
  <si>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</si>
  <si>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</si>
  <si>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</si>
  <si>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</si>
  <si>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</si>
  <si>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</si>
  <si>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</si>
  <si>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</si>
  <si>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</si>
  <si>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</si>
  <si>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</si>
  <si>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</si>
  <si>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</si>
  <si>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</si>
  <si>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</si>
  <si>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</si>
  <si>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</si>
  <si>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</si>
  <si>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</si>
  <si>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</si>
  <si>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</si>
  <si>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</si>
  <si>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</si>
  <si>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</si>
  <si>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</si>
  <si>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</si>
  <si>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</si>
  <si>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</si>
  <si>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</si>
  <si>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</si>
  <si>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</si>
  <si>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</si>
  <si>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</si>
  <si>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</si>
  <si>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</si>
  <si>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</si>
  <si>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</si>
  <si>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</si>
  <si>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</si>
  <si>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</si>
  <si>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</si>
  <si>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</si>
  <si>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</si>
  <si>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</si>
  <si>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</si>
  <si>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</si>
  <si>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</si>
  <si>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</si>
  <si>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</si>
  <si>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</si>
  <si>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</si>
  <si>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</si>
  <si>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</si>
  <si>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</si>
  <si>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</si>
  <si>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</si>
  <si>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</si>
  <si>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</si>
  <si>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</si>
  <si>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</si>
  <si>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</si>
  <si>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</si>
  <si>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</si>
  <si>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</si>
  <si>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</si>
  <si>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</si>
  <si>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</si>
  <si>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</si>
  <si>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</si>
  <si>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</si>
  <si>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</si>
  <si>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</si>
  <si>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</si>
  <si>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</si>
  <si>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</si>
  <si>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</si>
  <si>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</si>
  <si>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</si>
  <si>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</si>
  <si>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</si>
  <si>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</si>
  <si>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</si>
  <si>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</si>
  <si>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</si>
  <si>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</si>
  <si>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</si>
  <si>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</si>
  <si>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</si>
  <si>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</si>
  <si>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</si>
  <si>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</si>
  <si>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</si>
  <si>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</si>
  <si>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</si>
  <si>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</si>
  <si>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</si>
  <si>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</si>
  <si>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</si>
  <si>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</si>
  <si>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</si>
  <si>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</si>
  <si>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</si>
  <si>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</si>
  <si>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</si>
  <si>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</si>
  <si>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</si>
  <si>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</si>
  <si>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</si>
  <si>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</si>
  <si>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</si>
  <si>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</si>
  <si>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</si>
  <si>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</si>
  <si>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</si>
  <si>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</si>
  <si>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</si>
  <si>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</si>
  <si>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</si>
  <si>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</si>
  <si>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</si>
  <si>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</si>
  <si>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</si>
  <si>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</si>
  <si>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</si>
  <si>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</si>
  <si>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</si>
  <si>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</si>
  <si>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</si>
  <si>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</si>
  <si>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</si>
  <si>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</si>
  <si>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</si>
  <si>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</si>
  <si>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</si>
  <si>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</si>
  <si>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</si>
  <si>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</si>
  <si>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</si>
  <si>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</si>
  <si>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</si>
  <si>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</si>
  <si>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</si>
  <si>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</si>
  <si>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</si>
  <si>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</si>
  <si>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</si>
  <si>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</si>
  <si>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</si>
  <si>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</si>
  <si>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</si>
  <si>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</si>
  <si>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</si>
  <si>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</si>
  <si>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</si>
  <si>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</si>
  <si>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</si>
  <si>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</si>
  <si>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</si>
  <si>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</si>
  <si>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</si>
  <si>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</si>
  <si>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</si>
  <si>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</si>
  <si>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</si>
  <si>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</si>
  <si>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</si>
  <si>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</si>
  <si>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</si>
  <si>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</si>
  <si>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</si>
  <si>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</si>
  <si>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</si>
  <si>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</si>
  <si>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</si>
  <si>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</si>
  <si>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</si>
  <si>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</si>
  <si>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</si>
  <si>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</si>
  <si>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</si>
  <si>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</si>
  <si>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</si>
  <si>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</si>
  <si>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</si>
  <si>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</si>
  <si>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</si>
  <si>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</si>
  <si>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</si>
  <si>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</si>
  <si>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</si>
  <si>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</si>
  <si>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</si>
  <si>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</si>
  <si>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</si>
  <si>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</si>
  <si>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</si>
  <si>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</si>
  <si>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</si>
  <si>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</si>
  <si>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</si>
  <si>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</si>
  <si>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</si>
  <si>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</si>
  <si>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</si>
  <si>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</si>
  <si>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</si>
  <si>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</si>
  <si>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</si>
  <si>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</si>
  <si>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</si>
  <si>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</si>
  <si>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</si>
  <si>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</si>
  <si>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</si>
  <si>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</si>
  <si>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</si>
  <si>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</si>
  <si>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</si>
  <si>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</si>
  <si>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</si>
  <si>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</si>
  <si>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</si>
  <si>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</si>
  <si>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</si>
  <si>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</si>
  <si>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</si>
  <si>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</si>
  <si>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</si>
  <si>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</si>
  <si>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</si>
  <si>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</si>
  <si>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</si>
  <si>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</si>
  <si>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</si>
  <si>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</si>
  <si>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</si>
  <si>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</si>
  <si>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</si>
  <si>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</si>
  <si>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</si>
  <si>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</si>
  <si>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</si>
  <si>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</si>
  <si>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</si>
  <si>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</si>
  <si>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</si>
  <si>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</si>
  <si>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</si>
  <si>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</si>
  <si>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</si>
  <si>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</si>
  <si>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</si>
  <si>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</si>
  <si>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</si>
  <si>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</si>
  <si>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</si>
  <si>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</si>
  <si>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</si>
  <si>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</si>
  <si>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</si>
  <si>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</si>
  <si>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</si>
  <si>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</si>
  <si>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</si>
  <si>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</si>
  <si>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</si>
  <si>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</si>
  <si>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</si>
  <si>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</si>
  <si>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</si>
  <si>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</si>
  <si>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</si>
  <si>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</si>
  <si>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</si>
  <si>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</si>
  <si>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</si>
  <si>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</si>
  <si>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</si>
  <si>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</si>
  <si>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</si>
  <si>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</si>
  <si>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</si>
  <si>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</si>
  <si>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</si>
  <si>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</si>
  <si>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</si>
  <si>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</si>
  <si>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</si>
  <si>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</si>
  <si>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</si>
  <si>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</si>
  <si>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</si>
  <si>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</si>
  <si>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</si>
  <si>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</si>
  <si>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</si>
  <si>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</si>
  <si>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</si>
  <si>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</si>
  <si>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</si>
  <si>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</si>
  <si>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</si>
  <si>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</si>
  <si>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</si>
  <si>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</si>
  <si>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</si>
  <si>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</si>
  <si>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</si>
  <si>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</si>
  <si>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</si>
  <si>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</si>
  <si>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</si>
  <si>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</si>
  <si>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</si>
  <si>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</si>
  <si>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</si>
  <si>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</si>
  <si>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</si>
  <si>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</si>
  <si>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</si>
  <si>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</si>
  <si>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</si>
  <si>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</si>
  <si>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</si>
  <si>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</si>
  <si>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</si>
  <si>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</si>
  <si>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</si>
  <si>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</si>
  <si>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</si>
  <si>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</si>
  <si>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</si>
  <si>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</si>
  <si>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</si>
  <si>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</si>
  <si>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</si>
  <si>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</si>
  <si>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</si>
  <si>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</si>
  <si>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</si>
  <si>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</si>
  <si>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</si>
  <si>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</si>
  <si>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</si>
  <si>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</si>
  <si>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</si>
  <si>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</si>
  <si>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</si>
  <si>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</si>
  <si>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</si>
  <si>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</si>
  <si>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</si>
  <si>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</si>
  <si>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</si>
  <si>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</si>
  <si>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</si>
  <si>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</si>
  <si>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</si>
  <si>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</si>
  <si>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</si>
  <si>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</si>
  <si>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</si>
  <si>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</si>
  <si>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</si>
  <si>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</si>
  <si>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</si>
  <si>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</si>
  <si>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</si>
  <si>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</si>
  <si>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</si>
  <si>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</si>
  <si>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</si>
  <si>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</si>
  <si>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</si>
  <si>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</si>
  <si>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</si>
  <si>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</si>
  <si>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</si>
  <si>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</si>
  <si>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</si>
  <si>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</si>
  <si>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</si>
  <si>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</si>
  <si>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</si>
  <si>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</si>
  <si>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</si>
  <si>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</si>
  <si>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</si>
  <si>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</si>
  <si>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</si>
  <si>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</si>
  <si>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</si>
  <si>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</si>
  <si>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</si>
  <si>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</si>
  <si>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</si>
  <si>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</si>
  <si>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</si>
  <si>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</si>
  <si>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</si>
  <si>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</si>
  <si>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</si>
  <si>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</si>
  <si>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</si>
  <si>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</si>
  <si>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</si>
  <si>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</si>
  <si>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</si>
  <si>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</si>
  <si>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</si>
  <si>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</si>
  <si>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</si>
  <si>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</si>
  <si>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</si>
  <si>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</si>
  <si>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</si>
  <si>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</si>
  <si>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</si>
  <si>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</si>
  <si>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</si>
  <si>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</si>
  <si>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</si>
  <si>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</si>
  <si>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</si>
  <si>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</si>
  <si>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</si>
  <si>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</si>
  <si>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</si>
  <si>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</si>
  <si>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</si>
  <si>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</si>
  <si>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</si>
  <si>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</si>
  <si>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</si>
  <si>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</si>
  <si>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</si>
  <si>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</si>
  <si>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</si>
  <si>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</si>
  <si>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</si>
  <si>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</si>
  <si>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</si>
  <si>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</si>
  <si>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</si>
  <si>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</si>
  <si>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</si>
  <si>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</si>
  <si>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</si>
  <si>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</si>
  <si>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</si>
  <si>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</si>
  <si>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</si>
  <si>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</si>
  <si>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</si>
  <si>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</si>
  <si>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</si>
  <si>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</si>
  <si>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</si>
  <si>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</si>
  <si>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</si>
  <si>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</si>
  <si>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</si>
  <si>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</si>
  <si>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</si>
  <si>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</si>
  <si>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</si>
  <si>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</si>
  <si>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</si>
  <si>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</si>
  <si>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</si>
  <si>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</si>
  <si>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</si>
  <si>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</si>
  <si>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</si>
  <si>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</si>
  <si>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</si>
  <si>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</si>
  <si>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</si>
  <si>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</si>
  <si>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</si>
  <si>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</si>
  <si>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</si>
  <si>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</si>
  <si>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</si>
  <si>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</si>
  <si>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</si>
  <si>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</si>
  <si>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</si>
  <si>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</si>
  <si>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</si>
  <si>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</si>
  <si>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</si>
  <si>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</si>
  <si>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</si>
  <si>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</si>
  <si>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</si>
  <si>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</si>
  <si>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</si>
  <si>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</si>
  <si>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</si>
  <si>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</si>
  <si>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</si>
  <si>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</si>
  <si>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</si>
  <si>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</si>
  <si>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</si>
  <si>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</si>
  <si>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</si>
  <si>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</si>
  <si>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</si>
  <si>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</si>
  <si>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</si>
  <si>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</si>
  <si>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</si>
  <si>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</si>
  <si>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</si>
  <si>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</si>
  <si>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</si>
  <si>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</si>
  <si>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</si>
  <si>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</si>
  <si>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</si>
  <si>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</si>
  <si>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</si>
  <si>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</si>
  <si>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</si>
  <si>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</si>
  <si>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</si>
  <si>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</si>
  <si>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</si>
  <si>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</si>
  <si>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</si>
  <si>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</si>
  <si>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</si>
  <si>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</si>
  <si>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</si>
  <si>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</si>
  <si>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</si>
  <si>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</si>
  <si>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</si>
  <si>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</si>
  <si>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</si>
  <si>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</si>
  <si>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</si>
  <si>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</si>
  <si>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</si>
  <si>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</si>
  <si>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</si>
  <si>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</si>
  <si>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</si>
  <si>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</si>
  <si>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</si>
  <si>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</si>
  <si>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</si>
  <si>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</si>
  <si>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</si>
  <si>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</si>
  <si>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</si>
  <si>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</si>
  <si>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</si>
  <si>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</si>
  <si>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</si>
  <si>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</si>
  <si>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</si>
  <si>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</si>
  <si>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</si>
  <si>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</si>
  <si>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</si>
  <si>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</si>
  <si>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</si>
  <si>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</si>
  <si>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</si>
  <si>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</si>
  <si>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</si>
  <si>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</si>
  <si>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</si>
  <si>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</si>
  <si>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</si>
  <si>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</si>
  <si>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</si>
  <si>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</si>
  <si>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</si>
  <si>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</si>
  <si>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</si>
  <si>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</si>
  <si>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</si>
  <si>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</si>
  <si>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</si>
  <si>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</si>
  <si>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</si>
  <si>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</si>
  <si>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</si>
  <si>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</si>
  <si>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</si>
  <si>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</si>
  <si>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</si>
  <si>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</si>
  <si>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</si>
  <si>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</si>
  <si>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</si>
  <si>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</si>
  <si>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</si>
  <si>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</si>
  <si>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</si>
  <si>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</si>
  <si>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</si>
  <si>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</si>
  <si>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</si>
  <si>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</si>
  <si>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</si>
  <si>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</si>
  <si>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</si>
  <si>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</si>
  <si>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</si>
  <si>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</si>
  <si>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</si>
  <si>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</si>
  <si>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</si>
  <si>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</si>
  <si>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</si>
  <si>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</si>
  <si>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</si>
  <si>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</si>
  <si>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</si>
  <si>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</si>
  <si>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</si>
  <si>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</si>
  <si>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</si>
  <si>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</si>
  <si>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</si>
  <si>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</si>
  <si>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</si>
  <si>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</si>
  <si>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</si>
  <si>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</si>
  <si>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</si>
  <si>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</si>
  <si>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</si>
  <si>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</si>
  <si>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</si>
  <si>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</si>
  <si>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</si>
  <si>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</si>
  <si>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</si>
  <si>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</si>
  <si>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</si>
  <si>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</si>
  <si>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</si>
  <si>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</si>
  <si>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</si>
  <si>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</si>
  <si>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</si>
  <si>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</si>
  <si>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</si>
  <si>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</si>
  <si>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</si>
  <si>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</si>
  <si>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</si>
  <si>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</si>
  <si>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</si>
  <si>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</si>
  <si>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</si>
  <si>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</si>
  <si>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</si>
  <si>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</si>
  <si>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</si>
  <si>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</si>
  <si>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</si>
  <si>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</si>
  <si>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</si>
  <si>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</si>
  <si>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</si>
  <si>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</si>
  <si>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</si>
  <si>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</si>
  <si>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</si>
  <si>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</si>
  <si>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</si>
  <si>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</si>
  <si>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</si>
  <si>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</si>
  <si>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</si>
  <si>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</si>
  <si>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</si>
  <si>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</si>
  <si>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</si>
  <si>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</si>
  <si>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</si>
  <si>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</si>
  <si>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</si>
  <si>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</si>
  <si>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</si>
  <si>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</si>
  <si>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</si>
  <si>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</si>
  <si>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</si>
  <si>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</si>
  <si>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</si>
  <si>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</si>
  <si>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</si>
  <si>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</si>
  <si>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</si>
  <si>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</si>
  <si>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</si>
  <si>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</si>
  <si>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</si>
  <si>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</si>
  <si>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</si>
  <si>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</si>
  <si>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</si>
  <si>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</si>
  <si>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</si>
  <si>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</si>
  <si>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</si>
  <si>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</si>
  <si>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</si>
  <si>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</si>
  <si>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</si>
  <si>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</si>
  <si>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</si>
  <si>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</si>
  <si>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</si>
  <si>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</si>
  <si>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</si>
  <si>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</si>
  <si>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</si>
  <si>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</si>
  <si>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</si>
  <si>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</si>
  <si>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</si>
  <si>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</si>
  <si>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</si>
  <si>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</si>
  <si>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</si>
  <si>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</si>
  <si>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</si>
  <si>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</si>
  <si>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</si>
  <si>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</si>
  <si>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</si>
  <si>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</si>
  <si>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</si>
  <si>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</si>
  <si>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</si>
  <si>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</si>
  <si>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</si>
  <si>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</si>
  <si>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</si>
  <si>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</si>
  <si>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</si>
  <si>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</si>
  <si>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</si>
  <si>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</si>
  <si>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</si>
  <si>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</si>
  <si>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</si>
  <si>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</si>
  <si>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</si>
  <si>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</si>
  <si>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</si>
  <si>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</si>
  <si>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</si>
  <si>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</si>
  <si>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</si>
  <si>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</si>
  <si>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</si>
  <si>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</si>
  <si>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</si>
  <si>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</si>
  <si>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</si>
  <si>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</si>
  <si>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</si>
  <si>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</si>
  <si>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</si>
  <si>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</si>
  <si>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</si>
  <si>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</si>
  <si>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</si>
  <si>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</si>
  <si>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</si>
  <si>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</si>
  <si>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</si>
  <si>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</si>
  <si>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</si>
  <si>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</si>
  <si>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</si>
  <si>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</si>
  <si>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</si>
  <si>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</si>
  <si>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</si>
  <si>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</si>
  <si>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</si>
  <si>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</si>
  <si>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</si>
  <si>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</si>
  <si>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</si>
  <si>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</si>
  <si>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</si>
  <si>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</si>
  <si>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</si>
  <si>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</si>
  <si>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</si>
  <si>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</si>
  <si>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</si>
  <si>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</si>
  <si>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</si>
  <si>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</si>
  <si>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</si>
  <si>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</si>
  <si>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</si>
  <si>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</si>
  <si>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</si>
  <si>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</si>
  <si>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</si>
  <si>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</si>
  <si>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</si>
  <si>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</si>
  <si>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</si>
  <si>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</si>
  <si>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</si>
  <si>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</si>
  <si>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</si>
  <si>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</si>
  <si>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</si>
  <si>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</si>
  <si>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</si>
  <si>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</si>
  <si>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</si>
  <si>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</si>
  <si>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</si>
  <si>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</si>
  <si>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</si>
  <si>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</si>
  <si>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</si>
  <si>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</si>
  <si>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</si>
  <si>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</si>
  <si>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</si>
  <si>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</si>
  <si>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</si>
  <si>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</si>
  <si>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</si>
  <si>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</si>
  <si>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</si>
  <si>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</si>
  <si>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</si>
  <si>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</si>
  <si>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</si>
  <si>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</si>
  <si>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</si>
  <si>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</si>
  <si>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</si>
  <si>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</si>
  <si>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</si>
  <si>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</si>
  <si>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</si>
  <si>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</si>
  <si>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</si>
  <si>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</si>
  <si>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</si>
  <si>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</si>
  <si>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</si>
  <si>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</si>
  <si>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</si>
  <si>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</si>
  <si>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</si>
  <si>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</si>
  <si>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</si>
  <si>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</si>
  <si>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</si>
  <si>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</si>
  <si>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</si>
  <si>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</si>
  <si>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</si>
  <si>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</si>
  <si>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</si>
  <si>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</si>
  <si>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</si>
  <si>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</si>
  <si>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</si>
  <si>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</si>
  <si>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</si>
  <si>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</si>
  <si>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</si>
  <si>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</si>
  <si>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</si>
  <si>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</si>
  <si>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</si>
  <si>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</si>
  <si>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</si>
  <si>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</si>
  <si>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</si>
  <si>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</si>
  <si>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</si>
  <si>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</si>
  <si>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</si>
  <si>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</si>
  <si>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</si>
  <si>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</si>
  <si>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</si>
  <si>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</si>
  <si>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</si>
  <si>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</si>
  <si>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</si>
  <si>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</si>
  <si>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</si>
  <si>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</si>
  <si>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</si>
  <si>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</si>
  <si>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</si>
  <si>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</si>
  <si>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</si>
  <si>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</si>
  <si>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</si>
  <si>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</si>
  <si>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</si>
  <si>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</si>
  <si>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</si>
  <si>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</si>
  <si>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</si>
  <si>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</si>
  <si>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</si>
  <si>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</si>
  <si>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</si>
  <si>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</si>
  <si>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</si>
  <si>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</si>
  <si>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</si>
  <si>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</si>
  <si>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</si>
  <si>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</si>
  <si>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</si>
  <si>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</si>
  <si>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</si>
  <si>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</si>
  <si>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</si>
  <si>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</si>
  <si>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</si>
  <si>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</si>
  <si>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</si>
  <si>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</si>
  <si>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</si>
  <si>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</si>
  <si>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</si>
  <si>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</si>
  <si>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</si>
  <si>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</si>
  <si>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</si>
  <si>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</si>
  <si>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</si>
  <si>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</si>
  <si>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</si>
  <si>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</si>
  <si>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</si>
  <si>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</si>
  <si>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</si>
  <si>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</si>
  <si>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</si>
  <si>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</si>
  <si>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</si>
  <si>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</si>
  <si>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</si>
  <si>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</si>
  <si>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</si>
  <si>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</si>
  <si>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</si>
  <si>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</si>
  <si>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</si>
  <si>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</si>
  <si>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</si>
  <si>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</si>
  <si>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</si>
  <si>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</si>
  <si>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</si>
  <si>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</si>
  <si>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</si>
  <si>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</si>
  <si>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</si>
  <si>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</si>
  <si>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</si>
  <si>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</si>
  <si>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</si>
  <si>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</si>
  <si>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</si>
  <si>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</si>
  <si>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</si>
  <si>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</si>
  <si>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</si>
  <si>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</si>
  <si>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</si>
  <si>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</si>
  <si>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</si>
  <si>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</si>
  <si>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</si>
  <si>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</si>
  <si>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</si>
  <si>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</si>
  <si>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</si>
  <si>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</si>
  <si>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</si>
  <si>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</si>
  <si>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</si>
  <si>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</si>
  <si>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</si>
  <si>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</si>
  <si>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</si>
  <si>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</si>
  <si>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</si>
  <si>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</si>
  <si>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</si>
  <si>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</si>
  <si>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</si>
  <si>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</si>
  <si>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</si>
  <si>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</si>
  <si>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</si>
  <si>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</si>
  <si>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</si>
  <si>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</si>
  <si>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</si>
  <si>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</si>
  <si>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</si>
  <si>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</si>
  <si>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</si>
  <si>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</si>
  <si>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</si>
  <si>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</si>
  <si>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</si>
  <si>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</si>
  <si>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</si>
  <si>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</si>
  <si>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</si>
  <si>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</si>
  <si>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</si>
  <si>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</si>
  <si>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</si>
  <si>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</si>
  <si>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</si>
  <si>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</si>
  <si>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</si>
  <si>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</si>
  <si>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</si>
  <si>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</si>
  <si>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</si>
  <si>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</si>
  <si>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</si>
  <si>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</si>
  <si>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</si>
  <si>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</si>
  <si>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</si>
  <si>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</si>
  <si>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</si>
  <si>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</si>
  <si>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</si>
  <si>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</si>
  <si>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</si>
  <si>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</si>
  <si>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</si>
  <si>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</si>
  <si>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</si>
  <si>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</si>
  <si>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</si>
  <si>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</si>
  <si>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</si>
  <si>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</si>
  <si>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</si>
  <si>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</si>
  <si>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</si>
  <si>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</si>
  <si>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</si>
  <si>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</si>
  <si>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</si>
  <si>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</si>
  <si>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</si>
  <si>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</si>
  <si>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</si>
  <si>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</si>
  <si>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</si>
  <si>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</si>
  <si>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</si>
  <si>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</si>
  <si>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</si>
  <si>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</si>
  <si>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</si>
  <si>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</si>
  <si>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</si>
  <si>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</si>
  <si>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</si>
  <si>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</si>
  <si>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</si>
  <si>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</si>
  <si>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</si>
  <si>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</si>
  <si>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</si>
  <si>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</si>
  <si>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</si>
  <si>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</si>
  <si>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</si>
  <si>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</si>
  <si>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</si>
  <si>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</si>
  <si>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</si>
  <si>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</si>
  <si>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</si>
  <si>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</si>
  <si>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</si>
  <si>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</si>
  <si>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</si>
  <si>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</si>
  <si>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</si>
  <si>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</si>
  <si>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</si>
  <si>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</si>
  <si>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</si>
  <si>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</si>
  <si>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</si>
  <si>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</si>
  <si>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</si>
  <si>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</si>
  <si>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</si>
  <si>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</si>
  <si>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</si>
  <si>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</si>
  <si>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</si>
  <si>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</si>
  <si>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</si>
  <si>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</si>
  <si>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</si>
  <si>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</si>
  <si>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</si>
  <si>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</si>
  <si>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</si>
  <si>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</si>
  <si>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</si>
  <si>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</si>
  <si>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</si>
  <si>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</si>
  <si>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</si>
  <si>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</si>
  <si>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</si>
  <si>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</si>
  <si>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</si>
  <si>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</si>
  <si>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</si>
  <si>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</si>
  <si>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</si>
  <si>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</si>
  <si>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</si>
  <si>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</si>
  <si>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</si>
  <si>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</si>
  <si>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</si>
  <si>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</si>
  <si>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</si>
  <si>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</si>
  <si>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</si>
  <si>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</si>
  <si>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</si>
  <si>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</si>
  <si>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</si>
  <si>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</si>
  <si>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</si>
  <si>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</si>
  <si>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</si>
  <si>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</si>
  <si>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</si>
  <si>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</si>
  <si>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</si>
  <si>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</si>
  <si>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</si>
  <si>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</si>
  <si>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</si>
  <si>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</si>
  <si>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</si>
  <si>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</si>
  <si>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</si>
  <si>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</si>
  <si>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</si>
  <si>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</si>
  <si>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</si>
  <si>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</si>
  <si>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</si>
  <si>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</si>
  <si>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</si>
  <si>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</si>
  <si>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</si>
  <si>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</si>
  <si>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</si>
  <si>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</si>
  <si>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</si>
  <si>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</si>
  <si>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</si>
  <si>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</si>
  <si>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</si>
  <si>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</si>
  <si>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</si>
  <si>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</si>
  <si>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</si>
  <si>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</si>
  <si>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</si>
  <si>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</si>
  <si>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</si>
  <si>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</si>
  <si>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</si>
  <si>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</si>
  <si>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</si>
  <si>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</si>
  <si>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</si>
  <si>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</si>
  <si>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</si>
  <si>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</si>
  <si>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</si>
  <si>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</si>
  <si>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</si>
  <si>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</si>
  <si>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</si>
  <si>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</si>
  <si>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</si>
  <si>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</si>
  <si>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</si>
  <si>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</si>
  <si>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</si>
  <si>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</si>
  <si>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</si>
  <si>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</si>
  <si>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</si>
  <si>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</si>
  <si>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</si>
  <si>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</si>
  <si>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</si>
  <si>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</si>
  <si>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</si>
  <si>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</si>
  <si>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</si>
  <si>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</si>
  <si>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</si>
  <si>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</si>
  <si>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</si>
  <si>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</si>
  <si>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</si>
  <si>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</si>
  <si>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</si>
  <si>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</si>
  <si>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</si>
  <si>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</si>
  <si>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</si>
  <si>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</si>
  <si>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</si>
  <si>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</si>
  <si>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</si>
  <si>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</si>
  <si>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</si>
  <si>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</si>
  <si>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</si>
  <si>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</si>
  <si>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</si>
  <si>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</si>
  <si>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</si>
  <si>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</si>
  <si>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</si>
  <si>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</si>
  <si>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</si>
  <si>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</si>
  <si>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</si>
  <si>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</si>
  <si>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</si>
  <si>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</si>
  <si>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</si>
  <si>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</si>
  <si>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</si>
  <si>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</si>
  <si>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</si>
  <si>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</si>
  <si>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</si>
  <si>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</si>
  <si>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</si>
  <si>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</si>
  <si>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</si>
  <si>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</si>
  <si>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</si>
  <si>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</si>
  <si>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</si>
  <si>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</si>
  <si>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</si>
  <si>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</si>
  <si>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</si>
  <si>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</si>
  <si>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</si>
  <si>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</si>
  <si>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</si>
  <si>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</si>
  <si>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</si>
  <si>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</si>
  <si>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</si>
  <si>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</si>
  <si>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</si>
  <si>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</si>
  <si>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</si>
  <si>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</si>
  <si>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</si>
  <si>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</si>
  <si>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</si>
  <si>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</si>
  <si>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</si>
  <si>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</si>
  <si>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</si>
  <si>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</si>
  <si>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</si>
  <si>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</si>
  <si>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</si>
  <si>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</si>
  <si>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</si>
  <si>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</si>
  <si>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</si>
  <si>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</si>
  <si>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</si>
  <si>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</si>
  <si>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</si>
  <si>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</si>
  <si>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</si>
  <si>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</si>
  <si>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</si>
  <si>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</si>
  <si>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</si>
  <si>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</si>
  <si>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</si>
  <si>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</si>
  <si>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</si>
  <si>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</si>
  <si>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</si>
  <si>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</si>
  <si>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</si>
  <si>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</si>
  <si>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</si>
  <si>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</si>
  <si>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</si>
  <si>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</si>
  <si>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</si>
  <si>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</si>
  <si>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</si>
  <si>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</si>
  <si>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</si>
  <si>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</si>
  <si>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</si>
  <si>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</si>
  <si>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</si>
  <si>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</si>
  <si>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</si>
  <si>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</si>
  <si>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</si>
  <si>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</si>
  <si>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</si>
  <si>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</si>
  <si>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</si>
  <si>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</si>
  <si>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</si>
  <si>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</si>
  <si>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</si>
  <si>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</si>
  <si>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</si>
  <si>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</si>
  <si>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</si>
  <si>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</si>
  <si>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</si>
  <si>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</si>
  <si>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</si>
  <si>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</si>
  <si>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</si>
  <si>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</si>
  <si>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</si>
  <si>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</si>
  <si>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</si>
  <si>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</si>
  <si>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</si>
  <si>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</si>
  <si>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</si>
  <si>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</si>
  <si>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</si>
  <si>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</si>
  <si>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</si>
  <si>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</si>
  <si>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</si>
  <si>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</si>
  <si>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</si>
  <si>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</si>
  <si>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</si>
  <si>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</si>
  <si>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</si>
  <si>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</si>
  <si>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</si>
  <si>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</si>
  <si>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</si>
  <si>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</si>
  <si>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</si>
  <si>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</si>
  <si>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</si>
  <si>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</si>
  <si>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</si>
  <si>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</si>
  <si>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</si>
  <si>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</si>
  <si>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</si>
  <si>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</si>
  <si>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</si>
  <si>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</si>
  <si>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</si>
  <si>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</si>
  <si>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</si>
  <si>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</si>
  <si>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</si>
  <si>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</si>
  <si>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</si>
  <si>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</si>
  <si>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</si>
  <si>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</si>
  <si>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</si>
  <si>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</si>
  <si>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</si>
  <si>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</si>
  <si>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</si>
  <si>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</si>
  <si>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</si>
  <si>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</si>
  <si>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</si>
  <si>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</si>
  <si>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</si>
  <si>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</si>
  <si>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</si>
  <si>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</si>
  <si>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</si>
  <si>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</si>
  <si>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</si>
  <si>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</si>
  <si>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</si>
  <si>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</si>
  <si>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</si>
  <si>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</si>
  <si>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</si>
  <si>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</si>
  <si>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</si>
  <si>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</si>
  <si>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</si>
  <si>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</si>
  <si>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</si>
  <si>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</si>
  <si>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</si>
  <si>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</si>
  <si>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</si>
  <si>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</si>
  <si>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</si>
  <si>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</si>
  <si>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yep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</si>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</sst>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03.439022453706" createdVersion="7" refreshedVersion="8" minRefreshableVersion="3" recordCount="1759" xr:uid="{11839AE3-6158-4318-87AD-2C711D0BF451}">
  <cacheSource type="worksheet">
    <worksheetSource name="Proc"/>
  </cacheSource>
  <cacheFields count="19">
    <cacheField name="App" numFmtId="0">
      <sharedItems containsBlank="1" count="141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4T06:47:49"/>
    </cacheField>
    <cacheField name="DateMapped" numFmtId="14">
      <sharedItems containsNonDate="0" containsDate="1" containsString="0" containsBlank="1" minDate="2023-09-01T00:00:00" maxDate="2025-05-20T00:00:00"/>
    </cacheField>
    <cacheField name="DateClosed" numFmtId="14">
      <sharedItems containsNonDate="0" containsDate="1" containsString="0" containsBlank="1" minDate="2023-09-06T00:00:00" maxDate="2025-05-2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9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1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6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2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9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9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9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9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9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9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9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9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9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9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9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9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9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9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9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9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9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9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9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9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9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9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9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9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9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9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9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9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9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9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9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9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9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9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9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9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9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9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9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9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9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8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8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8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8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0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0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4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4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4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9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9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9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9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9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9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9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5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5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5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0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9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9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5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5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4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4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9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9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9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9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9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9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9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9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9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9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9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9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9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9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9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9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9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9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9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9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6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6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6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6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5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0"/>
    <n v="5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4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0"/>
    <n v="4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0"/>
    <n v="4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0"/>
    <n v="4"/>
    <s v="Marcus Avemarie"/>
    <m/>
  </r>
  <r>
    <x v="220"/>
    <x v="1"/>
    <x v="2"/>
    <s v="CTEMPEU_1000PL80GHR223"/>
    <s v="G000001173"/>
    <m/>
    <s v="Non-LFF"/>
    <s v=""/>
    <m/>
    <b v="0"/>
    <x v="0"/>
    <x v="2"/>
    <d v="2025-05-09T03:40:20"/>
    <m/>
    <m/>
    <x v="1"/>
    <n v="11"/>
    <s v="Jojeff Tagnong"/>
    <m/>
  </r>
  <r>
    <x v="220"/>
    <x v="1"/>
    <x v="2"/>
    <s v="CTEMPNA_1000PH80GFO122"/>
    <s v="G000001173"/>
    <m/>
    <s v="Non-LFF"/>
    <s v=""/>
    <m/>
    <b v="0"/>
    <x v="0"/>
    <x v="2"/>
    <d v="2025-05-09T03:40:20"/>
    <m/>
    <m/>
    <x v="1"/>
    <n v="11"/>
    <s v="Jojeff Tagnong"/>
    <m/>
  </r>
  <r>
    <x v="220"/>
    <x v="1"/>
    <x v="5"/>
    <s v="CLFF_1000$$$DE10GMW030"/>
    <s v="G000001173"/>
    <m/>
    <s v="LFF (MDG-F)"/>
    <s v="DE10GMW030"/>
    <s v="Changes were saved for change request 25366984"/>
    <b v="0"/>
    <x v="0"/>
    <x v="2"/>
    <d v="2025-05-09T03:40:20"/>
    <m/>
    <m/>
    <x v="1"/>
    <n v="11"/>
    <s v="Jojeff Tagnong"/>
    <m/>
  </r>
  <r>
    <x v="220"/>
    <x v="1"/>
    <x v="2"/>
    <s v="CORAERP_MMOR1975.9007"/>
    <s v="G000001173"/>
    <m/>
    <s v="Non-LFF"/>
    <s v=""/>
    <m/>
    <b v="0"/>
    <x v="0"/>
    <x v="2"/>
    <d v="2025-05-09T03:40:20"/>
    <m/>
    <m/>
    <x v="1"/>
    <n v="11"/>
    <s v="Jojeff Tagnong"/>
    <m/>
  </r>
  <r>
    <x v="220"/>
    <x v="1"/>
    <x v="2"/>
    <s v="CTEMPNA_1000US20GM1000"/>
    <s v="G000001173"/>
    <m/>
    <s v="Non-LFF"/>
    <s v=""/>
    <m/>
    <b v="0"/>
    <x v="0"/>
    <x v="2"/>
    <d v="2025-05-09T03:40:20"/>
    <m/>
    <m/>
    <x v="1"/>
    <n v="11"/>
    <s v="Jojeff Tagnong"/>
    <m/>
  </r>
  <r>
    <x v="220"/>
    <x v="1"/>
    <x v="5"/>
    <s v="CLFF_1000$$$CN90GHR110"/>
    <s v="G000001173"/>
    <m/>
    <s v="LFF (MDG-F)"/>
    <s v="CN90GHR110"/>
    <s v="Changes were saved for change request 25366984"/>
    <b v="0"/>
    <x v="0"/>
    <x v="2"/>
    <d v="2025-05-09T03:40:20"/>
    <m/>
    <m/>
    <x v="1"/>
    <n v="11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0"/>
    <n v="4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0"/>
    <n v="4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0"/>
    <n v="4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0"/>
    <n v="4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0"/>
    <n v="4"/>
    <s v="Marcus Avemarie"/>
    <m/>
  </r>
  <r>
    <x v="223"/>
    <x v="1"/>
    <x v="5"/>
    <s v="CNOW_7210$$$0000056336 "/>
    <s v="G000001194"/>
    <s v="DFLTPGCOH_BF-C8_002060"/>
    <s v="Non-LFF"/>
    <s v=""/>
    <m/>
    <b v="0"/>
    <x v="0"/>
    <x v="2"/>
    <d v="2025-05-21T12:36:51"/>
    <m/>
    <m/>
    <x v="0"/>
    <n v="3"/>
    <s v="Jojeff Tagnong"/>
    <m/>
  </r>
  <r>
    <x v="223"/>
    <x v="1"/>
    <x v="5"/>
    <s v="CTEMPNA_1000PH80GFO047"/>
    <s v="G000001161"/>
    <s v="G000001186"/>
    <s v="Non-LFF"/>
    <s v=""/>
    <m/>
    <b v="0"/>
    <x v="0"/>
    <x v="2"/>
    <d v="2025-05-21T12:36:51"/>
    <m/>
    <m/>
    <x v="0"/>
    <n v="3"/>
    <s v="Jojeff Tagnong"/>
    <m/>
  </r>
  <r>
    <x v="224"/>
    <x v="1"/>
    <x v="5"/>
    <s v="CFLTFLE_23960000000450"/>
    <s v="L000007703"/>
    <m/>
    <s v="Non-LFF"/>
    <s v=""/>
    <m/>
    <b v="0"/>
    <x v="2"/>
    <x v="2"/>
    <d v="2025-05-21T14:15:15"/>
    <m/>
    <m/>
    <x v="0"/>
    <n v="3"/>
    <s v="Joan Rose Pena"/>
    <m/>
  </r>
  <r>
    <x v="225"/>
    <x v="1"/>
    <x v="5"/>
    <s v="EMERAL_70006202991013"/>
    <s v="H000000940"/>
    <m/>
    <s v="Non-LFF"/>
    <s v=""/>
    <m/>
    <b v="0"/>
    <x v="1"/>
    <x v="2"/>
    <d v="2025-05-23T10:01:07"/>
    <m/>
    <m/>
    <x v="0"/>
    <n v="1"/>
    <s v="Henry Ifurung Jr."/>
    <m/>
  </r>
  <r>
    <x v="226"/>
    <x v="1"/>
    <x v="5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m/>
    <m/>
    <x v="0"/>
    <n v="1"/>
    <s v="Nadine Anic"/>
    <m/>
  </r>
  <r>
    <x v="226"/>
    <x v="1"/>
    <x v="5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m/>
    <m/>
    <x v="0"/>
    <n v="1"/>
    <s v="Nadine Anic"/>
    <m/>
  </r>
  <r>
    <x v="227"/>
    <x v="1"/>
    <x v="5"/>
    <s v="CEMERAL_70006202991013 Learning &amp; Development Administrator"/>
    <s v="H000000945"/>
    <s v="DFLTPGCOH_DIV-31_001730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ITEMPEU_009000002323 PL10IC1261IS3110350000"/>
    <s v="H000000940"/>
    <s v="DFLTPGCOH_BF-C2_001023_IO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CEMERAL_70007001433297 MESI REG BP Regional Business Excellence"/>
    <s v="H000000940"/>
    <s v="H000000434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67 SIT COM PROM OTH GBEI Content Management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68 SIT COM PROM OTH GBEI Content Management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69 SIT COM PROM OTH GCE-Omnichannel Insight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70 SIT COM PROM OTH GCE-Global Conventions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71 SIT COM PROM OTH GCE-FFE Excellence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72 SIT COM PROM OTH GCE-Omnichannel Excelle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8"/>
    <x v="1"/>
    <x v="5"/>
    <s v="PLEAN_X310131AT5013200 Tepmetko Sponsorings &amp; events"/>
    <s v="H000003622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31AT5015200 Tepmetko Promo &amp; advertising"/>
    <s v="H000003622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AT5011200 Cardio Advertising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AT5013200 Cardio Congresses &amp; events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AT5015200 Cardio Other promotion and advertising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AT5023200 Mavenclad Other medical activities (non-"/>
    <s v="H000003625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AT5013200 Erbitux Sponsorings &amp; events"/>
    <s v="H000003622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AT5015200 Erbitux Promo &amp; advertising"/>
    <s v="H000003622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AT5023200 Erbitux Medical activities"/>
    <s v="H000003631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AT5023201 Erbitux Medical congresses"/>
    <s v="H000003631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202AT5023200 Fertility Other medical activities (non-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2AT5020200 Cardio Medical education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2AT5022200 Cardio Medical consultants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2AT5023200 Cardio Other medical activities (non-R&amp;D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AT5013200 Thyroids Congresses &amp; events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AT5015200 Thyroids Other promotion and advertising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AT5020200 Thyroids Medical education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AT5022200 Thyroids Medical consultants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AT5023200 Thyroids Other medical activities (non-R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0201 Cardio Commercial CZ50 Promo Material G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1201 Cardio Commercial CZ50 Advertising Gener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3201 Cardi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3202 Cardi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3205 Cardi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5201 Cardio Commercial CZ50 Other Promo and 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5205 Cardio Commercial CZ50 Other Promo and 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30201 Cardio Commercial CZ50 Other M&amp;S Registr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CZ5020202 Mavenclad Medical Non R&amp;D CZ50 Medical 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CZ5020203 Mavenclad Medical Non R&amp;D CZ50 Medical 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CZ5021201 Mavenclad Medical Non R&amp;D CZ50 Medical 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CZ5022201 Mavenclad Medical Non R&amp;D CZ50 Medical C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0201 Erbitux Commercial CZ50 Promo Material G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3202 Erbitux Commercial CZ50 Congress &amp; Even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3203 Erbitux Commercial CZ50 Congress &amp; Even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3204 Erbitux Commercial CZ50 Congress &amp; Even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3205 Erbitux Commercial CZ50 Congress &amp; Even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5201 Erbitux Commercial CZ50 Other Promo an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5205 Erbitux Commercial CZ50 Other Promo an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30201 Erbitux Commercial CZ50 Other M&amp;S Regis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CZ5020201 Erbitux Medical Non R&amp;D CZ50 Medical Edu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CZ5020202 Erbitux Medical Non R&amp;D CZ50 Medical Edu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CZ5020203 Erbitux Medical Non R&amp;D CZ50 Medical Edu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CZ5020206 Erbitux Medical Non R&amp;D CZ50 Medical Edu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202CZ5020202 Fertility Medical Non R&amp;D CZ50 Medical 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202CZ5020206 Fertility Medical Non R&amp;D CZ50 Medical 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2CZ5020205 Cardio Medical Non R&amp;D CZ50 Medical Educ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1201 Thyro Commercial CZ50 Advertising Gener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3201 Thyr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3202 Thyr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3205 Thyr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5201 Thyro Commercial CZ50 Other Promo and A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5205 Thyro Commercial CZ50 Other Promo and A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30201 Thyro Commercial CZ50 Other M&amp;S Registr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CZ5020201 Thyro Medical Non R&amp;D CZ50 Medical Educ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CZ5020205 Thyro Medical Non R&amp;D CZ50 Medical Educ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9"/>
    <x v="1"/>
    <x v="5"/>
    <s v="CTEMPLA_1000UY10100011 "/>
    <s v="G000001175"/>
    <s v="G000001135"/>
    <s v="Non-LFF"/>
    <s v=""/>
    <m/>
    <b v="0"/>
    <x v="0"/>
    <x v="2"/>
    <d v="2025-05-23T12:03:05"/>
    <m/>
    <m/>
    <x v="0"/>
    <n v="1"/>
    <s v="Jojeff Tagnong"/>
    <m/>
  </r>
  <r>
    <x v="230"/>
    <x v="1"/>
    <x v="5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64010010990901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992001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T2A040"/>
    <s v="L000011361"/>
    <s v="L000011360 LS-QDC Customer Master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12ADA403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203100501"/>
    <s v="L000011394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3029905RA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502991734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7001580588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7102171811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1044LSTC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10548-151-RMTC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1798C15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0"/>
    <s v="Ruby Grace Garcia"/>
    <m/>
  </r>
  <r>
    <x v="230"/>
    <x v="1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m/>
    <m/>
    <x v="0"/>
    <n v="0"/>
    <s v="Ruby Grace Garcia"/>
    <m/>
  </r>
  <r>
    <x v="230"/>
    <x v="1"/>
    <x v="6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5"/>
    <s v="CNOW_7210$$$0000010152"/>
    <s v="L000011362"/>
    <s v="L000011360 LS-QDC Customer Master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40459"/>
    <s v="L000011363"/>
    <s v="L000011364 LS-QDQ QM &amp; M2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57491"/>
    <s v="L000011393"/>
    <s v="L000011391 LS-QR Reg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58232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AUS0$$$0000091710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ROW$$$$0000005301"/>
    <s v="L000013862"/>
    <s v="L000011391 LS-QR Reg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SCALA_1042$LSRG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FR60101010"/>
    <s v="L000013861"/>
    <s v="L000011391 LS-QR Reg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0"/>
    <s v="Ruby Grace Garcia"/>
    <m/>
  </r>
  <r>
    <x v="231"/>
    <x v="1"/>
    <x v="6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m/>
    <m/>
    <x v="0"/>
    <n v="0"/>
    <s v="Ruby Grace Garcia"/>
    <m/>
  </r>
  <r>
    <x v="231"/>
    <x v="1"/>
    <x v="6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m/>
    <m/>
    <x v="0"/>
    <n v="0"/>
    <s v="Ruby Grace Garcia"/>
    <m/>
  </r>
  <r>
    <x v="231"/>
    <x v="1"/>
    <x v="6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m/>
    <m/>
    <x v="0"/>
    <n v="0"/>
    <s v="Ruby Grace Garcia"/>
    <m/>
  </r>
  <r>
    <x v="231"/>
    <x v="1"/>
    <x v="5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0"/>
    <s v="Ruby Grace Garcia"/>
    <m/>
  </r>
  <r>
    <x v="231"/>
    <x v="1"/>
    <x v="5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0"/>
    <s v="Ruby Grace Garcia"/>
    <m/>
  </r>
  <r>
    <x v="231"/>
    <x v="1"/>
    <x v="5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0"/>
    <s v="Ruby Grace Garcia"/>
    <m/>
  </r>
  <r>
    <x v="231"/>
    <x v="1"/>
    <x v="5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31" firstHeaderRow="1" firstDataRow="1" firstDataCol="1" rowPageCount="1" colPageCount="1"/>
  <pivotFields count="19">
    <pivotField axis="axisRow" showAll="0" sortType="ascending">
      <items count="1414">
        <item m="1" x="798"/>
        <item x="0"/>
        <item m="1" x="868"/>
        <item m="1" x="1289"/>
        <item m="1" x="451"/>
        <item m="1" x="1306"/>
        <item m="1" x="828"/>
        <item m="1" x="918"/>
        <item m="1" x="1339"/>
        <item m="1" x="1133"/>
        <item m="1" x="821"/>
        <item m="1" x="1405"/>
        <item m="1" x="1151"/>
        <item m="1" x="1395"/>
        <item m="1" x="769"/>
        <item m="1" x="670"/>
        <item m="1" x="374"/>
        <item m="1" x="635"/>
        <item m="1" x="1359"/>
        <item m="1" x="427"/>
        <item m="1" x="735"/>
        <item m="1" x="1103"/>
        <item m="1" x="818"/>
        <item m="1" x="911"/>
        <item m="1" x="1207"/>
        <item m="1" x="1392"/>
        <item m="1" x="853"/>
        <item m="1" x="875"/>
        <item m="1" x="640"/>
        <item m="1" x="1041"/>
        <item m="1" x="800"/>
        <item m="1" x="1346"/>
        <item m="1" x="1003"/>
        <item m="1" x="436"/>
        <item m="1" x="544"/>
        <item m="1" x="1331"/>
        <item m="1" x="1095"/>
        <item m="1" x="349"/>
        <item m="1" x="1181"/>
        <item m="1" x="847"/>
        <item m="1" x="1142"/>
        <item m="1" x="728"/>
        <item m="1" x="1080"/>
        <item m="1" x="339"/>
        <item m="1" x="369"/>
        <item m="1" x="1408"/>
        <item m="1" x="1087"/>
        <item m="1" x="1155"/>
        <item m="1" x="1262"/>
        <item m="1" x="1031"/>
        <item m="1" x="1129"/>
        <item m="1" x="968"/>
        <item m="1" x="423"/>
        <item m="1" x="614"/>
        <item m="1" x="1390"/>
        <item m="1" x="958"/>
        <item m="1" x="1098"/>
        <item m="1" x="626"/>
        <item m="1" x="587"/>
        <item m="1" x="879"/>
        <item m="1" x="771"/>
        <item m="1" x="804"/>
        <item m="1" x="363"/>
        <item m="1" x="502"/>
        <item m="1" x="1164"/>
        <item m="1" x="1381"/>
        <item m="1" x="567"/>
        <item m="1" x="972"/>
        <item m="1" x="982"/>
        <item m="1" x="1159"/>
        <item m="1" x="1269"/>
        <item m="1" x="1147"/>
        <item m="1" x="442"/>
        <item m="1" x="1290"/>
        <item m="1" x="1020"/>
        <item m="1" x="1007"/>
        <item m="1" x="542"/>
        <item m="1" x="895"/>
        <item m="1" x="1242"/>
        <item m="1" x="360"/>
        <item m="1" x="939"/>
        <item m="1" x="1292"/>
        <item m="1" x="1130"/>
        <item m="1" x="865"/>
        <item m="1" x="907"/>
        <item m="1" x="788"/>
        <item m="1" x="1023"/>
        <item m="1" x="835"/>
        <item m="1" x="1067"/>
        <item m="1" x="551"/>
        <item m="1" x="1380"/>
        <item m="1" x="905"/>
        <item m="1" x="1191"/>
        <item m="1" x="268"/>
        <item m="1" x="1396"/>
        <item m="1" x="932"/>
        <item m="1" x="1221"/>
        <item m="1" x="1134"/>
        <item m="1" x="912"/>
        <item m="1" x="422"/>
        <item m="1" x="429"/>
        <item m="1" x="469"/>
        <item m="1" x="651"/>
        <item m="1" x="1075"/>
        <item m="1" x="836"/>
        <item m="1" x="952"/>
        <item m="1" x="1015"/>
        <item m="1" x="1162"/>
        <item m="1" x="1245"/>
        <item m="1" x="807"/>
        <item m="1" x="528"/>
        <item m="1" x="371"/>
        <item m="1" x="514"/>
        <item m="1" x="1389"/>
        <item m="1" x="546"/>
        <item m="1" x="1227"/>
        <item m="1" x="1156"/>
        <item m="1" x="774"/>
        <item m="1" x="846"/>
        <item m="1" x="712"/>
        <item m="1" x="969"/>
        <item m="1" x="1344"/>
        <item m="1" x="520"/>
        <item m="1" x="468"/>
        <item m="1" x="403"/>
        <item m="1" x="1069"/>
        <item m="1" x="1329"/>
        <item m="1" x="1257"/>
        <item m="1" x="914"/>
        <item m="1" x="438"/>
        <item m="1" x="1163"/>
        <item m="1" x="615"/>
        <item m="1" x="869"/>
        <item m="1" x="1044"/>
        <item m="1" x="1152"/>
        <item m="1" x="272"/>
        <item m="1" x="1101"/>
        <item m="1" x="1064"/>
        <item m="1" x="505"/>
        <item m="1" x="953"/>
        <item m="1" x="841"/>
        <item m="1" x="794"/>
        <item m="1" x="527"/>
        <item m="1" x="463"/>
        <item m="1" x="703"/>
        <item m="1" x="890"/>
        <item m="1" x="297"/>
        <item m="1" x="636"/>
        <item m="1" x="495"/>
        <item m="1" x="237"/>
        <item m="1" x="747"/>
        <item m="1" x="948"/>
        <item m="1" x="830"/>
        <item m="1" x="876"/>
        <item m="1" x="1195"/>
        <item m="1" x="777"/>
        <item m="1" x="1303"/>
        <item m="1" x="1027"/>
        <item m="1" x="966"/>
        <item m="1" x="480"/>
        <item m="1" x="1113"/>
        <item m="1" x="1391"/>
        <item m="1" x="1079"/>
        <item m="1" x="1063"/>
        <item m="1" x="350"/>
        <item m="1" x="398"/>
        <item m="1" x="933"/>
        <item m="1" x="439"/>
        <item m="1" x="1376"/>
        <item m="1" x="1042"/>
        <item m="1" x="967"/>
        <item m="1" x="919"/>
        <item m="1" x="720"/>
        <item m="1" x="348"/>
        <item m="1" x="448"/>
        <item m="1" x="554"/>
        <item m="1" x="1287"/>
        <item m="1" x="1319"/>
        <item m="1" x="1018"/>
        <item m="1" x="745"/>
        <item m="1" x="833"/>
        <item m="1" x="343"/>
        <item m="1" x="383"/>
        <item m="1" x="722"/>
        <item m="1" x="947"/>
        <item m="1" x="860"/>
        <item m="1" x="518"/>
        <item m="1" x="751"/>
        <item m="1" x="465"/>
        <item m="1" x="660"/>
        <item m="1" x="582"/>
        <item m="1" x="417"/>
        <item m="1" x="553"/>
        <item m="1" x="923"/>
        <item m="1" x="333"/>
        <item m="1" x="572"/>
        <item m="1" x="364"/>
        <item m="1" x="1057"/>
        <item m="1" x="1246"/>
        <item m="1" x="856"/>
        <item m="1" x="500"/>
        <item m="1" x="1150"/>
        <item m="1" x="995"/>
        <item m="1" x="512"/>
        <item m="1" x="513"/>
        <item m="1" x="698"/>
        <item m="1" x="388"/>
        <item m="1" x="577"/>
        <item m="1" x="372"/>
        <item m="1" x="558"/>
        <item m="1" x="1126"/>
        <item m="1" x="637"/>
        <item m="1" x="1004"/>
        <item m="1" x="1054"/>
        <item m="1" x="1188"/>
        <item m="1" x="1192"/>
        <item m="1" x="909"/>
        <item m="1" x="750"/>
        <item m="1" x="789"/>
        <item m="1" x="1356"/>
        <item m="1" x="649"/>
        <item m="1" x="461"/>
        <item m="1" x="839"/>
        <item m="1" x="296"/>
        <item m="1" x="1360"/>
        <item m="1" x="823"/>
        <item m="1" x="257"/>
        <item m="1" x="1278"/>
        <item m="1" x="1321"/>
        <item m="1" x="1158"/>
        <item m="1" x="535"/>
        <item m="1" x="274"/>
        <item m="1" x="1208"/>
        <item m="1" x="599"/>
        <item m="1" x="235"/>
        <item m="1" x="1379"/>
        <item m="1" x="623"/>
        <item m="1" x="778"/>
        <item m="1" x="1223"/>
        <item m="1" x="310"/>
        <item m="1" x="1135"/>
        <item m="1" x="943"/>
        <item m="1" x="808"/>
        <item m="1" x="678"/>
        <item m="1" x="425"/>
        <item m="1" x="926"/>
        <item m="1" x="628"/>
        <item m="1" x="1166"/>
        <item m="1" x="488"/>
        <item m="1" x="1236"/>
        <item m="1" x="1243"/>
        <item m="1" x="927"/>
        <item m="1" x="1117"/>
        <item m="1" x="534"/>
        <item m="1" x="831"/>
        <item m="1" x="1120"/>
        <item m="1" x="704"/>
        <item m="1" x="994"/>
        <item m="1" x="633"/>
        <item m="1" x="418"/>
        <item m="1" x="622"/>
        <item m="1" x="1388"/>
        <item m="1" x="1330"/>
        <item m="1" x="475"/>
        <item m="1" x="1276"/>
        <item m="1" x="282"/>
        <item m="1" x="1298"/>
        <item m="1" x="317"/>
        <item m="1" x="619"/>
        <item m="1" x="717"/>
        <item m="1" x="664"/>
        <item m="1" x="1271"/>
        <item m="1" x="1174"/>
        <item m="1" x="415"/>
        <item m="1" x="985"/>
        <item m="1" x="1193"/>
        <item m="1" x="1327"/>
        <item m="1" x="1234"/>
        <item m="1" x="320"/>
        <item m="1" x="1400"/>
        <item m="1" x="471"/>
        <item m="1" x="752"/>
        <item m="1" x="1196"/>
        <item m="1" x="319"/>
        <item m="1" x="1255"/>
        <item m="1" x="484"/>
        <item m="1" x="1128"/>
        <item m="1" x="992"/>
        <item m="1" x="970"/>
        <item m="1" x="549"/>
        <item m="1" x="511"/>
        <item m="1" x="1323"/>
        <item m="1" x="264"/>
        <item m="1" x="446"/>
        <item m="1" x="1105"/>
        <item m="1" x="1216"/>
        <item m="1" x="1143"/>
        <item m="1" x="1347"/>
        <item m="1" x="851"/>
        <item m="1" x="478"/>
        <item m="1" x="598"/>
        <item m="1" x="917"/>
        <item m="1" x="659"/>
        <item m="1" x="987"/>
        <item m="1" x="600"/>
        <item m="1" x="402"/>
        <item m="1" x="1055"/>
        <item m="1" x="457"/>
        <item m="1" x="337"/>
        <item m="1" x="1189"/>
        <item m="1" x="1336"/>
        <item m="1" x="1037"/>
        <item m="1" x="302"/>
        <item m="1" x="1228"/>
        <item m="1" x="1026"/>
        <item m="1" x="1136"/>
        <item m="1" x="1275"/>
        <item m="1" x="503"/>
        <item m="1" x="695"/>
        <item m="1" x="533"/>
        <item m="1" x="801"/>
        <item m="1" x="725"/>
        <item m="1" x="755"/>
        <item m="1" x="1291"/>
        <item m="1" x="737"/>
        <item m="1" x="940"/>
        <item m="1" x="472"/>
        <item m="1" x="671"/>
        <item m="1" x="645"/>
        <item m="1" x="988"/>
        <item m="1" x="891"/>
        <item m="1" x="1119"/>
        <item m="1" x="641"/>
        <item m="1" x="1277"/>
        <item m="1" x="479"/>
        <item m="1" x="405"/>
        <item m="1" x="661"/>
        <item m="1" x="1202"/>
        <item m="1" x="312"/>
        <item m="1" x="313"/>
        <item m="1" x="609"/>
        <item m="1" x="1282"/>
        <item m="1" x="676"/>
        <item m="1" x="321"/>
        <item m="1" x="481"/>
        <item m="1" x="723"/>
        <item m="1" x="1034"/>
        <item m="1" x="1006"/>
        <item m="1" x="677"/>
        <item m="1" x="258"/>
        <item m="1" x="396"/>
        <item m="1" x="608"/>
        <item m="1" x="496"/>
        <item m="1" x="253"/>
        <item m="1" x="1206"/>
        <item m="1" x="1335"/>
        <item m="1" x="805"/>
        <item m="1" x="1235"/>
        <item m="1" x="1295"/>
        <item m="1" x="318"/>
        <item m="1" x="1333"/>
        <item m="1" x="1071"/>
        <item m="1" x="494"/>
        <item m="1" x="680"/>
        <item m="1" x="584"/>
        <item m="1" x="946"/>
        <item m="1" x="517"/>
        <item m="1" x="733"/>
        <item m="1" x="1028"/>
        <item m="1" x="1153"/>
        <item m="1" x="656"/>
        <item m="1" x="784"/>
        <item m="1" x="596"/>
        <item m="1" x="522"/>
        <item m="1" x="1033"/>
        <item m="1" x="1148"/>
        <item m="1" x="1310"/>
        <item m="1" x="352"/>
        <item m="1" x="556"/>
        <item m="1" x="996"/>
        <item m="1" x="397"/>
        <item m="1" x="684"/>
        <item m="1" x="1065"/>
        <item m="1" x="330"/>
        <item m="1" x="540"/>
        <item m="1" x="650"/>
        <item m="1" x="1256"/>
        <item m="1" x="489"/>
        <item m="1" x="759"/>
        <item m="1" x="1312"/>
        <item m="1" x="440"/>
        <item m="1" x="629"/>
        <item m="1" x="817"/>
        <item m="1" x="1154"/>
        <item m="1" x="452"/>
        <item m="1" x="708"/>
        <item m="1" x="550"/>
        <item m="1" x="1046"/>
        <item m="1" x="1232"/>
        <item m="1" x="358"/>
        <item m="1" x="578"/>
        <item m="1" x="1314"/>
        <item m="1" x="1279"/>
        <item m="1" x="379"/>
        <item m="1" x="696"/>
        <item m="1" x="1220"/>
        <item m="1" x="1351"/>
        <item m="1" x="1222"/>
        <item m="1" x="1197"/>
        <item m="1" x="328"/>
        <item m="1" x="504"/>
        <item m="1" x="586"/>
        <item m="1" x="575"/>
        <item m="1" x="802"/>
        <item m="1" x="290"/>
        <item m="1" x="989"/>
        <item m="1" x="1060"/>
        <item m="1" x="242"/>
        <item m="1" x="1320"/>
        <item m="1" x="1182"/>
        <item m="1" x="1311"/>
        <item m="1" x="1341"/>
        <item m="1" x="1377"/>
        <item m="1" x="1315"/>
        <item m="1" x="679"/>
        <item m="1" x="1039"/>
        <item m="1" x="646"/>
        <item m="1" x="1052"/>
        <item m="1" x="1017"/>
        <item m="1" x="455"/>
        <item m="1" x="493"/>
        <item m="1" x="631"/>
        <item m="1" x="1096"/>
        <item m="1" x="616"/>
        <item m="1" x="362"/>
        <item m="1" x="1361"/>
        <item m="1" x="1111"/>
        <item m="1" x="944"/>
        <item m="1" x="976"/>
        <item m="1" x="1025"/>
        <item m="1" x="450"/>
        <item m="1" x="792"/>
        <item m="1" x="1137"/>
        <item m="1" x="288"/>
        <item m="1" x="531"/>
        <item m="1" x="431"/>
        <item m="1" x="428"/>
        <item m="1" x="432"/>
        <item m="1" x="233"/>
        <item m="1" x="454"/>
        <item m="1" x="1251"/>
        <item m="1" x="255"/>
        <item m="1" x="901"/>
        <item m="1" x="1338"/>
        <item m="1" x="1149"/>
        <item m="1" x="409"/>
        <item m="1" x="1409"/>
        <item m="1" x="338"/>
        <item m="1" x="705"/>
        <item m="1" x="928"/>
        <item m="1" x="384"/>
        <item m="1" x="837"/>
        <item m="1" x="997"/>
        <item m="1" x="1265"/>
        <item m="1" x="1167"/>
        <item m="1" x="246"/>
        <item m="1" x="929"/>
        <item m="1" x="329"/>
        <item m="1" x="565"/>
        <item m="1" x="537"/>
        <item m="1" x="299"/>
        <item m="1" x="892"/>
        <item m="1" x="899"/>
        <item m="1" x="999"/>
        <item m="1" x="748"/>
        <item m="1" x="1248"/>
        <item m="1" x="657"/>
        <item m="1" x="1367"/>
        <item m="1" x="1002"/>
        <item m="1" x="893"/>
        <item m="1" x="557"/>
        <item m="1" x="965"/>
        <item m="1" x="1263"/>
        <item m="1" x="1328"/>
        <item m="1" x="1307"/>
        <item m="1" x="1237"/>
        <item m="1" x="986"/>
        <item m="1" x="1099"/>
        <item m="1" x="612"/>
        <item m="1" x="1061"/>
        <item m="1" x="886"/>
        <item m="1" x="845"/>
        <item m="1" x="843"/>
        <item m="1" x="844"/>
        <item m="1" x="541"/>
        <item m="1" x="585"/>
        <item m="1" x="1198"/>
        <item m="1" x="763"/>
        <item m="1" x="605"/>
        <item m="1" x="647"/>
        <item m="1" x="693"/>
        <item m="1" x="945"/>
        <item m="1" x="1283"/>
        <item m="1" x="1372"/>
        <item m="1" x="490"/>
        <item m="1" x="441"/>
        <item m="1" x="278"/>
        <item m="1" x="300"/>
        <item m="1" x="597"/>
        <item m="1" x="385"/>
        <item m="1" x="713"/>
        <item m="1" x="1249"/>
        <item m="1" x="590"/>
        <item m="1" x="382"/>
        <item m="1" x="1141"/>
        <item m="1" x="259"/>
        <item m="1" x="1267"/>
        <item m="1" x="1342"/>
        <item m="1" x="1406"/>
        <item m="1" x="1281"/>
        <item m="1" x="524"/>
        <item m="1" x="301"/>
        <item m="1" x="765"/>
        <item m="1" x="849"/>
        <item m="1" x="1045"/>
        <item m="1" x="1013"/>
        <item m="1" x="1049"/>
        <item m="1" x="826"/>
        <item m="1" x="864"/>
        <item m="1" x="1305"/>
        <item m="1" x="1068"/>
        <item m="1" x="1038"/>
        <item m="1" x="977"/>
        <item m="1" x="1050"/>
        <item m="1" x="251"/>
        <item m="1" x="256"/>
        <item m="1" x="859"/>
        <item m="1" x="1244"/>
        <item m="1" x="814"/>
        <item m="1" x="1384"/>
        <item m="1" x="783"/>
        <item m="1" x="959"/>
        <item m="1" x="1030"/>
        <item m="1" x="644"/>
        <item m="1" x="476"/>
        <item m="1" x="852"/>
        <item m="1" x="538"/>
        <item m="1" x="1393"/>
        <item m="1" x="1308"/>
        <item m="1" x="1121"/>
        <item m="1" x="378"/>
        <item m="1" x="305"/>
        <item m="1" x="878"/>
        <item m="1" x="1122"/>
        <item m="1" x="1411"/>
        <item m="1" x="757"/>
        <item m="1" x="1358"/>
        <item m="1" x="292"/>
        <item m="1" x="406"/>
        <item m="1" x="718"/>
        <item m="1" x="809"/>
        <item m="1" x="1238"/>
        <item m="1" x="562"/>
        <item m="1" x="1241"/>
        <item m="1" x="658"/>
        <item m="1" x="1230"/>
        <item m="1" x="1394"/>
        <item m="1" x="322"/>
        <item m="1" x="1378"/>
        <item m="1" x="269"/>
        <item m="1" x="1131"/>
        <item m="1" x="749"/>
        <item m="1" x="580"/>
        <item m="1" x="543"/>
        <item m="1" x="687"/>
        <item m="1" x="286"/>
        <item m="1" x="1371"/>
        <item m="1" x="370"/>
        <item m="1" x="391"/>
        <item m="1" x="1264"/>
        <item m="1" x="1343"/>
        <item m="1" x="857"/>
        <item m="1" x="998"/>
        <item m="1" x="699"/>
        <item m="1" x="812"/>
        <item m="1" x="961"/>
        <item m="1" x="1078"/>
        <item m="1" x="665"/>
        <item m="1" x="941"/>
        <item m="1" x="760"/>
        <item m="1" x="1397"/>
        <item m="1" x="250"/>
        <item m="1" x="689"/>
        <item m="1" x="630"/>
        <item m="1" x="591"/>
        <item m="1" x="1385"/>
        <item m="1" x="1203"/>
        <item m="1" x="1334"/>
        <item m="1" x="347"/>
        <item m="1" x="1345"/>
        <item m="1" x="1332"/>
        <item m="1" x="1209"/>
        <item m="1" x="444"/>
        <item m="1" x="813"/>
        <item m="1" x="906"/>
        <item m="1" x="652"/>
        <item m="1" x="1250"/>
        <item m="1" x="1036"/>
        <item m="1" x="1056"/>
        <item m="1" x="950"/>
        <item m="1" x="293"/>
        <item m="1" x="1123"/>
        <item m="1" x="1285"/>
        <item m="1" x="690"/>
        <item m="1" x="1404"/>
        <item m="1" x="898"/>
        <item m="1" x="485"/>
        <item m="1" x="618"/>
        <item m="1" x="654"/>
        <item m="1" x="1313"/>
        <item m="1" x="1297"/>
        <item m="1" x="357"/>
        <item m="1" x="359"/>
        <item m="1" x="273"/>
        <item m="1" x="1233"/>
        <item m="1" x="275"/>
        <item m="1" x="692"/>
        <item m="1" x="592"/>
        <item m="1" x="1048"/>
        <item m="1" x="991"/>
        <item m="1" x="1340"/>
        <item m="1" x="1272"/>
        <item m="1" x="764"/>
        <item m="1" x="978"/>
        <item m="1" x="1213"/>
        <item m="1" x="326"/>
        <item m="1" x="758"/>
        <item m="1" x="688"/>
        <item m="1" x="1382"/>
        <item m="1" x="1349"/>
        <item m="1" x="780"/>
        <item m="1" x="386"/>
        <item m="1" x="681"/>
        <item m="1" x="854"/>
        <item m="1" x="308"/>
        <item m="1" x="1144"/>
        <item m="1" x="738"/>
        <item m="1" x="548"/>
        <item m="1" x="642"/>
        <item m="1" x="1088"/>
        <item m="1" x="1387"/>
        <item m="1" x="466"/>
        <item m="1" x="1239"/>
        <item m="1" x="460"/>
        <item m="1" x="1024"/>
        <item m="1" x="796"/>
        <item m="1" x="727"/>
        <item m="1" x="449"/>
        <item m="1" x="516"/>
        <item m="1" x="304"/>
        <item m="1" x="1104"/>
        <item m="1" x="617"/>
        <item m="1" x="341"/>
        <item m="1" x="955"/>
        <item m="1" x="1270"/>
        <item m="1" x="810"/>
        <item m="1" x="768"/>
        <item m="1" x="239"/>
        <item m="1" x="1375"/>
        <item m="1" x="625"/>
        <item m="1" x="685"/>
        <item m="1" x="1092"/>
        <item m="1" x="1369"/>
        <item m="1" x="1294"/>
        <item m="1" x="1145"/>
        <item m="1" x="1260"/>
        <item m="1" x="421"/>
        <item m="1" x="620"/>
        <item m="1" x="453"/>
        <item m="1" x="245"/>
        <item m="1" x="858"/>
        <item m="1" x="307"/>
        <item m="1" x="529"/>
        <item m="1" x="473"/>
        <item m="1" x="419"/>
        <item m="1" x="1374"/>
        <item m="1" x="470"/>
        <item m="1" x="1072"/>
        <item m="1" x="1284"/>
        <item m="1" x="410"/>
        <item m="1" x="314"/>
        <item m="1" x="1107"/>
        <item m="1" x="1083"/>
        <item m="1" x="1124"/>
        <item m="1" x="1043"/>
        <item m="1" x="387"/>
        <item m="1" x="743"/>
        <item m="1" x="1011"/>
        <item m="1" x="1261"/>
        <item m="1" x="855"/>
        <item m="1" x="973"/>
        <item m="1" x="1317"/>
        <item m="1" x="729"/>
        <item m="1" x="573"/>
        <item m="1" x="806"/>
        <item m="1" x="753"/>
        <item m="1" x="683"/>
        <item m="1" x="1200"/>
        <item m="1" x="887"/>
        <item m="1" x="983"/>
        <item m="1" x="234"/>
        <item m="1" x="779"/>
        <item m="1" x="381"/>
        <item m="1" x="648"/>
        <item m="1" x="786"/>
        <item m="1" x="316"/>
        <item m="1" x="433"/>
        <item m="1" x="888"/>
        <item m="1" x="1085"/>
        <item m="1" x="1355"/>
        <item m="1" x="1398"/>
        <item m="1" x="1008"/>
        <item m="1" x="356"/>
        <item m="1" x="284"/>
        <item m="1" x="870"/>
        <item m="1" x="492"/>
        <item m="1" x="766"/>
        <item m="1" x="394"/>
        <item m="1" x="497"/>
        <item m="1" x="924"/>
        <item m="1" x="1280"/>
        <item m="1" x="1211"/>
        <item m="1" x="627"/>
        <item m="1" x="662"/>
        <item m="1" x="938"/>
        <item m="1" x="1368"/>
        <item m="1" x="1094"/>
        <item m="1" x="260"/>
        <item m="1" x="1322"/>
        <item m="1" x="368"/>
        <item m="1" x="1014"/>
        <item m="1" x="1059"/>
        <item m="1" x="1062"/>
        <item m="1" x="1402"/>
        <item m="1" x="295"/>
        <item m="1" x="1073"/>
        <item m="1" x="1170"/>
        <item m="1" x="942"/>
        <item m="1" x="1112"/>
        <item m="1" x="354"/>
        <item m="1" x="746"/>
        <item m="1" x="593"/>
        <item m="1" x="1205"/>
        <item m="1" x="1300"/>
        <item m="1" x="829"/>
        <item m="1" x="1268"/>
        <item m="1" x="1316"/>
        <item m="1" x="669"/>
        <item m="1" x="1172"/>
        <item m="1" x="1035"/>
        <item m="1" x="1318"/>
        <item m="1" x="1362"/>
        <item m="1" x="1100"/>
        <item m="1" x="710"/>
        <item m="1" x="515"/>
        <item m="1" x="1350"/>
        <item m="1" x="897"/>
        <item m="1" x="871"/>
        <item m="1" x="880"/>
        <item m="1" x="1401"/>
        <item m="1" x="1125"/>
        <item m="1" x="820"/>
        <item m="1" x="1089"/>
        <item m="1" x="1066"/>
        <item m="1" x="682"/>
        <item m="1" x="583"/>
        <item m="1" x="1082"/>
        <item m="1" x="477"/>
        <item m="1" x="434"/>
        <item m="1" x="376"/>
        <item m="1" x="1363"/>
        <item m="1" x="979"/>
        <item m="1" x="714"/>
        <item m="1" x="795"/>
        <item m="1" x="276"/>
        <item m="1" x="1352"/>
        <item m="1" x="903"/>
        <item m="1" x="1051"/>
        <item m="1" x="499"/>
        <item m="1" x="1183"/>
        <item m="1" x="686"/>
        <item m="1" x="579"/>
        <item m="1" x="1407"/>
        <item m="1" x="709"/>
        <item m="1" x="1348"/>
        <item m="1" x="934"/>
        <item m="1" x="610"/>
        <item m="1" x="401"/>
        <item m="1" x="344"/>
        <item m="1" x="638"/>
        <item m="1" x="335"/>
        <item m="1" x="306"/>
        <item m="1" x="323"/>
        <item m="1" x="602"/>
        <item m="1" x="447"/>
        <item m="1" x="754"/>
        <item m="1" x="811"/>
        <item m="1" x="910"/>
        <item m="1" x="781"/>
        <item m="1" x="1114"/>
        <item m="1" x="1178"/>
        <item m="1" x="390"/>
        <item m="1" x="400"/>
        <item m="1" x="589"/>
        <item m="1" x="731"/>
        <item m="1" x="521"/>
        <item m="1" x="1074"/>
        <item m="1" x="824"/>
        <item m="1" x="741"/>
        <item m="1" x="874"/>
        <item m="1" x="1180"/>
        <item m="1" x="1118"/>
        <item m="1" x="1204"/>
        <item m="1" x="960"/>
        <item m="1" x="380"/>
        <item m="1" x="1386"/>
        <item m="1" x="799"/>
        <item m="1" x="414"/>
        <item m="1" x="238"/>
        <item m="1" x="1383"/>
        <item m="1" x="867"/>
        <item m="1" x="834"/>
        <item m="1" x="606"/>
        <item m="1" x="486"/>
        <item m="1" x="570"/>
        <item m="1" x="724"/>
        <item m="1" x="1299"/>
        <item m="1" x="1218"/>
        <item m="1" x="594"/>
        <item m="1" x="667"/>
        <item m="1" x="674"/>
        <item m="1" x="1212"/>
        <item m="1" x="815"/>
        <item m="1" x="287"/>
        <item m="1" x="848"/>
        <item m="1" x="1127"/>
        <item m="1" x="1253"/>
        <item m="1" x="1146"/>
        <item m="1" x="954"/>
        <item m="1" x="1252"/>
        <item m="1" x="266"/>
        <item m="1" x="1169"/>
        <item m="1" x="248"/>
        <item m="1" x="588"/>
        <item m="1" x="252"/>
        <item m="1" x="411"/>
        <item m="1" x="501"/>
        <item m="1" x="507"/>
        <item m="1" x="925"/>
        <item m="1" x="1179"/>
        <item m="1" x="706"/>
        <item m="1" x="277"/>
        <item m="1" x="483"/>
        <item m="1" x="271"/>
        <item m="1" x="1266"/>
        <item m="1" x="491"/>
        <item m="1" x="827"/>
        <item m="1" x="1286"/>
        <item m="1" x="613"/>
        <item m="1" x="555"/>
        <item m="1" x="951"/>
        <item m="1" x="508"/>
        <item m="1" x="816"/>
        <item m="1" x="1110"/>
        <item m="1" x="249"/>
        <item m="1" x="762"/>
        <item m="1" x="881"/>
        <item m="1" x="373"/>
        <item m="1" x="715"/>
        <item m="1" x="850"/>
        <item m="1" x="601"/>
        <item m="1" x="639"/>
        <item m="1" x="366"/>
        <item m="1" x="772"/>
        <item m="1" x="236"/>
        <item m="1" x="908"/>
        <item m="1" x="1301"/>
        <item m="1" x="1022"/>
        <item m="1" x="1016"/>
        <item m="1" x="915"/>
        <item m="1" x="241"/>
        <item m="1" x="1047"/>
        <item m="1" x="1090"/>
        <item m="1" x="896"/>
        <item m="1" x="240"/>
        <item m="1" x="1247"/>
        <item m="1" x="1214"/>
        <item m="1" x="244"/>
        <item m="1" x="523"/>
        <item m="1" x="913"/>
        <item m="1" x="1168"/>
        <item m="1" x="365"/>
        <item m="1" x="261"/>
        <item m="1" x="420"/>
        <item m="1" x="311"/>
        <item m="1" x="719"/>
        <item m="1" x="532"/>
        <item m="1" x="530"/>
        <item m="1" x="701"/>
        <item m="1" x="803"/>
        <item m="1" x="707"/>
        <item m="1" x="904"/>
        <item m="1" x="756"/>
        <item m="1" x="621"/>
        <item m="1" x="736"/>
        <item m="1" x="1229"/>
        <item m="1" x="1324"/>
        <item m="1" x="581"/>
        <item m="1" x="1304"/>
        <item m="1" x="346"/>
        <item m="1" x="1293"/>
        <item m="1" x="990"/>
        <item m="1" x="1161"/>
        <item m="1" x="1240"/>
        <item m="1" x="920"/>
        <item m="1" x="1132"/>
        <item m="1" x="424"/>
        <item m="1" x="407"/>
        <item m="1" x="1029"/>
        <item m="1" x="1001"/>
        <item m="1" x="563"/>
        <item m="1" x="1399"/>
        <item m="1" x="971"/>
        <item m="1" x="711"/>
        <item m="1" x="785"/>
        <item m="1" x="744"/>
        <item m="1" x="1254"/>
        <item m="1" x="1258"/>
        <item m="1" x="254"/>
        <item m="1" x="1138"/>
        <item m="1" x="1184"/>
        <item m="1" x="303"/>
        <item m="1" x="675"/>
        <item m="1" x="666"/>
        <item m="1" x="1173"/>
        <item m="1" x="872"/>
        <item m="1" x="1076"/>
        <item m="1" x="742"/>
        <item m="1" x="1093"/>
        <item m="1" x="281"/>
        <item m="1" x="404"/>
        <item m="1" x="1373"/>
        <item m="1" x="993"/>
        <item m="1" x="1365"/>
        <item m="1" x="285"/>
        <item m="1" x="545"/>
        <item m="1" x="361"/>
        <item m="1" x="294"/>
        <item m="1" x="309"/>
        <item m="1" x="861"/>
        <item m="1" x="894"/>
        <item m="1" x="566"/>
        <item m="1" x="984"/>
        <item m="1" x="1302"/>
        <item m="1" x="653"/>
        <item m="1" x="732"/>
        <item m="1" x="882"/>
        <item m="1" x="1370"/>
        <item m="1" x="547"/>
        <item m="1" x="559"/>
        <item m="1" x="569"/>
        <item m="1" x="1190"/>
        <item m="1" x="1326"/>
        <item m="1" x="243"/>
        <item m="1" x="1070"/>
        <item m="1" x="1366"/>
        <item m="1" x="467"/>
        <item m="1" x="782"/>
        <item m="1" x="1403"/>
        <item m="1" x="1309"/>
        <item m="1" x="456"/>
        <item m="1" x="568"/>
        <item m="1" x="655"/>
        <item m="1" x="980"/>
        <item m="1" x="1177"/>
        <item m="1" x="412"/>
        <item m="1" x="883"/>
        <item m="1" x="408"/>
        <item m="1" x="377"/>
        <item m="1" x="325"/>
        <item m="1" x="1296"/>
        <item m="1" x="889"/>
        <item m="1" x="1337"/>
        <item m="1" x="730"/>
        <item m="1" x="1354"/>
        <item m="1" x="1106"/>
        <item m="1" x="395"/>
        <item m="1" x="1210"/>
        <item m="1" x="1224"/>
        <item m="1" x="884"/>
        <item m="1" x="1259"/>
        <item m="1" x="1097"/>
        <item m="1" x="962"/>
        <item m="1" x="279"/>
        <item m="1" x="1108"/>
        <item m="1" x="840"/>
        <item m="1" x="773"/>
        <item m="1" x="1116"/>
        <item m="1" x="700"/>
        <item m="1" x="334"/>
        <item m="1" x="506"/>
        <item m="1" x="283"/>
        <item m="1" x="632"/>
        <item m="1" x="1010"/>
        <item m="1" x="595"/>
        <item m="1" x="458"/>
        <item m="1" x="673"/>
        <item m="1" x="351"/>
        <item m="1" x="603"/>
        <item m="1" x="474"/>
        <item m="1" x="825"/>
        <item m="1" x="1412"/>
        <item m="1" x="866"/>
        <item m="1" x="462"/>
        <item m="1" x="739"/>
        <item m="1" x="445"/>
        <item m="1" x="498"/>
        <item m="1" x="790"/>
        <item m="1" x="1058"/>
        <item m="1" x="775"/>
        <item m="1" x="1225"/>
        <item m="1" x="787"/>
        <item m="1" x="1021"/>
        <item m="1" x="336"/>
        <item m="1" x="819"/>
        <item m="1" x="459"/>
        <item m="1" x="389"/>
        <item m="1" x="1115"/>
        <item m="1" x="430"/>
        <item m="1" x="1139"/>
        <item m="1" x="331"/>
        <item m="1" x="956"/>
        <item m="1" x="963"/>
        <item m="1" x="367"/>
        <item m="1" x="885"/>
        <item m="1" x="263"/>
        <item m="1" x="1086"/>
        <item m="1" x="791"/>
        <item m="1" x="1012"/>
        <item m="1" x="981"/>
        <item m="1" x="1201"/>
        <item m="1" x="974"/>
        <item m="1" x="552"/>
        <item m="1" x="1053"/>
        <item m="1" x="1187"/>
        <item m="1" x="877"/>
        <item m="1" x="1009"/>
        <item m="1" x="342"/>
        <item m="1" x="1175"/>
        <item m="1" x="832"/>
        <item m="1" x="697"/>
        <item m="1" x="1081"/>
        <item m="1" x="607"/>
        <item m="1" x="930"/>
        <item m="1" x="464"/>
        <item m="1" x="560"/>
        <item m="1" x="957"/>
        <item m="1" x="726"/>
        <item m="1" x="270"/>
        <item m="1" x="604"/>
        <item m="1" x="1084"/>
        <item m="1" x="1186"/>
        <item m="1" x="289"/>
        <item m="1" x="574"/>
        <item m="1" x="509"/>
        <item m="1" x="842"/>
        <item m="1" x="935"/>
        <item m="1" x="375"/>
        <item m="1" x="1357"/>
        <item m="1" x="340"/>
        <item m="1" x="413"/>
        <item m="1" x="1194"/>
        <item m="1" x="702"/>
        <item m="1" x="716"/>
        <item m="1" x="770"/>
        <item m="1" x="345"/>
        <item m="1" x="624"/>
        <item m="1" x="1019"/>
        <item m="1" x="931"/>
        <item m="1" x="721"/>
        <item m="1" x="668"/>
        <item m="1" x="298"/>
        <item m="1" x="536"/>
        <item m="1" x="1000"/>
        <item m="1" x="634"/>
        <item m="1" x="797"/>
        <item m="1" x="734"/>
        <item m="1" x="916"/>
        <item m="1" x="280"/>
        <item m="1" x="761"/>
        <item m="1" x="435"/>
        <item m="1" x="838"/>
        <item m="1" x="964"/>
        <item m="1" x="1040"/>
        <item m="1" x="975"/>
        <item m="1" x="936"/>
        <item m="1" x="862"/>
        <item m="1" x="1273"/>
        <item m="1" x="1165"/>
        <item m="1" x="416"/>
        <item m="1" x="1157"/>
        <item m="1" x="611"/>
        <item m="1" x="921"/>
        <item m="1" x="327"/>
        <item m="1" x="900"/>
        <item m="1" x="767"/>
        <item m="1" x="1199"/>
        <item m="1" x="353"/>
        <item m="1" x="1410"/>
        <item m="1" x="392"/>
        <item m="1" x="332"/>
        <item m="1" x="902"/>
        <item m="1" x="1102"/>
        <item m="1" x="1005"/>
        <item m="1" x="291"/>
        <item m="1" x="443"/>
        <item m="1" x="1231"/>
        <item m="1" x="1171"/>
        <item m="1" x="426"/>
        <item m="1" x="399"/>
        <item m="1" x="694"/>
        <item m="1" x="315"/>
        <item m="1" x="922"/>
        <item m="1" x="355"/>
        <item m="1" x="525"/>
        <item m="1" x="822"/>
        <item m="1" x="1353"/>
        <item m="1" x="393"/>
        <item m="1" x="663"/>
        <item m="1" x="510"/>
        <item m="1" x="672"/>
        <item m="1" x="1226"/>
        <item m="1" x="1109"/>
        <item m="1" x="571"/>
        <item m="1" x="324"/>
        <item m="1" x="1274"/>
        <item m="1" x="437"/>
        <item m="1" x="1219"/>
        <item m="1" x="776"/>
        <item m="1" x="1160"/>
        <item m="1" x="519"/>
        <item m="1" x="691"/>
        <item m="1" x="1176"/>
        <item m="1" x="1364"/>
        <item m="1" x="1140"/>
        <item m="1" x="539"/>
        <item m="1" x="482"/>
        <item m="1" x="1185"/>
        <item m="1" x="949"/>
        <item m="1" x="793"/>
        <item m="1" x="1217"/>
        <item m="1" x="265"/>
        <item m="1" x="262"/>
        <item m="1" x="937"/>
        <item m="1" x="1077"/>
        <item m="1" x="1032"/>
        <item m="1" x="1215"/>
        <item m="1" x="740"/>
        <item m="1" x="487"/>
        <item m="1" x="561"/>
        <item m="1" x="1091"/>
        <item m="1" x="643"/>
        <item m="1" x="873"/>
        <item m="1" x="1288"/>
        <item m="1" x="526"/>
        <item m="1" x="863"/>
        <item m="1" x="247"/>
        <item m="1" x="57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m="1" x="564"/>
        <item m="1" x="1325"/>
        <item m="1" x="267"/>
        <item m="1" x="23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7">
    <i>
      <x/>
    </i>
    <i r="1">
      <x v="1400"/>
    </i>
    <i r="2">
      <x v="8"/>
    </i>
    <i r="1">
      <x v="1401"/>
    </i>
    <i r="2">
      <x v="8"/>
    </i>
    <i r="1">
      <x v="1402"/>
    </i>
    <i r="2">
      <x v="8"/>
    </i>
    <i r="1">
      <x v="1403"/>
    </i>
    <i r="2">
      <x v="8"/>
    </i>
    <i r="1">
      <x v="1404"/>
    </i>
    <i r="2">
      <x v="8"/>
    </i>
    <i r="1">
      <x v="1405"/>
    </i>
    <i r="2">
      <x v="8"/>
    </i>
    <i r="1">
      <x v="1406"/>
    </i>
    <i r="2">
      <x v="8"/>
    </i>
    <i r="1">
      <x v="1407"/>
    </i>
    <i r="2">
      <x v="3"/>
    </i>
    <i r="2">
      <x v="8"/>
    </i>
    <i r="2">
      <x v="11"/>
    </i>
    <i r="1">
      <x v="1408"/>
    </i>
    <i r="2">
      <x v="8"/>
    </i>
    <i r="2">
      <x v="11"/>
    </i>
    <i>
      <x v="1"/>
    </i>
    <i r="1">
      <x v="1376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46" totalsRowShown="0" totalsRowDxfId="24">
  <autoFilter ref="A1:C1146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760" totalsRowShown="0">
  <autoFilter ref="A1:S1760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1"/>
  <sheetViews>
    <sheetView tabSelected="1" zoomScale="115" zoomScaleNormal="115" workbookViewId="0">
      <selection activeCell="D10" sqref="D10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190</v>
      </c>
      <c r="C5"/>
      <c r="D5"/>
      <c r="E5"/>
    </row>
    <row r="6" spans="1:6">
      <c r="A6" s="67" t="s">
        <v>3791</v>
      </c>
      <c r="B6" s="87">
        <v>2</v>
      </c>
      <c r="C6"/>
      <c r="D6"/>
      <c r="E6"/>
    </row>
    <row r="7" spans="1:6">
      <c r="A7" s="68" t="s">
        <v>370</v>
      </c>
      <c r="B7" s="87">
        <v>2</v>
      </c>
      <c r="C7"/>
      <c r="D7"/>
      <c r="E7"/>
    </row>
    <row r="8" spans="1:6">
      <c r="A8" s="67" t="s">
        <v>3799</v>
      </c>
      <c r="B8" s="87">
        <v>1</v>
      </c>
      <c r="C8" s="56"/>
      <c r="D8"/>
      <c r="E8"/>
    </row>
    <row r="9" spans="1:6">
      <c r="A9" s="68" t="s">
        <v>370</v>
      </c>
      <c r="B9" s="87">
        <v>1</v>
      </c>
      <c r="C9"/>
      <c r="D9"/>
    </row>
    <row r="10" spans="1:6">
      <c r="A10" s="67" t="s">
        <v>3805</v>
      </c>
      <c r="B10" s="87">
        <v>2</v>
      </c>
      <c r="C10" s="53"/>
      <c r="D10"/>
    </row>
    <row r="11" spans="1:6">
      <c r="A11" s="68" t="s">
        <v>370</v>
      </c>
      <c r="B11" s="87">
        <v>2</v>
      </c>
      <c r="C11"/>
      <c r="D11"/>
    </row>
    <row r="12" spans="1:6">
      <c r="A12" s="67" t="s">
        <v>3809</v>
      </c>
      <c r="B12" s="87">
        <v>9</v>
      </c>
      <c r="C12"/>
      <c r="D12"/>
    </row>
    <row r="13" spans="1:6">
      <c r="A13" s="68" t="s">
        <v>370</v>
      </c>
      <c r="B13" s="87">
        <v>9</v>
      </c>
      <c r="C13"/>
      <c r="D13"/>
    </row>
    <row r="14" spans="1:6">
      <c r="A14" s="67" t="s">
        <v>3800</v>
      </c>
      <c r="B14" s="87">
        <v>1</v>
      </c>
      <c r="C14" s="53"/>
      <c r="D14"/>
    </row>
    <row r="15" spans="1:6">
      <c r="A15" s="68" t="s">
        <v>370</v>
      </c>
      <c r="B15" s="87">
        <v>1</v>
      </c>
      <c r="C15"/>
      <c r="D15"/>
    </row>
    <row r="16" spans="1:6">
      <c r="A16" s="67" t="s">
        <v>3822</v>
      </c>
      <c r="B16" s="87">
        <v>55</v>
      </c>
      <c r="C16"/>
      <c r="D16"/>
    </row>
    <row r="17" spans="1:4">
      <c r="A17" s="68" t="s">
        <v>370</v>
      </c>
      <c r="B17" s="87">
        <v>55</v>
      </c>
      <c r="C17"/>
      <c r="D17"/>
    </row>
    <row r="18" spans="1:4">
      <c r="A18" s="67" t="s">
        <v>3831</v>
      </c>
      <c r="B18" s="87">
        <v>1</v>
      </c>
      <c r="C18"/>
      <c r="D18"/>
    </row>
    <row r="19" spans="1:4">
      <c r="A19" s="68" t="s">
        <v>370</v>
      </c>
      <c r="B19" s="87">
        <v>1</v>
      </c>
      <c r="C19" s="47"/>
      <c r="D19"/>
    </row>
    <row r="20" spans="1:4">
      <c r="A20" s="67" t="s">
        <v>3832</v>
      </c>
      <c r="B20" s="87">
        <v>112</v>
      </c>
    </row>
    <row r="21" spans="1:4" ht="17.25" customHeight="1">
      <c r="A21" s="68" t="s">
        <v>369</v>
      </c>
      <c r="B21" s="87">
        <v>1</v>
      </c>
    </row>
    <row r="22" spans="1:4">
      <c r="A22" s="68" t="s">
        <v>370</v>
      </c>
      <c r="B22" s="87">
        <v>88</v>
      </c>
    </row>
    <row r="23" spans="1:4">
      <c r="A23" s="68" t="s">
        <v>375</v>
      </c>
      <c r="B23" s="87">
        <v>23</v>
      </c>
    </row>
    <row r="24" spans="1:4">
      <c r="A24" s="67" t="s">
        <v>4035</v>
      </c>
      <c r="B24" s="87">
        <v>7</v>
      </c>
    </row>
    <row r="25" spans="1:4">
      <c r="A25" s="68" t="s">
        <v>370</v>
      </c>
      <c r="B25" s="87">
        <v>4</v>
      </c>
    </row>
    <row r="26" spans="1:4">
      <c r="A26" s="68" t="s">
        <v>375</v>
      </c>
      <c r="B26" s="87">
        <v>3</v>
      </c>
    </row>
    <row r="27" spans="1:4">
      <c r="A27" s="17" t="s">
        <v>3789</v>
      </c>
      <c r="B27" s="87">
        <v>6</v>
      </c>
    </row>
    <row r="28" spans="1:4">
      <c r="A28" s="67" t="s">
        <v>3769</v>
      </c>
      <c r="B28" s="87">
        <v>6</v>
      </c>
    </row>
    <row r="29" spans="1:4">
      <c r="A29" s="68" t="s">
        <v>369</v>
      </c>
      <c r="B29" s="87">
        <v>4</v>
      </c>
    </row>
    <row r="30" spans="1:4">
      <c r="A30" s="68" t="s">
        <v>370</v>
      </c>
      <c r="B30" s="87">
        <v>2</v>
      </c>
    </row>
    <row r="31" spans="1:4">
      <c r="A31" s="17" t="s">
        <v>381</v>
      </c>
      <c r="B31" s="87">
        <v>196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46"/>
  <sheetViews>
    <sheetView topLeftCell="A1112" workbookViewId="0">
      <selection activeCell="C1141" sqref="C1141:C11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760"/>
  <sheetViews>
    <sheetView zoomScale="85" zoomScaleNormal="8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111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86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86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86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86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86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86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86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86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86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86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86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82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79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79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79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79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79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79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79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79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79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79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79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79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79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79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79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79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79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79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79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79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79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79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79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79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79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79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79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79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79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79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79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79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79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79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79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79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79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79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79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79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79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78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78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78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78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78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78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78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78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78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78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78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78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78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78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78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78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78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78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78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78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78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78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78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78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78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78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78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78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78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78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78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78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78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78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78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78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78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78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78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78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78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78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78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78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78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78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78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78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78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78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78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78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78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78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78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78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78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78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78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77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77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77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77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77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76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76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74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74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73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70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70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70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70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70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70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70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70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70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70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70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70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70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70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70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70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70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70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70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70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70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69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69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69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69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69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64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64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64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59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59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59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59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59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59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59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59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59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59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59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59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59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59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59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59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59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59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55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55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55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50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49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49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49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49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49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49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49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49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49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49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49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49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35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35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34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34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34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24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6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6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5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5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5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5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5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5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5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5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5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5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5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5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5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5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5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5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5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5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5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5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5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5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5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5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5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5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5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5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5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5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4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4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4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4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4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4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4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4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4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4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on track</v>
      </c>
      <c r="Q1557" s="3">
        <f ca="1">IF(Proc[[#This Row],[DateClosed]]="",ABS(NETWORKDAYS(Proc[[#This Row],[DateOpened]],TODAY()))-1,ABS(NETWORKDAYS(Proc[[#This Row],[DateOpened]],Proc[[#This Row],[DateClosed]]))-1)</f>
        <v>4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on track</v>
      </c>
      <c r="Q1558" s="3">
        <f ca="1">IF(Proc[[#This Row],[DateClosed]]="",ABS(NETWORKDAYS(Proc[[#This Row],[DateOpened]],TODAY()))-1,ABS(NETWORKDAYS(Proc[[#This Row],[DateOpened]],Proc[[#This Row],[DateClosed]]))-1)</f>
        <v>4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on track</v>
      </c>
      <c r="Q1559" s="3">
        <f ca="1">IF(Proc[[#This Row],[DateClosed]]="",ABS(NETWORKDAYS(Proc[[#This Row],[DateOpened]],TODAY()))-1,ABS(NETWORKDAYS(Proc[[#This Row],[DateOpened]],Proc[[#This Row],[DateClosed]]))-1)</f>
        <v>4</v>
      </c>
      <c r="R1559" s="88" t="s">
        <v>577</v>
      </c>
      <c r="S1559" s="87"/>
    </row>
    <row r="1560" spans="1:19">
      <c r="A1560" t="s">
        <v>3769</v>
      </c>
      <c r="B1560" s="87" t="str">
        <f>IFERROR(VLOOKUP(Proc[[#This Row],[App]],Table2[],3,0),"open")</f>
        <v>open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</v>
      </c>
      <c r="R1560" s="90" t="s">
        <v>538</v>
      </c>
      <c r="S1560" s="87"/>
    </row>
    <row r="1561" spans="1:19">
      <c r="A1561" t="s">
        <v>3769</v>
      </c>
      <c r="B1561" s="87" t="str">
        <f>IFERROR(VLOOKUP(Proc[[#This Row],[App]],Table2[],3,0),"open")</f>
        <v>open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</v>
      </c>
      <c r="R1561" s="90" t="s">
        <v>538</v>
      </c>
      <c r="S1561" s="87"/>
    </row>
    <row r="1562" spans="1:19">
      <c r="A1562" t="s">
        <v>3769</v>
      </c>
      <c r="B1562" s="87" t="str">
        <f>IFERROR(VLOOKUP(Proc[[#This Row],[App]],Table2[],3,0),"open")</f>
        <v>open</v>
      </c>
      <c r="C1562" s="91" t="s">
        <v>370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3790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/>
      <c r="O1562" s="89"/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11</v>
      </c>
      <c r="R1562" s="90" t="s">
        <v>538</v>
      </c>
      <c r="S1562" s="87"/>
    </row>
    <row r="1563" spans="1:19">
      <c r="A1563" t="s">
        <v>3769</v>
      </c>
      <c r="B1563" s="87" t="str">
        <f>IFERROR(VLOOKUP(Proc[[#This Row],[App]],Table2[],3,0),"open")</f>
        <v>open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/>
      <c r="O1563" s="89"/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11</v>
      </c>
      <c r="R1563" s="90" t="s">
        <v>538</v>
      </c>
      <c r="S1563" s="87"/>
    </row>
    <row r="1564" spans="1:19">
      <c r="A1564" t="s">
        <v>3769</v>
      </c>
      <c r="B1564" s="87" t="str">
        <f>IFERROR(VLOOKUP(Proc[[#This Row],[App]],Table2[],3,0),"open")</f>
        <v>open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/>
      <c r="O1564" s="89"/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11</v>
      </c>
      <c r="R1564" s="90" t="s">
        <v>538</v>
      </c>
      <c r="S1564" s="87"/>
    </row>
    <row r="1565" spans="1:19">
      <c r="A1565" t="s">
        <v>3769</v>
      </c>
      <c r="B1565" s="87" t="str">
        <f>IFERROR(VLOOKUP(Proc[[#This Row],[App]],Table2[],3,0),"open")</f>
        <v>open</v>
      </c>
      <c r="C1565" s="91" t="s">
        <v>370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3790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/>
      <c r="O1565" s="89"/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11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on track</v>
      </c>
      <c r="Q1566" s="3">
        <f ca="1">IF(Proc[[#This Row],[DateClosed]]="",ABS(NETWORKDAYS(Proc[[#This Row],[DateOpened]],TODAY()))-1,ABS(NETWORKDAYS(Proc[[#This Row],[DateOpened]],Proc[[#This Row],[DateClosed]]))-1)</f>
        <v>4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on track</v>
      </c>
      <c r="Q1567" s="3">
        <f ca="1">IF(Proc[[#This Row],[DateClosed]]="",ABS(NETWORKDAYS(Proc[[#This Row],[DateOpened]],TODAY()))-1,ABS(NETWORKDAYS(Proc[[#This Row],[DateOpened]],Proc[[#This Row],[DateClosed]]))-1)</f>
        <v>4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on track</v>
      </c>
      <c r="Q1568" s="3">
        <f ca="1">IF(Proc[[#This Row],[DateClosed]]="",ABS(NETWORKDAYS(Proc[[#This Row],[DateOpened]],TODAY()))-1,ABS(NETWORKDAYS(Proc[[#This Row],[DateOpened]],Proc[[#This Row],[DateClosed]]))-1)</f>
        <v>4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on track</v>
      </c>
      <c r="Q1569" s="3">
        <f ca="1">IF(Proc[[#This Row],[DateClosed]]="",ABS(NETWORKDAYS(Proc[[#This Row],[DateOpened]],TODAY()))-1,ABS(NETWORKDAYS(Proc[[#This Row],[DateOpened]],Proc[[#This Row],[DateClosed]]))-1)</f>
        <v>4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on track</v>
      </c>
      <c r="Q1570" s="3">
        <f ca="1">IF(Proc[[#This Row],[DateClosed]]="",ABS(NETWORKDAYS(Proc[[#This Row],[DateOpened]],TODAY()))-1,ABS(NETWORKDAYS(Proc[[#This Row],[DateOpened]],Proc[[#This Row],[DateClosed]]))-1)</f>
        <v>4</v>
      </c>
      <c r="R1570" s="88" t="s">
        <v>577</v>
      </c>
      <c r="S1570" s="87"/>
    </row>
    <row r="1571" spans="1:19">
      <c r="A1571" t="s">
        <v>3791</v>
      </c>
      <c r="B1571" s="87" t="str">
        <f>IFERROR(VLOOKUP(Proc[[#This Row],[App]],Table2[],3,0),"open")</f>
        <v>open</v>
      </c>
      <c r="C1571" s="91" t="s">
        <v>370</v>
      </c>
      <c r="D1571" t="s">
        <v>3792</v>
      </c>
      <c r="E1571" t="s">
        <v>3794</v>
      </c>
      <c r="F1571" s="87" t="s">
        <v>3796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/>
      <c r="O1571" s="89"/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3</v>
      </c>
      <c r="R1571" s="91" t="s">
        <v>538</v>
      </c>
      <c r="S1571" s="87"/>
    </row>
    <row r="1572" spans="1:19">
      <c r="A1572" s="91" t="s">
        <v>3791</v>
      </c>
      <c r="B1572" s="87" t="str">
        <f>IFERROR(VLOOKUP(Proc[[#This Row],[App]],Table2[],3,0),"open")</f>
        <v>open</v>
      </c>
      <c r="C1572" s="91" t="s">
        <v>370</v>
      </c>
      <c r="D1572" t="s">
        <v>3793</v>
      </c>
      <c r="E1572" t="s">
        <v>3795</v>
      </c>
      <c r="F1572" s="87" t="s">
        <v>3797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/>
      <c r="O1572" s="89"/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3</v>
      </c>
      <c r="R1572" s="91" t="s">
        <v>538</v>
      </c>
      <c r="S1572" s="87"/>
    </row>
    <row r="1573" spans="1:19">
      <c r="A1573" t="s">
        <v>3799</v>
      </c>
      <c r="B1573" s="87" t="str">
        <f>IFERROR(VLOOKUP(Proc[[#This Row],[App]],Table2[],3,0),"open")</f>
        <v>open</v>
      </c>
      <c r="C1573" s="91" t="s">
        <v>370</v>
      </c>
      <c r="D1573" t="s">
        <v>3798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/>
      <c r="O1573" s="89"/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3</v>
      </c>
      <c r="R1573" s="92" t="s">
        <v>1003</v>
      </c>
      <c r="S1573" s="87"/>
    </row>
    <row r="1574" spans="1:19">
      <c r="A1574" t="s">
        <v>3800</v>
      </c>
      <c r="B1574" s="87" t="str">
        <f>IFERROR(VLOOKUP(Proc[[#This Row],[App]],Table2[],3,0),"open")</f>
        <v>open</v>
      </c>
      <c r="C1574" s="91" t="s">
        <v>370</v>
      </c>
      <c r="D1574" t="s">
        <v>3801</v>
      </c>
      <c r="E1574" t="s">
        <v>3802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/>
      <c r="O1574" s="89"/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1</v>
      </c>
      <c r="R1574" s="92" t="s">
        <v>411</v>
      </c>
      <c r="S1574" s="87"/>
    </row>
    <row r="1575" spans="1:19">
      <c r="A1575" t="s">
        <v>3805</v>
      </c>
      <c r="B1575" s="87" t="str">
        <f>IFERROR(VLOOKUP(Proc[[#This Row],[App]],Table2[],3,0),"open")</f>
        <v>open</v>
      </c>
      <c r="C1575" s="91" t="s">
        <v>370</v>
      </c>
      <c r="D1575" t="s">
        <v>3803</v>
      </c>
      <c r="E1575" t="s">
        <v>2777</v>
      </c>
      <c r="F1575" s="87" t="s">
        <v>3806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3808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/>
      <c r="O1575" s="89"/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1</v>
      </c>
      <c r="R1575" s="92" t="s">
        <v>499</v>
      </c>
      <c r="S1575" s="87"/>
    </row>
    <row r="1576" spans="1:19">
      <c r="A1576" s="91" t="s">
        <v>3805</v>
      </c>
      <c r="B1576" s="87" t="str">
        <f>IFERROR(VLOOKUP(Proc[[#This Row],[App]],Table2[],3,0),"open")</f>
        <v>open</v>
      </c>
      <c r="C1576" s="91" t="s">
        <v>370</v>
      </c>
      <c r="D1576" t="s">
        <v>3804</v>
      </c>
      <c r="E1576" t="s">
        <v>2777</v>
      </c>
      <c r="F1576" s="87" t="s">
        <v>3807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3808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/>
      <c r="O1576" s="89"/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1</v>
      </c>
      <c r="R1576" s="92" t="s">
        <v>499</v>
      </c>
      <c r="S1576" s="87"/>
    </row>
    <row r="1577" spans="1:19">
      <c r="A1577" t="s">
        <v>3809</v>
      </c>
      <c r="B1577" s="87" t="str">
        <f>IFERROR(VLOOKUP(Proc[[#This Row],[App]],Table2[],3,0),"open")</f>
        <v>open</v>
      </c>
      <c r="C1577" s="91" t="s">
        <v>370</v>
      </c>
      <c r="D1577" t="s">
        <v>3810</v>
      </c>
      <c r="E1577" t="s">
        <v>3819</v>
      </c>
      <c r="F1577" s="87" t="s">
        <v>3820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/>
      <c r="O1577" s="89"/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1</v>
      </c>
      <c r="R1577" s="92" t="s">
        <v>411</v>
      </c>
      <c r="S1577" s="87"/>
    </row>
    <row r="1578" spans="1:19">
      <c r="A1578" s="91" t="s">
        <v>3809</v>
      </c>
      <c r="B1578" s="87" t="str">
        <f>IFERROR(VLOOKUP(Proc[[#This Row],[App]],Table2[],3,0),"open")</f>
        <v>open</v>
      </c>
      <c r="C1578" s="91" t="s">
        <v>370</v>
      </c>
      <c r="D1578" t="s">
        <v>3811</v>
      </c>
      <c r="E1578" t="s">
        <v>3802</v>
      </c>
      <c r="F1578" s="87" t="s">
        <v>3821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/>
      <c r="O1578" s="89"/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1</v>
      </c>
      <c r="R1578" s="92" t="s">
        <v>411</v>
      </c>
      <c r="S1578" s="87"/>
    </row>
    <row r="1579" spans="1:19">
      <c r="A1579" s="91" t="s">
        <v>3809</v>
      </c>
      <c r="B1579" s="87" t="str">
        <f>IFERROR(VLOOKUP(Proc[[#This Row],[App]],Table2[],3,0),"open")</f>
        <v>open</v>
      </c>
      <c r="C1579" s="91" t="s">
        <v>370</v>
      </c>
      <c r="D1579" t="s">
        <v>3812</v>
      </c>
      <c r="E1579" t="s">
        <v>3802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/>
      <c r="O1579" s="89"/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1</v>
      </c>
      <c r="R1579" s="92" t="s">
        <v>411</v>
      </c>
      <c r="S1579" s="87"/>
    </row>
    <row r="1580" spans="1:19">
      <c r="A1580" s="91" t="s">
        <v>3809</v>
      </c>
      <c r="B1580" s="87" t="str">
        <f>IFERROR(VLOOKUP(Proc[[#This Row],[App]],Table2[],3,0),"open")</f>
        <v>open</v>
      </c>
      <c r="C1580" s="91" t="s">
        <v>370</v>
      </c>
      <c r="D1580" t="s">
        <v>3813</v>
      </c>
      <c r="E1580" t="s">
        <v>3802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/>
      <c r="O1580" s="89"/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1</v>
      </c>
      <c r="R1580" s="92" t="s">
        <v>411</v>
      </c>
      <c r="S1580" s="87"/>
    </row>
    <row r="1581" spans="1:19">
      <c r="A1581" s="91" t="s">
        <v>3809</v>
      </c>
      <c r="B1581" s="87" t="str">
        <f>IFERROR(VLOOKUP(Proc[[#This Row],[App]],Table2[],3,0),"open")</f>
        <v>open</v>
      </c>
      <c r="C1581" s="91" t="s">
        <v>370</v>
      </c>
      <c r="D1581" t="s">
        <v>3814</v>
      </c>
      <c r="E1581" t="s">
        <v>3802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/>
      <c r="O1581" s="89"/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1</v>
      </c>
      <c r="R1581" s="92" t="s">
        <v>411</v>
      </c>
      <c r="S1581" s="87"/>
    </row>
    <row r="1582" spans="1:19">
      <c r="A1582" s="91" t="s">
        <v>3809</v>
      </c>
      <c r="B1582" s="87" t="str">
        <f>IFERROR(VLOOKUP(Proc[[#This Row],[App]],Table2[],3,0),"open")</f>
        <v>open</v>
      </c>
      <c r="C1582" s="91" t="s">
        <v>370</v>
      </c>
      <c r="D1582" t="s">
        <v>3815</v>
      </c>
      <c r="E1582" t="s">
        <v>3802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/>
      <c r="O1582" s="89"/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1</v>
      </c>
      <c r="R1582" s="92" t="s">
        <v>411</v>
      </c>
      <c r="S1582" s="87"/>
    </row>
    <row r="1583" spans="1:19">
      <c r="A1583" s="91" t="s">
        <v>3809</v>
      </c>
      <c r="B1583" s="87" t="str">
        <f>IFERROR(VLOOKUP(Proc[[#This Row],[App]],Table2[],3,0),"open")</f>
        <v>open</v>
      </c>
      <c r="C1583" s="91" t="s">
        <v>370</v>
      </c>
      <c r="D1583" t="s">
        <v>3816</v>
      </c>
      <c r="E1583" t="s">
        <v>3802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/>
      <c r="O1583" s="89"/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1</v>
      </c>
      <c r="R1583" s="92" t="s">
        <v>411</v>
      </c>
      <c r="S1583" s="87"/>
    </row>
    <row r="1584" spans="1:19">
      <c r="A1584" s="91" t="s">
        <v>3809</v>
      </c>
      <c r="B1584" s="87" t="str">
        <f>IFERROR(VLOOKUP(Proc[[#This Row],[App]],Table2[],3,0),"open")</f>
        <v>open</v>
      </c>
      <c r="C1584" s="91" t="s">
        <v>370</v>
      </c>
      <c r="D1584" t="s">
        <v>3817</v>
      </c>
      <c r="E1584" t="s">
        <v>3802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/>
      <c r="O1584" s="89"/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1</v>
      </c>
      <c r="R1584" s="92" t="s">
        <v>411</v>
      </c>
      <c r="S1584" s="87"/>
    </row>
    <row r="1585" spans="1:19">
      <c r="A1585" s="91" t="s">
        <v>3809</v>
      </c>
      <c r="B1585" s="87" t="str">
        <f>IFERROR(VLOOKUP(Proc[[#This Row],[App]],Table2[],3,0),"open")</f>
        <v>open</v>
      </c>
      <c r="C1585" s="91" t="s">
        <v>370</v>
      </c>
      <c r="D1585" t="s">
        <v>3818</v>
      </c>
      <c r="E1585" t="s">
        <v>3802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/>
      <c r="O1585" s="89"/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1</v>
      </c>
      <c r="R1585" s="92" t="s">
        <v>411</v>
      </c>
      <c r="S1585" s="87"/>
    </row>
    <row r="1586" spans="1:19">
      <c r="A1586" t="s">
        <v>3822</v>
      </c>
      <c r="B1586" s="87" t="str">
        <f>IFERROR(VLOOKUP(Proc[[#This Row],[App]],Table2[],3,0),"open")</f>
        <v>open</v>
      </c>
      <c r="C1586" s="91" t="s">
        <v>370</v>
      </c>
      <c r="D1586" t="s">
        <v>3259</v>
      </c>
      <c r="E1586" t="s">
        <v>3823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/>
      <c r="O1586" s="89"/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1</v>
      </c>
      <c r="R1586" s="92" t="s">
        <v>411</v>
      </c>
      <c r="S1586" s="87"/>
    </row>
    <row r="1587" spans="1:19">
      <c r="A1587" s="91" t="s">
        <v>3822</v>
      </c>
      <c r="B1587" s="87" t="str">
        <f>IFERROR(VLOOKUP(Proc[[#This Row],[App]],Table2[],3,0),"open")</f>
        <v>open</v>
      </c>
      <c r="C1587" s="91" t="s">
        <v>370</v>
      </c>
      <c r="D1587" t="s">
        <v>3260</v>
      </c>
      <c r="E1587" t="s">
        <v>3823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/>
      <c r="O1587" s="89"/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1</v>
      </c>
      <c r="R1587" s="92" t="s">
        <v>411</v>
      </c>
      <c r="S1587" s="87"/>
    </row>
    <row r="1588" spans="1:19">
      <c r="A1588" s="91" t="s">
        <v>3822</v>
      </c>
      <c r="B1588" s="87" t="str">
        <f>IFERROR(VLOOKUP(Proc[[#This Row],[App]],Table2[],3,0),"open")</f>
        <v>open</v>
      </c>
      <c r="C1588" s="91" t="s">
        <v>370</v>
      </c>
      <c r="D1588" t="s">
        <v>3261</v>
      </c>
      <c r="E1588" t="s">
        <v>3824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/>
      <c r="O1588" s="89"/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1</v>
      </c>
      <c r="R1588" s="92" t="s">
        <v>411</v>
      </c>
      <c r="S1588" s="87"/>
    </row>
    <row r="1589" spans="1:19">
      <c r="A1589" s="91" t="s">
        <v>3822</v>
      </c>
      <c r="B1589" s="87" t="str">
        <f>IFERROR(VLOOKUP(Proc[[#This Row],[App]],Table2[],3,0),"open")</f>
        <v>open</v>
      </c>
      <c r="C1589" s="91" t="s">
        <v>370</v>
      </c>
      <c r="D1589" t="s">
        <v>3262</v>
      </c>
      <c r="E1589" t="s">
        <v>3824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/>
      <c r="O1589" s="89"/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1</v>
      </c>
      <c r="R1589" s="92" t="s">
        <v>411</v>
      </c>
      <c r="S1589" s="87"/>
    </row>
    <row r="1590" spans="1:19">
      <c r="A1590" s="91" t="s">
        <v>3822</v>
      </c>
      <c r="B1590" s="87" t="str">
        <f>IFERROR(VLOOKUP(Proc[[#This Row],[App]],Table2[],3,0),"open")</f>
        <v>open</v>
      </c>
      <c r="C1590" s="91" t="s">
        <v>370</v>
      </c>
      <c r="D1590" t="s">
        <v>3263</v>
      </c>
      <c r="E1590" t="s">
        <v>3824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/>
      <c r="O1590" s="89"/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1</v>
      </c>
      <c r="R1590" s="92" t="s">
        <v>411</v>
      </c>
      <c r="S1590" s="87"/>
    </row>
    <row r="1591" spans="1:19">
      <c r="A1591" s="91" t="s">
        <v>3822</v>
      </c>
      <c r="B1591" s="87" t="str">
        <f>IFERROR(VLOOKUP(Proc[[#This Row],[App]],Table2[],3,0),"open")</f>
        <v>open</v>
      </c>
      <c r="C1591" s="91" t="s">
        <v>370</v>
      </c>
      <c r="D1591" t="s">
        <v>3264</v>
      </c>
      <c r="E1591" t="s">
        <v>3825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/>
      <c r="O1591" s="89"/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1</v>
      </c>
      <c r="R1591" s="92" t="s">
        <v>411</v>
      </c>
      <c r="S1591" s="87"/>
    </row>
    <row r="1592" spans="1:19">
      <c r="A1592" s="91" t="s">
        <v>3822</v>
      </c>
      <c r="B1592" s="87" t="str">
        <f>IFERROR(VLOOKUP(Proc[[#This Row],[App]],Table2[],3,0),"open")</f>
        <v>open</v>
      </c>
      <c r="C1592" s="91" t="s">
        <v>370</v>
      </c>
      <c r="D1592" t="s">
        <v>3265</v>
      </c>
      <c r="E1592" t="s">
        <v>3823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/>
      <c r="O1592" s="89"/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1</v>
      </c>
      <c r="R1592" s="92" t="s">
        <v>411</v>
      </c>
      <c r="S1592" s="87"/>
    </row>
    <row r="1593" spans="1:19">
      <c r="A1593" s="91" t="s">
        <v>3822</v>
      </c>
      <c r="B1593" s="87" t="str">
        <f>IFERROR(VLOOKUP(Proc[[#This Row],[App]],Table2[],3,0),"open")</f>
        <v>open</v>
      </c>
      <c r="C1593" s="91" t="s">
        <v>370</v>
      </c>
      <c r="D1593" t="s">
        <v>3266</v>
      </c>
      <c r="E1593" t="s">
        <v>3823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/>
      <c r="O1593" s="89"/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1</v>
      </c>
      <c r="R1593" s="92" t="s">
        <v>411</v>
      </c>
      <c r="S1593" s="87"/>
    </row>
    <row r="1594" spans="1:19">
      <c r="A1594" s="91" t="s">
        <v>3822</v>
      </c>
      <c r="B1594" s="87" t="str">
        <f>IFERROR(VLOOKUP(Proc[[#This Row],[App]],Table2[],3,0),"open")</f>
        <v>open</v>
      </c>
      <c r="C1594" s="91" t="s">
        <v>370</v>
      </c>
      <c r="D1594" t="s">
        <v>3267</v>
      </c>
      <c r="E1594" t="s">
        <v>3826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/>
      <c r="O1594" s="89"/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1</v>
      </c>
      <c r="R1594" s="92" t="s">
        <v>411</v>
      </c>
      <c r="S1594" s="87"/>
    </row>
    <row r="1595" spans="1:19">
      <c r="A1595" s="91" t="s">
        <v>3822</v>
      </c>
      <c r="B1595" s="87" t="str">
        <f>IFERROR(VLOOKUP(Proc[[#This Row],[App]],Table2[],3,0),"open")</f>
        <v>open</v>
      </c>
      <c r="C1595" s="91" t="s">
        <v>370</v>
      </c>
      <c r="D1595" t="s">
        <v>3268</v>
      </c>
      <c r="E1595" t="s">
        <v>3826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/>
      <c r="O1595" s="89"/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1</v>
      </c>
      <c r="R1595" s="92" t="s">
        <v>411</v>
      </c>
      <c r="S1595" s="87"/>
    </row>
    <row r="1596" spans="1:19">
      <c r="A1596" s="91" t="s">
        <v>3822</v>
      </c>
      <c r="B1596" s="87" t="str">
        <f>IFERROR(VLOOKUP(Proc[[#This Row],[App]],Table2[],3,0),"open")</f>
        <v>open</v>
      </c>
      <c r="C1596" s="91" t="s">
        <v>370</v>
      </c>
      <c r="D1596" t="s">
        <v>3269</v>
      </c>
      <c r="E1596" t="s">
        <v>3827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/>
      <c r="O1596" s="89"/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1</v>
      </c>
      <c r="R1596" s="92" t="s">
        <v>411</v>
      </c>
      <c r="S1596" s="87"/>
    </row>
    <row r="1597" spans="1:19">
      <c r="A1597" s="91" t="s">
        <v>3822</v>
      </c>
      <c r="B1597" s="87" t="str">
        <f>IFERROR(VLOOKUP(Proc[[#This Row],[App]],Table2[],3,0),"open")</f>
        <v>open</v>
      </c>
      <c r="C1597" s="91" t="s">
        <v>370</v>
      </c>
      <c r="D1597" t="s">
        <v>3270</v>
      </c>
      <c r="E1597" t="s">
        <v>3827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/>
      <c r="O1597" s="89"/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1</v>
      </c>
      <c r="R1597" s="92" t="s">
        <v>411</v>
      </c>
      <c r="S1597" s="87"/>
    </row>
    <row r="1598" spans="1:19">
      <c r="A1598" s="91" t="s">
        <v>3822</v>
      </c>
      <c r="B1598" s="87" t="str">
        <f>IFERROR(VLOOKUP(Proc[[#This Row],[App]],Table2[],3,0),"open")</f>
        <v>open</v>
      </c>
      <c r="C1598" s="91" t="s">
        <v>370</v>
      </c>
      <c r="D1598" t="s">
        <v>3271</v>
      </c>
      <c r="E1598" t="s">
        <v>3827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/>
      <c r="O1598" s="89"/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1</v>
      </c>
      <c r="R1598" s="92" t="s">
        <v>411</v>
      </c>
      <c r="S1598" s="87"/>
    </row>
    <row r="1599" spans="1:19">
      <c r="A1599" s="91" t="s">
        <v>3822</v>
      </c>
      <c r="B1599" s="87" t="str">
        <f>IFERROR(VLOOKUP(Proc[[#This Row],[App]],Table2[],3,0),"open")</f>
        <v>open</v>
      </c>
      <c r="C1599" s="91" t="s">
        <v>370</v>
      </c>
      <c r="D1599" t="s">
        <v>3272</v>
      </c>
      <c r="E1599" t="s">
        <v>3827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/>
      <c r="O1599" s="89"/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1</v>
      </c>
      <c r="R1599" s="92" t="s">
        <v>411</v>
      </c>
      <c r="S1599" s="87"/>
    </row>
    <row r="1600" spans="1:19">
      <c r="A1600" s="91" t="s">
        <v>3822</v>
      </c>
      <c r="B1600" s="87" t="str">
        <f>IFERROR(VLOOKUP(Proc[[#This Row],[App]],Table2[],3,0),"open")</f>
        <v>open</v>
      </c>
      <c r="C1600" s="91" t="s">
        <v>370</v>
      </c>
      <c r="D1600" t="s">
        <v>3273</v>
      </c>
      <c r="E1600" t="s">
        <v>3824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/>
      <c r="O1600" s="89"/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1</v>
      </c>
      <c r="R1600" s="92" t="s">
        <v>411</v>
      </c>
      <c r="S1600" s="87"/>
    </row>
    <row r="1601" spans="1:19">
      <c r="A1601" s="91" t="s">
        <v>3822</v>
      </c>
      <c r="B1601" s="87" t="str">
        <f>IFERROR(VLOOKUP(Proc[[#This Row],[App]],Table2[],3,0),"open")</f>
        <v>open</v>
      </c>
      <c r="C1601" s="91" t="s">
        <v>370</v>
      </c>
      <c r="D1601" t="s">
        <v>3274</v>
      </c>
      <c r="E1601" t="s">
        <v>3824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/>
      <c r="O1601" s="89"/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1</v>
      </c>
      <c r="R1601" s="92" t="s">
        <v>411</v>
      </c>
      <c r="S1601" s="87"/>
    </row>
    <row r="1602" spans="1:19">
      <c r="A1602" s="91" t="s">
        <v>3822</v>
      </c>
      <c r="B1602" s="87" t="str">
        <f>IFERROR(VLOOKUP(Proc[[#This Row],[App]],Table2[],3,0),"open")</f>
        <v>open</v>
      </c>
      <c r="C1602" s="91" t="s">
        <v>370</v>
      </c>
      <c r="D1602" t="s">
        <v>3275</v>
      </c>
      <c r="E1602" t="s">
        <v>3827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/>
      <c r="O1602" s="89"/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1</v>
      </c>
      <c r="R1602" s="92" t="s">
        <v>411</v>
      </c>
      <c r="S1602" s="87"/>
    </row>
    <row r="1603" spans="1:19">
      <c r="A1603" s="91" t="s">
        <v>3822</v>
      </c>
      <c r="B1603" s="87" t="str">
        <f>IFERROR(VLOOKUP(Proc[[#This Row],[App]],Table2[],3,0),"open")</f>
        <v>open</v>
      </c>
      <c r="C1603" s="91" t="s">
        <v>370</v>
      </c>
      <c r="D1603" t="s">
        <v>3276</v>
      </c>
      <c r="E1603" t="s">
        <v>3827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/>
      <c r="O1603" s="89"/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1</v>
      </c>
      <c r="R1603" s="92" t="s">
        <v>411</v>
      </c>
      <c r="S1603" s="87"/>
    </row>
    <row r="1604" spans="1:19">
      <c r="A1604" s="91" t="s">
        <v>3822</v>
      </c>
      <c r="B1604" s="87" t="str">
        <f>IFERROR(VLOOKUP(Proc[[#This Row],[App]],Table2[],3,0),"open")</f>
        <v>open</v>
      </c>
      <c r="C1604" s="91" t="s">
        <v>370</v>
      </c>
      <c r="D1604" t="s">
        <v>3277</v>
      </c>
      <c r="E1604" t="s">
        <v>3827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/>
      <c r="O1604" s="89"/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1</v>
      </c>
      <c r="R1604" s="92" t="s">
        <v>411</v>
      </c>
      <c r="S1604" s="87"/>
    </row>
    <row r="1605" spans="1:19">
      <c r="A1605" s="91" t="s">
        <v>3822</v>
      </c>
      <c r="B1605" s="87" t="str">
        <f>IFERROR(VLOOKUP(Proc[[#This Row],[App]],Table2[],3,0),"open")</f>
        <v>open</v>
      </c>
      <c r="C1605" s="91" t="s">
        <v>370</v>
      </c>
      <c r="D1605" t="s">
        <v>3278</v>
      </c>
      <c r="E1605" t="s">
        <v>3828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/>
      <c r="O1605" s="89"/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1</v>
      </c>
      <c r="R1605" s="92" t="s">
        <v>411</v>
      </c>
      <c r="S1605" s="87"/>
    </row>
    <row r="1606" spans="1:19">
      <c r="A1606" s="91" t="s">
        <v>3822</v>
      </c>
      <c r="B1606" s="87" t="str">
        <f>IFERROR(VLOOKUP(Proc[[#This Row],[App]],Table2[],3,0),"open")</f>
        <v>open</v>
      </c>
      <c r="C1606" s="91" t="s">
        <v>370</v>
      </c>
      <c r="D1606" t="s">
        <v>3279</v>
      </c>
      <c r="E1606" t="s">
        <v>3828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/>
      <c r="O1606" s="89"/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1</v>
      </c>
      <c r="R1606" s="92" t="s">
        <v>411</v>
      </c>
      <c r="S1606" s="87"/>
    </row>
    <row r="1607" spans="1:19">
      <c r="A1607" s="91" t="s">
        <v>3822</v>
      </c>
      <c r="B1607" s="87" t="str">
        <f>IFERROR(VLOOKUP(Proc[[#This Row],[App]],Table2[],3,0),"open")</f>
        <v>open</v>
      </c>
      <c r="C1607" s="91" t="s">
        <v>370</v>
      </c>
      <c r="D1607" t="s">
        <v>3280</v>
      </c>
      <c r="E1607" t="s">
        <v>3828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/>
      <c r="O1607" s="89"/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1</v>
      </c>
      <c r="R1607" s="92" t="s">
        <v>411</v>
      </c>
      <c r="S1607" s="87"/>
    </row>
    <row r="1608" spans="1:19">
      <c r="A1608" s="91" t="s">
        <v>3822</v>
      </c>
      <c r="B1608" s="87" t="str">
        <f>IFERROR(VLOOKUP(Proc[[#This Row],[App]],Table2[],3,0),"open")</f>
        <v>open</v>
      </c>
      <c r="C1608" s="91" t="s">
        <v>370</v>
      </c>
      <c r="D1608" t="s">
        <v>3281</v>
      </c>
      <c r="E1608" t="s">
        <v>3828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/>
      <c r="O1608" s="89"/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1</v>
      </c>
      <c r="R1608" s="92" t="s">
        <v>411</v>
      </c>
      <c r="S1608" s="87"/>
    </row>
    <row r="1609" spans="1:19">
      <c r="A1609" s="91" t="s">
        <v>3822</v>
      </c>
      <c r="B1609" s="87" t="str">
        <f>IFERROR(VLOOKUP(Proc[[#This Row],[App]],Table2[],3,0),"open")</f>
        <v>open</v>
      </c>
      <c r="C1609" s="91" t="s">
        <v>370</v>
      </c>
      <c r="D1609" t="s">
        <v>3282</v>
      </c>
      <c r="E1609" t="s">
        <v>3828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/>
      <c r="O1609" s="89"/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1</v>
      </c>
      <c r="R1609" s="92" t="s">
        <v>411</v>
      </c>
      <c r="S1609" s="87"/>
    </row>
    <row r="1610" spans="1:19">
      <c r="A1610" s="91" t="s">
        <v>3822</v>
      </c>
      <c r="B1610" s="87" t="str">
        <f>IFERROR(VLOOKUP(Proc[[#This Row],[App]],Table2[],3,0),"open")</f>
        <v>open</v>
      </c>
      <c r="C1610" s="91" t="s">
        <v>370</v>
      </c>
      <c r="D1610" t="s">
        <v>3283</v>
      </c>
      <c r="E1610" t="s">
        <v>3828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/>
      <c r="O1610" s="89"/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1</v>
      </c>
      <c r="R1610" s="92" t="s">
        <v>411</v>
      </c>
      <c r="S1610" s="87"/>
    </row>
    <row r="1611" spans="1:19">
      <c r="A1611" s="91" t="s">
        <v>3822</v>
      </c>
      <c r="B1611" s="87" t="str">
        <f>IFERROR(VLOOKUP(Proc[[#This Row],[App]],Table2[],3,0),"open")</f>
        <v>open</v>
      </c>
      <c r="C1611" s="91" t="s">
        <v>370</v>
      </c>
      <c r="D1611" t="s">
        <v>3284</v>
      </c>
      <c r="E1611" t="s">
        <v>3828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/>
      <c r="O1611" s="89"/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1</v>
      </c>
      <c r="R1611" s="92" t="s">
        <v>411</v>
      </c>
      <c r="S1611" s="87"/>
    </row>
    <row r="1612" spans="1:19">
      <c r="A1612" s="91" t="s">
        <v>3822</v>
      </c>
      <c r="B1612" s="87" t="str">
        <f>IFERROR(VLOOKUP(Proc[[#This Row],[App]],Table2[],3,0),"open")</f>
        <v>open</v>
      </c>
      <c r="C1612" s="91" t="s">
        <v>370</v>
      </c>
      <c r="D1612" t="s">
        <v>3285</v>
      </c>
      <c r="E1612" t="s">
        <v>3828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/>
      <c r="O1612" s="89"/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1</v>
      </c>
      <c r="R1612" s="92" t="s">
        <v>411</v>
      </c>
      <c r="S1612" s="87"/>
    </row>
    <row r="1613" spans="1:19">
      <c r="A1613" s="91" t="s">
        <v>3822</v>
      </c>
      <c r="B1613" s="87" t="str">
        <f>IFERROR(VLOOKUP(Proc[[#This Row],[App]],Table2[],3,0),"open")</f>
        <v>open</v>
      </c>
      <c r="C1613" s="91" t="s">
        <v>370</v>
      </c>
      <c r="D1613" t="s">
        <v>3286</v>
      </c>
      <c r="E1613" t="s">
        <v>3828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/>
      <c r="O1613" s="89"/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1</v>
      </c>
      <c r="R1613" s="92" t="s">
        <v>411</v>
      </c>
      <c r="S1613" s="87"/>
    </row>
    <row r="1614" spans="1:19">
      <c r="A1614" s="91" t="s">
        <v>3822</v>
      </c>
      <c r="B1614" s="87" t="str">
        <f>IFERROR(VLOOKUP(Proc[[#This Row],[App]],Table2[],3,0),"open")</f>
        <v>open</v>
      </c>
      <c r="C1614" s="91" t="s">
        <v>370</v>
      </c>
      <c r="D1614" t="s">
        <v>3287</v>
      </c>
      <c r="E1614" t="s">
        <v>3828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/>
      <c r="O1614" s="89"/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1</v>
      </c>
      <c r="R1614" s="92" t="s">
        <v>411</v>
      </c>
      <c r="S1614" s="87"/>
    </row>
    <row r="1615" spans="1:19">
      <c r="A1615" s="91" t="s">
        <v>3822</v>
      </c>
      <c r="B1615" s="87" t="str">
        <f>IFERROR(VLOOKUP(Proc[[#This Row],[App]],Table2[],3,0),"open")</f>
        <v>open</v>
      </c>
      <c r="C1615" s="91" t="s">
        <v>370</v>
      </c>
      <c r="D1615" t="s">
        <v>3288</v>
      </c>
      <c r="E1615" t="s">
        <v>3828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/>
      <c r="O1615" s="89"/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1</v>
      </c>
      <c r="R1615" s="92" t="s">
        <v>411</v>
      </c>
      <c r="S1615" s="87"/>
    </row>
    <row r="1616" spans="1:19">
      <c r="A1616" s="91" t="s">
        <v>3822</v>
      </c>
      <c r="B1616" s="87" t="str">
        <f>IFERROR(VLOOKUP(Proc[[#This Row],[App]],Table2[],3,0),"open")</f>
        <v>open</v>
      </c>
      <c r="C1616" s="91" t="s">
        <v>370</v>
      </c>
      <c r="D1616" t="s">
        <v>3289</v>
      </c>
      <c r="E1616" t="s">
        <v>3828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/>
      <c r="O1616" s="89"/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1</v>
      </c>
      <c r="R1616" s="92" t="s">
        <v>411</v>
      </c>
      <c r="S1616" s="87"/>
    </row>
    <row r="1617" spans="1:19">
      <c r="A1617" s="91" t="s">
        <v>3822</v>
      </c>
      <c r="B1617" s="87" t="str">
        <f>IFERROR(VLOOKUP(Proc[[#This Row],[App]],Table2[],3,0),"open")</f>
        <v>open</v>
      </c>
      <c r="C1617" s="91" t="s">
        <v>370</v>
      </c>
      <c r="D1617" t="s">
        <v>3290</v>
      </c>
      <c r="E1617" t="s">
        <v>3828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/>
      <c r="O1617" s="89"/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1</v>
      </c>
      <c r="R1617" s="92" t="s">
        <v>411</v>
      </c>
      <c r="S1617" s="87"/>
    </row>
    <row r="1618" spans="1:19">
      <c r="A1618" s="91" t="s">
        <v>3822</v>
      </c>
      <c r="B1618" s="87" t="str">
        <f>IFERROR(VLOOKUP(Proc[[#This Row],[App]],Table2[],3,0),"open")</f>
        <v>open</v>
      </c>
      <c r="C1618" s="91" t="s">
        <v>370</v>
      </c>
      <c r="D1618" t="s">
        <v>3291</v>
      </c>
      <c r="E1618" t="s">
        <v>3828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/>
      <c r="O1618" s="89"/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1</v>
      </c>
      <c r="R1618" s="92" t="s">
        <v>411</v>
      </c>
      <c r="S1618" s="87"/>
    </row>
    <row r="1619" spans="1:19">
      <c r="A1619" s="91" t="s">
        <v>3822</v>
      </c>
      <c r="B1619" s="87" t="str">
        <f>IFERROR(VLOOKUP(Proc[[#This Row],[App]],Table2[],3,0),"open")</f>
        <v>open</v>
      </c>
      <c r="C1619" s="91" t="s">
        <v>370</v>
      </c>
      <c r="D1619" t="s">
        <v>3292</v>
      </c>
      <c r="E1619" t="s">
        <v>3828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/>
      <c r="O1619" s="89"/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1</v>
      </c>
      <c r="R1619" s="92" t="s">
        <v>411</v>
      </c>
      <c r="S1619" s="87"/>
    </row>
    <row r="1620" spans="1:19">
      <c r="A1620" s="91" t="s">
        <v>3822</v>
      </c>
      <c r="B1620" s="87" t="str">
        <f>IFERROR(VLOOKUP(Proc[[#This Row],[App]],Table2[],3,0),"open")</f>
        <v>open</v>
      </c>
      <c r="C1620" s="91" t="s">
        <v>370</v>
      </c>
      <c r="D1620" t="s">
        <v>3293</v>
      </c>
      <c r="E1620" t="s">
        <v>3828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/>
      <c r="O1620" s="89"/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1</v>
      </c>
      <c r="R1620" s="92" t="s">
        <v>411</v>
      </c>
      <c r="S1620" s="87"/>
    </row>
    <row r="1621" spans="1:19">
      <c r="A1621" s="91" t="s">
        <v>3822</v>
      </c>
      <c r="B1621" s="87" t="str">
        <f>IFERROR(VLOOKUP(Proc[[#This Row],[App]],Table2[],3,0),"open")</f>
        <v>open</v>
      </c>
      <c r="C1621" s="91" t="s">
        <v>370</v>
      </c>
      <c r="D1621" t="s">
        <v>3294</v>
      </c>
      <c r="E1621" t="s">
        <v>3828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/>
      <c r="O1621" s="89"/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1</v>
      </c>
      <c r="R1621" s="92" t="s">
        <v>411</v>
      </c>
      <c r="S1621" s="87"/>
    </row>
    <row r="1622" spans="1:19">
      <c r="A1622" s="91" t="s">
        <v>3822</v>
      </c>
      <c r="B1622" s="87" t="str">
        <f>IFERROR(VLOOKUP(Proc[[#This Row],[App]],Table2[],3,0),"open")</f>
        <v>open</v>
      </c>
      <c r="C1622" s="91" t="s">
        <v>370</v>
      </c>
      <c r="D1622" t="s">
        <v>3295</v>
      </c>
      <c r="E1622" t="s">
        <v>3828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/>
      <c r="O1622" s="89"/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1</v>
      </c>
      <c r="R1622" s="92" t="s">
        <v>411</v>
      </c>
      <c r="S1622" s="87"/>
    </row>
    <row r="1623" spans="1:19">
      <c r="A1623" s="91" t="s">
        <v>3822</v>
      </c>
      <c r="B1623" s="87" t="str">
        <f>IFERROR(VLOOKUP(Proc[[#This Row],[App]],Table2[],3,0),"open")</f>
        <v>open</v>
      </c>
      <c r="C1623" s="91" t="s">
        <v>370</v>
      </c>
      <c r="D1623" t="s">
        <v>3296</v>
      </c>
      <c r="E1623" t="s">
        <v>3828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/>
      <c r="O1623" s="89"/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1</v>
      </c>
      <c r="R1623" s="92" t="s">
        <v>411</v>
      </c>
      <c r="S1623" s="87"/>
    </row>
    <row r="1624" spans="1:19">
      <c r="A1624" s="91" t="s">
        <v>3822</v>
      </c>
      <c r="B1624" s="87" t="str">
        <f>IFERROR(VLOOKUP(Proc[[#This Row],[App]],Table2[],3,0),"open")</f>
        <v>open</v>
      </c>
      <c r="C1624" s="91" t="s">
        <v>370</v>
      </c>
      <c r="D1624" t="s">
        <v>3297</v>
      </c>
      <c r="E1624" t="s">
        <v>3828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/>
      <c r="O1624" s="89"/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1</v>
      </c>
      <c r="R1624" s="92" t="s">
        <v>411</v>
      </c>
      <c r="S1624" s="87"/>
    </row>
    <row r="1625" spans="1:19">
      <c r="A1625" s="91" t="s">
        <v>3822</v>
      </c>
      <c r="B1625" s="87" t="str">
        <f>IFERROR(VLOOKUP(Proc[[#This Row],[App]],Table2[],3,0),"open")</f>
        <v>open</v>
      </c>
      <c r="C1625" s="91" t="s">
        <v>370</v>
      </c>
      <c r="D1625" t="s">
        <v>3298</v>
      </c>
      <c r="E1625" t="s">
        <v>3828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/>
      <c r="O1625" s="89"/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1</v>
      </c>
      <c r="R1625" s="92" t="s">
        <v>411</v>
      </c>
      <c r="S1625" s="87"/>
    </row>
    <row r="1626" spans="1:19">
      <c r="A1626" s="91" t="s">
        <v>3822</v>
      </c>
      <c r="B1626" s="87" t="str">
        <f>IFERROR(VLOOKUP(Proc[[#This Row],[App]],Table2[],3,0),"open")</f>
        <v>open</v>
      </c>
      <c r="C1626" s="91" t="s">
        <v>370</v>
      </c>
      <c r="D1626" t="s">
        <v>3299</v>
      </c>
      <c r="E1626" t="s">
        <v>3828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/>
      <c r="O1626" s="89"/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1</v>
      </c>
      <c r="R1626" s="92" t="s">
        <v>411</v>
      </c>
      <c r="S1626" s="87"/>
    </row>
    <row r="1627" spans="1:19">
      <c r="A1627" s="91" t="s">
        <v>3822</v>
      </c>
      <c r="B1627" s="87" t="str">
        <f>IFERROR(VLOOKUP(Proc[[#This Row],[App]],Table2[],3,0),"open")</f>
        <v>open</v>
      </c>
      <c r="C1627" s="91" t="s">
        <v>370</v>
      </c>
      <c r="D1627" t="s">
        <v>3300</v>
      </c>
      <c r="E1627" t="s">
        <v>3828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/>
      <c r="O1627" s="89"/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1</v>
      </c>
      <c r="R1627" s="92" t="s">
        <v>411</v>
      </c>
      <c r="S1627" s="87"/>
    </row>
    <row r="1628" spans="1:19">
      <c r="A1628" s="91" t="s">
        <v>3822</v>
      </c>
      <c r="B1628" s="87" t="str">
        <f>IFERROR(VLOOKUP(Proc[[#This Row],[App]],Table2[],3,0),"open")</f>
        <v>open</v>
      </c>
      <c r="C1628" s="91" t="s">
        <v>370</v>
      </c>
      <c r="D1628" t="s">
        <v>3301</v>
      </c>
      <c r="E1628" t="s">
        <v>3828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/>
      <c r="O1628" s="89"/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1</v>
      </c>
      <c r="R1628" s="92" t="s">
        <v>411</v>
      </c>
      <c r="S1628" s="87"/>
    </row>
    <row r="1629" spans="1:19">
      <c r="A1629" s="91" t="s">
        <v>3822</v>
      </c>
      <c r="B1629" s="87" t="str">
        <f>IFERROR(VLOOKUP(Proc[[#This Row],[App]],Table2[],3,0),"open")</f>
        <v>open</v>
      </c>
      <c r="C1629" s="91" t="s">
        <v>370</v>
      </c>
      <c r="D1629" t="s">
        <v>3302</v>
      </c>
      <c r="E1629" t="s">
        <v>3828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/>
      <c r="O1629" s="89"/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1</v>
      </c>
      <c r="R1629" s="92" t="s">
        <v>411</v>
      </c>
      <c r="S1629" s="87"/>
    </row>
    <row r="1630" spans="1:19">
      <c r="A1630" s="91" t="s">
        <v>3822</v>
      </c>
      <c r="B1630" s="87" t="str">
        <f>IFERROR(VLOOKUP(Proc[[#This Row],[App]],Table2[],3,0),"open")</f>
        <v>open</v>
      </c>
      <c r="C1630" s="91" t="s">
        <v>370</v>
      </c>
      <c r="D1630" t="s">
        <v>3303</v>
      </c>
      <c r="E1630" t="s">
        <v>3828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/>
      <c r="O1630" s="89"/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1</v>
      </c>
      <c r="R1630" s="92" t="s">
        <v>411</v>
      </c>
      <c r="S1630" s="87"/>
    </row>
    <row r="1631" spans="1:19">
      <c r="A1631" s="91" t="s">
        <v>3822</v>
      </c>
      <c r="B1631" s="87" t="str">
        <f>IFERROR(VLOOKUP(Proc[[#This Row],[App]],Table2[],3,0),"open")</f>
        <v>open</v>
      </c>
      <c r="C1631" s="91" t="s">
        <v>370</v>
      </c>
      <c r="D1631" t="s">
        <v>3304</v>
      </c>
      <c r="E1631" t="s">
        <v>3828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/>
      <c r="O1631" s="89"/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1</v>
      </c>
      <c r="R1631" s="92" t="s">
        <v>411</v>
      </c>
      <c r="S1631" s="87"/>
    </row>
    <row r="1632" spans="1:19">
      <c r="A1632" s="91" t="s">
        <v>3822</v>
      </c>
      <c r="B1632" s="87" t="str">
        <f>IFERROR(VLOOKUP(Proc[[#This Row],[App]],Table2[],3,0),"open")</f>
        <v>open</v>
      </c>
      <c r="C1632" s="91" t="s">
        <v>370</v>
      </c>
      <c r="D1632" t="s">
        <v>3305</v>
      </c>
      <c r="E1632" t="s">
        <v>3828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/>
      <c r="O1632" s="89"/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1</v>
      </c>
      <c r="R1632" s="92" t="s">
        <v>411</v>
      </c>
      <c r="S1632" s="87"/>
    </row>
    <row r="1633" spans="1:19">
      <c r="A1633" s="91" t="s">
        <v>3822</v>
      </c>
      <c r="B1633" s="87" t="str">
        <f>IFERROR(VLOOKUP(Proc[[#This Row],[App]],Table2[],3,0),"open")</f>
        <v>open</v>
      </c>
      <c r="C1633" s="91" t="s">
        <v>370</v>
      </c>
      <c r="D1633" t="s">
        <v>3306</v>
      </c>
      <c r="E1633" t="s">
        <v>3828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/>
      <c r="O1633" s="89"/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1</v>
      </c>
      <c r="R1633" s="92" t="s">
        <v>411</v>
      </c>
      <c r="S1633" s="87"/>
    </row>
    <row r="1634" spans="1:19">
      <c r="A1634" s="91" t="s">
        <v>3822</v>
      </c>
      <c r="B1634" s="87" t="str">
        <f>IFERROR(VLOOKUP(Proc[[#This Row],[App]],Table2[],3,0),"open")</f>
        <v>open</v>
      </c>
      <c r="C1634" s="91" t="s">
        <v>370</v>
      </c>
      <c r="D1634" t="s">
        <v>3307</v>
      </c>
      <c r="E1634" t="s">
        <v>3828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/>
      <c r="O1634" s="89"/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1</v>
      </c>
      <c r="R1634" s="92" t="s">
        <v>411</v>
      </c>
      <c r="S1634" s="87"/>
    </row>
    <row r="1635" spans="1:19">
      <c r="A1635" s="91" t="s">
        <v>3822</v>
      </c>
      <c r="B1635" s="87" t="str">
        <f>IFERROR(VLOOKUP(Proc[[#This Row],[App]],Table2[],3,0),"open")</f>
        <v>open</v>
      </c>
      <c r="C1635" s="91" t="s">
        <v>370</v>
      </c>
      <c r="D1635" t="s">
        <v>3308</v>
      </c>
      <c r="E1635" t="s">
        <v>3828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/>
      <c r="O1635" s="89"/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1</v>
      </c>
      <c r="R1635" s="92" t="s">
        <v>411</v>
      </c>
      <c r="S1635" s="87"/>
    </row>
    <row r="1636" spans="1:19">
      <c r="A1636" s="91" t="s">
        <v>3822</v>
      </c>
      <c r="B1636" s="87" t="str">
        <f>IFERROR(VLOOKUP(Proc[[#This Row],[App]],Table2[],3,0),"open")</f>
        <v>open</v>
      </c>
      <c r="C1636" s="91" t="s">
        <v>370</v>
      </c>
      <c r="D1636" t="s">
        <v>3309</v>
      </c>
      <c r="E1636" t="s">
        <v>3828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/>
      <c r="O1636" s="89"/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1</v>
      </c>
      <c r="R1636" s="92" t="s">
        <v>411</v>
      </c>
      <c r="S1636" s="87"/>
    </row>
    <row r="1637" spans="1:19">
      <c r="A1637" s="91" t="s">
        <v>3822</v>
      </c>
      <c r="B1637" s="87" t="str">
        <f>IFERROR(VLOOKUP(Proc[[#This Row],[App]],Table2[],3,0),"open")</f>
        <v>open</v>
      </c>
      <c r="C1637" s="91" t="s">
        <v>370</v>
      </c>
      <c r="D1637" t="s">
        <v>3310</v>
      </c>
      <c r="E1637" t="s">
        <v>3828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/>
      <c r="O1637" s="89"/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1</v>
      </c>
      <c r="R1637" s="92" t="s">
        <v>411</v>
      </c>
      <c r="S1637" s="87"/>
    </row>
    <row r="1638" spans="1:19">
      <c r="A1638" s="91" t="s">
        <v>3822</v>
      </c>
      <c r="B1638" s="87" t="str">
        <f>IFERROR(VLOOKUP(Proc[[#This Row],[App]],Table2[],3,0),"open")</f>
        <v>open</v>
      </c>
      <c r="C1638" s="91" t="s">
        <v>370</v>
      </c>
      <c r="D1638" t="s">
        <v>3311</v>
      </c>
      <c r="E1638" t="s">
        <v>3828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/>
      <c r="O1638" s="89"/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1</v>
      </c>
      <c r="R1638" s="92" t="s">
        <v>411</v>
      </c>
      <c r="S1638" s="87"/>
    </row>
    <row r="1639" spans="1:19">
      <c r="A1639" s="91" t="s">
        <v>3822</v>
      </c>
      <c r="B1639" s="87" t="str">
        <f>IFERROR(VLOOKUP(Proc[[#This Row],[App]],Table2[],3,0),"open")</f>
        <v>open</v>
      </c>
      <c r="C1639" s="91" t="s">
        <v>370</v>
      </c>
      <c r="D1639" t="s">
        <v>3312</v>
      </c>
      <c r="E1639" t="s">
        <v>3828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/>
      <c r="O1639" s="89"/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1</v>
      </c>
      <c r="R1639" s="92" t="s">
        <v>411</v>
      </c>
      <c r="S1639" s="87"/>
    </row>
    <row r="1640" spans="1:19">
      <c r="A1640" s="91" t="s">
        <v>3822</v>
      </c>
      <c r="B1640" s="87" t="str">
        <f>IFERROR(VLOOKUP(Proc[[#This Row],[App]],Table2[],3,0),"open")</f>
        <v>open</v>
      </c>
      <c r="C1640" s="91" t="s">
        <v>370</v>
      </c>
      <c r="D1640" t="s">
        <v>3313</v>
      </c>
      <c r="E1640" t="s">
        <v>3828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/>
      <c r="O1640" s="89"/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1</v>
      </c>
      <c r="R1640" s="92" t="s">
        <v>411</v>
      </c>
      <c r="S1640" s="87"/>
    </row>
    <row r="1641" spans="1:19">
      <c r="A1641" t="s">
        <v>3831</v>
      </c>
      <c r="B1641" s="87" t="str">
        <f>IFERROR(VLOOKUP(Proc[[#This Row],[App]],Table2[],3,0),"open")</f>
        <v>open</v>
      </c>
      <c r="C1641" s="91" t="s">
        <v>370</v>
      </c>
      <c r="D1641" t="s">
        <v>3829</v>
      </c>
      <c r="E1641" t="s">
        <v>2216</v>
      </c>
      <c r="F1641" s="87" t="s">
        <v>3830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/>
      <c r="O1641" s="89"/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1</v>
      </c>
      <c r="R1641" s="92" t="s">
        <v>538</v>
      </c>
      <c r="S1641" s="87"/>
    </row>
    <row r="1642" spans="1:19">
      <c r="A1642" t="s">
        <v>3832</v>
      </c>
      <c r="B1642" s="87" t="str">
        <f>IFERROR(VLOOKUP(Proc[[#This Row],[App]],Table2[],3,0),"open")</f>
        <v>open</v>
      </c>
      <c r="C1642" t="s">
        <v>370</v>
      </c>
      <c r="D1642" t="s">
        <v>3833</v>
      </c>
      <c r="E1642" t="s">
        <v>4002</v>
      </c>
      <c r="F1642" s="87" t="s">
        <v>3942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0</v>
      </c>
      <c r="R1642" s="92" t="s">
        <v>508</v>
      </c>
      <c r="S1642" s="87"/>
    </row>
    <row r="1643" spans="1:19">
      <c r="A1643" s="91" t="s">
        <v>3832</v>
      </c>
      <c r="B1643" s="87" t="str">
        <f>IFERROR(VLOOKUP(Proc[[#This Row],[App]],Table2[],3,0),"open")</f>
        <v>open</v>
      </c>
      <c r="C1643" s="91" t="s">
        <v>370</v>
      </c>
      <c r="D1643" t="s">
        <v>3834</v>
      </c>
      <c r="E1643" t="s">
        <v>4003</v>
      </c>
      <c r="F1643" s="87" t="s">
        <v>3943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0</v>
      </c>
      <c r="R1643" s="92" t="s">
        <v>508</v>
      </c>
      <c r="S1643" s="87"/>
    </row>
    <row r="1644" spans="1:19">
      <c r="A1644" s="91" t="s">
        <v>3832</v>
      </c>
      <c r="B1644" s="87" t="str">
        <f>IFERROR(VLOOKUP(Proc[[#This Row],[App]],Table2[],3,0),"open")</f>
        <v>open</v>
      </c>
      <c r="C1644" s="91" t="s">
        <v>370</v>
      </c>
      <c r="D1644" t="s">
        <v>3835</v>
      </c>
      <c r="E1644" t="s">
        <v>4003</v>
      </c>
      <c r="F1644" s="87" t="s">
        <v>3943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0</v>
      </c>
      <c r="R1644" s="92" t="s">
        <v>508</v>
      </c>
      <c r="S1644" s="87"/>
    </row>
    <row r="1645" spans="1:19">
      <c r="A1645" s="91" t="s">
        <v>3832</v>
      </c>
      <c r="B1645" s="87" t="str">
        <f>IFERROR(VLOOKUP(Proc[[#This Row],[App]],Table2[],3,0),"open")</f>
        <v>open</v>
      </c>
      <c r="C1645" s="91" t="s">
        <v>370</v>
      </c>
      <c r="D1645" t="s">
        <v>3836</v>
      </c>
      <c r="E1645" t="s">
        <v>4004</v>
      </c>
      <c r="F1645" s="87" t="s">
        <v>3944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0</v>
      </c>
      <c r="R1645" s="92" t="s">
        <v>508</v>
      </c>
      <c r="S1645" s="87"/>
    </row>
    <row r="1646" spans="1:19">
      <c r="A1646" s="91" t="s">
        <v>3832</v>
      </c>
      <c r="B1646" s="87" t="str">
        <f>IFERROR(VLOOKUP(Proc[[#This Row],[App]],Table2[],3,0),"open")</f>
        <v>open</v>
      </c>
      <c r="C1646" s="91" t="s">
        <v>370</v>
      </c>
      <c r="D1646" t="s">
        <v>3837</v>
      </c>
      <c r="E1646" t="s">
        <v>4005</v>
      </c>
      <c r="F1646" s="87" t="s">
        <v>3945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0</v>
      </c>
      <c r="R1646" s="92" t="s">
        <v>508</v>
      </c>
      <c r="S1646" s="87"/>
    </row>
    <row r="1647" spans="1:19">
      <c r="A1647" s="91" t="s">
        <v>3832</v>
      </c>
      <c r="B1647" s="87" t="str">
        <f>IFERROR(VLOOKUP(Proc[[#This Row],[App]],Table2[],3,0),"open")</f>
        <v>open</v>
      </c>
      <c r="C1647" s="91" t="s">
        <v>370</v>
      </c>
      <c r="D1647" t="s">
        <v>3838</v>
      </c>
      <c r="E1647" t="s">
        <v>4005</v>
      </c>
      <c r="F1647" s="87" t="s">
        <v>3945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0</v>
      </c>
      <c r="R1647" s="92" t="s">
        <v>508</v>
      </c>
      <c r="S1647" s="87"/>
    </row>
    <row r="1648" spans="1:19">
      <c r="A1648" s="91" t="s">
        <v>3832</v>
      </c>
      <c r="B1648" s="87" t="str">
        <f>IFERROR(VLOOKUP(Proc[[#This Row],[App]],Table2[],3,0),"open")</f>
        <v>open</v>
      </c>
      <c r="C1648" s="91" t="s">
        <v>370</v>
      </c>
      <c r="D1648" t="s">
        <v>3839</v>
      </c>
      <c r="E1648" t="s">
        <v>4005</v>
      </c>
      <c r="F1648" s="87" t="s">
        <v>3946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0</v>
      </c>
      <c r="R1648" s="92" t="s">
        <v>508</v>
      </c>
      <c r="S1648" s="87"/>
    </row>
    <row r="1649" spans="1:19">
      <c r="A1649" s="91" t="s">
        <v>3832</v>
      </c>
      <c r="B1649" s="87" t="str">
        <f>IFERROR(VLOOKUP(Proc[[#This Row],[App]],Table2[],3,0),"open")</f>
        <v>open</v>
      </c>
      <c r="C1649" s="91" t="s">
        <v>370</v>
      </c>
      <c r="D1649" t="s">
        <v>3840</v>
      </c>
      <c r="E1649" t="s">
        <v>4006</v>
      </c>
      <c r="F1649" s="87" t="s">
        <v>3947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0</v>
      </c>
      <c r="R1649" s="92" t="s">
        <v>508</v>
      </c>
      <c r="S1649" s="87"/>
    </row>
    <row r="1650" spans="1:19">
      <c r="A1650" s="91" t="s">
        <v>3832</v>
      </c>
      <c r="B1650" s="87" t="str">
        <f>IFERROR(VLOOKUP(Proc[[#This Row],[App]],Table2[],3,0),"open")</f>
        <v>open</v>
      </c>
      <c r="C1650" s="91" t="s">
        <v>370</v>
      </c>
      <c r="D1650" t="s">
        <v>3841</v>
      </c>
      <c r="E1650" t="s">
        <v>4003</v>
      </c>
      <c r="F1650" s="87" t="s">
        <v>3943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0</v>
      </c>
      <c r="R1650" s="92" t="s">
        <v>508</v>
      </c>
      <c r="S1650" s="87"/>
    </row>
    <row r="1651" spans="1:19">
      <c r="A1651" s="91" t="s">
        <v>3832</v>
      </c>
      <c r="B1651" s="87" t="str">
        <f>IFERROR(VLOOKUP(Proc[[#This Row],[App]],Table2[],3,0),"open")</f>
        <v>open</v>
      </c>
      <c r="C1651" s="91" t="s">
        <v>370</v>
      </c>
      <c r="D1651" t="s">
        <v>3842</v>
      </c>
      <c r="E1651" t="s">
        <v>4007</v>
      </c>
      <c r="F1651" s="87" t="s">
        <v>3943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0</v>
      </c>
      <c r="R1651" s="92" t="s">
        <v>508</v>
      </c>
      <c r="S1651" s="87"/>
    </row>
    <row r="1652" spans="1:19">
      <c r="A1652" s="91" t="s">
        <v>3832</v>
      </c>
      <c r="B1652" s="87" t="str">
        <f>IFERROR(VLOOKUP(Proc[[#This Row],[App]],Table2[],3,0),"open")</f>
        <v>open</v>
      </c>
      <c r="C1652" s="91" t="s">
        <v>370</v>
      </c>
      <c r="D1652" t="s">
        <v>3843</v>
      </c>
      <c r="E1652" t="s">
        <v>4008</v>
      </c>
      <c r="F1652" s="87" t="s">
        <v>3948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0</v>
      </c>
      <c r="R1652" s="92" t="s">
        <v>508</v>
      </c>
      <c r="S1652" s="87"/>
    </row>
    <row r="1653" spans="1:19">
      <c r="A1653" s="91" t="s">
        <v>3832</v>
      </c>
      <c r="B1653" s="87" t="str">
        <f>IFERROR(VLOOKUP(Proc[[#This Row],[App]],Table2[],3,0),"open")</f>
        <v>open</v>
      </c>
      <c r="C1653" s="91" t="s">
        <v>370</v>
      </c>
      <c r="D1653" t="s">
        <v>3844</v>
      </c>
      <c r="E1653" t="s">
        <v>4008</v>
      </c>
      <c r="F1653" s="87" t="s">
        <v>3948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0</v>
      </c>
      <c r="R1653" s="92" t="s">
        <v>508</v>
      </c>
      <c r="S1653" s="87"/>
    </row>
    <row r="1654" spans="1:19">
      <c r="A1654" s="91" t="s">
        <v>3832</v>
      </c>
      <c r="B1654" s="87" t="str">
        <f>IFERROR(VLOOKUP(Proc[[#This Row],[App]],Table2[],3,0),"open")</f>
        <v>open</v>
      </c>
      <c r="C1654" s="91" t="s">
        <v>370</v>
      </c>
      <c r="D1654" t="s">
        <v>3845</v>
      </c>
      <c r="E1654" t="s">
        <v>4009</v>
      </c>
      <c r="F1654" s="87" t="s">
        <v>3949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0</v>
      </c>
      <c r="R1654" s="92" t="s">
        <v>508</v>
      </c>
      <c r="S1654" s="87"/>
    </row>
    <row r="1655" spans="1:19">
      <c r="A1655" s="91" t="s">
        <v>3832</v>
      </c>
      <c r="B1655" s="87" t="str">
        <f>IFERROR(VLOOKUP(Proc[[#This Row],[App]],Table2[],3,0),"open")</f>
        <v>open</v>
      </c>
      <c r="C1655" s="91" t="s">
        <v>370</v>
      </c>
      <c r="D1655" t="s">
        <v>3846</v>
      </c>
      <c r="E1655" t="s">
        <v>4003</v>
      </c>
      <c r="F1655" s="87" t="s">
        <v>3943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0</v>
      </c>
      <c r="R1655" s="92" t="s">
        <v>508</v>
      </c>
      <c r="S1655" s="87"/>
    </row>
    <row r="1656" spans="1:19">
      <c r="A1656" s="91" t="s">
        <v>3832</v>
      </c>
      <c r="B1656" s="87" t="str">
        <f>IFERROR(VLOOKUP(Proc[[#This Row],[App]],Table2[],3,0),"open")</f>
        <v>open</v>
      </c>
      <c r="C1656" s="91" t="s">
        <v>370</v>
      </c>
      <c r="D1656" t="s">
        <v>3847</v>
      </c>
      <c r="E1656" t="s">
        <v>4010</v>
      </c>
      <c r="F1656" s="87" t="s">
        <v>3950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0</v>
      </c>
      <c r="R1656" s="92" t="s">
        <v>508</v>
      </c>
      <c r="S1656" s="87"/>
    </row>
    <row r="1657" spans="1:19">
      <c r="A1657" s="91" t="s">
        <v>3832</v>
      </c>
      <c r="B1657" s="87" t="str">
        <f>IFERROR(VLOOKUP(Proc[[#This Row],[App]],Table2[],3,0),"open")</f>
        <v>open</v>
      </c>
      <c r="C1657" s="91" t="s">
        <v>370</v>
      </c>
      <c r="D1657" t="s">
        <v>3848</v>
      </c>
      <c r="E1657" t="s">
        <v>4003</v>
      </c>
      <c r="F1657" s="87" t="s">
        <v>3943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0</v>
      </c>
      <c r="R1657" s="92" t="s">
        <v>508</v>
      </c>
      <c r="S1657" s="87"/>
    </row>
    <row r="1658" spans="1:19">
      <c r="A1658" s="91" t="s">
        <v>3832</v>
      </c>
      <c r="B1658" s="87" t="str">
        <f>IFERROR(VLOOKUP(Proc[[#This Row],[App]],Table2[],3,0),"open")</f>
        <v>open</v>
      </c>
      <c r="C1658" s="91" t="s">
        <v>370</v>
      </c>
      <c r="D1658" t="s">
        <v>3849</v>
      </c>
      <c r="E1658" t="s">
        <v>4003</v>
      </c>
      <c r="F1658" s="87" t="s">
        <v>3943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0</v>
      </c>
      <c r="R1658" s="92" t="s">
        <v>508</v>
      </c>
      <c r="S1658" s="87"/>
    </row>
    <row r="1659" spans="1:19">
      <c r="A1659" s="91" t="s">
        <v>3832</v>
      </c>
      <c r="B1659" s="87" t="str">
        <f>IFERROR(VLOOKUP(Proc[[#This Row],[App]],Table2[],3,0),"open")</f>
        <v>open</v>
      </c>
      <c r="C1659" s="91" t="s">
        <v>370</v>
      </c>
      <c r="D1659" t="s">
        <v>3850</v>
      </c>
      <c r="E1659" t="s">
        <v>4011</v>
      </c>
      <c r="F1659" s="87" t="s">
        <v>3951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0</v>
      </c>
      <c r="R1659" s="92" t="s">
        <v>508</v>
      </c>
      <c r="S1659" s="87"/>
    </row>
    <row r="1660" spans="1:19">
      <c r="A1660" s="91" t="s">
        <v>3832</v>
      </c>
      <c r="B1660" s="87" t="str">
        <f>IFERROR(VLOOKUP(Proc[[#This Row],[App]],Table2[],3,0),"open")</f>
        <v>open</v>
      </c>
      <c r="C1660" s="91" t="s">
        <v>370</v>
      </c>
      <c r="D1660" t="s">
        <v>3851</v>
      </c>
      <c r="E1660" t="s">
        <v>4012</v>
      </c>
      <c r="F1660" s="87" t="s">
        <v>3952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0</v>
      </c>
      <c r="R1660" s="92" t="s">
        <v>508</v>
      </c>
      <c r="S1660" s="87"/>
    </row>
    <row r="1661" spans="1:19">
      <c r="A1661" s="91" t="s">
        <v>3832</v>
      </c>
      <c r="B1661" s="87" t="str">
        <f>IFERROR(VLOOKUP(Proc[[#This Row],[App]],Table2[],3,0),"open")</f>
        <v>open</v>
      </c>
      <c r="C1661" s="91" t="s">
        <v>370</v>
      </c>
      <c r="D1661" t="s">
        <v>3852</v>
      </c>
      <c r="E1661" t="s">
        <v>4003</v>
      </c>
      <c r="F1661" s="87" t="s">
        <v>3943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0</v>
      </c>
      <c r="R1661" s="92" t="s">
        <v>508</v>
      </c>
      <c r="S1661" s="87"/>
    </row>
    <row r="1662" spans="1:19">
      <c r="A1662" s="91" t="s">
        <v>3832</v>
      </c>
      <c r="B1662" s="87" t="str">
        <f>IFERROR(VLOOKUP(Proc[[#This Row],[App]],Table2[],3,0),"open")</f>
        <v>open</v>
      </c>
      <c r="C1662" s="91" t="s">
        <v>370</v>
      </c>
      <c r="D1662" t="s">
        <v>3853</v>
      </c>
      <c r="E1662" t="s">
        <v>4003</v>
      </c>
      <c r="F1662" s="87" t="s">
        <v>3943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0</v>
      </c>
      <c r="R1662" s="92" t="s">
        <v>508</v>
      </c>
      <c r="S1662" s="87"/>
    </row>
    <row r="1663" spans="1:19">
      <c r="A1663" s="91" t="s">
        <v>3832</v>
      </c>
      <c r="B1663" s="87" t="str">
        <f>IFERROR(VLOOKUP(Proc[[#This Row],[App]],Table2[],3,0),"open")</f>
        <v>open</v>
      </c>
      <c r="C1663" s="91" t="s">
        <v>370</v>
      </c>
      <c r="D1663" t="s">
        <v>3854</v>
      </c>
      <c r="E1663" t="s">
        <v>4003</v>
      </c>
      <c r="F1663" s="87" t="s">
        <v>3943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0</v>
      </c>
      <c r="R1663" s="92" t="s">
        <v>508</v>
      </c>
      <c r="S1663" s="87"/>
    </row>
    <row r="1664" spans="1:19">
      <c r="A1664" s="91" t="s">
        <v>3832</v>
      </c>
      <c r="B1664" s="87" t="str">
        <f>IFERROR(VLOOKUP(Proc[[#This Row],[App]],Table2[],3,0),"open")</f>
        <v>open</v>
      </c>
      <c r="C1664" s="91" t="s">
        <v>370</v>
      </c>
      <c r="D1664" t="s">
        <v>3855</v>
      </c>
      <c r="E1664" t="s">
        <v>4013</v>
      </c>
      <c r="F1664" s="87" t="s">
        <v>3953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0</v>
      </c>
      <c r="R1664" s="92" t="s">
        <v>508</v>
      </c>
      <c r="S1664" s="87"/>
    </row>
    <row r="1665" spans="1:19">
      <c r="A1665" s="91" t="s">
        <v>3832</v>
      </c>
      <c r="B1665" s="87" t="str">
        <f>IFERROR(VLOOKUP(Proc[[#This Row],[App]],Table2[],3,0),"open")</f>
        <v>open</v>
      </c>
      <c r="C1665" s="91" t="s">
        <v>370</v>
      </c>
      <c r="D1665" t="s">
        <v>3856</v>
      </c>
      <c r="E1665" t="s">
        <v>4003</v>
      </c>
      <c r="F1665" s="87" t="s">
        <v>3943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0</v>
      </c>
      <c r="R1665" s="92" t="s">
        <v>508</v>
      </c>
      <c r="S1665" s="87"/>
    </row>
    <row r="1666" spans="1:19">
      <c r="A1666" s="91" t="s">
        <v>3832</v>
      </c>
      <c r="B1666" s="87" t="str">
        <f>IFERROR(VLOOKUP(Proc[[#This Row],[App]],Table2[],3,0),"open")</f>
        <v>open</v>
      </c>
      <c r="C1666" s="91" t="s">
        <v>370</v>
      </c>
      <c r="D1666" t="s">
        <v>3857</v>
      </c>
      <c r="E1666" t="s">
        <v>4014</v>
      </c>
      <c r="F1666" s="87" t="s">
        <v>3954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0</v>
      </c>
      <c r="R1666" s="92" t="s">
        <v>508</v>
      </c>
      <c r="S1666" s="87"/>
    </row>
    <row r="1667" spans="1:19">
      <c r="A1667" s="91" t="s">
        <v>3832</v>
      </c>
      <c r="B1667" s="87" t="str">
        <f>IFERROR(VLOOKUP(Proc[[#This Row],[App]],Table2[],3,0),"open")</f>
        <v>open</v>
      </c>
      <c r="C1667" s="91" t="s">
        <v>369</v>
      </c>
      <c r="D1667" t="s">
        <v>3587</v>
      </c>
      <c r="E1667" t="s">
        <v>1585</v>
      </c>
      <c r="F1667" s="87" t="s">
        <v>3955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/>
      <c r="O1667" s="89"/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0</v>
      </c>
      <c r="R1667" s="92" t="s">
        <v>508</v>
      </c>
      <c r="S1667" s="87"/>
    </row>
    <row r="1668" spans="1:19">
      <c r="A1668" s="91" t="s">
        <v>3832</v>
      </c>
      <c r="B1668" s="87" t="str">
        <f>IFERROR(VLOOKUP(Proc[[#This Row],[App]],Table2[],3,0),"open")</f>
        <v>open</v>
      </c>
      <c r="C1668" s="91" t="s">
        <v>375</v>
      </c>
      <c r="D1668" t="s">
        <v>3858</v>
      </c>
      <c r="E1668" t="s">
        <v>2613</v>
      </c>
      <c r="F1668" s="87" t="s">
        <v>3956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4049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/>
      <c r="O1668" s="89"/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0</v>
      </c>
      <c r="R1668" s="92" t="s">
        <v>508</v>
      </c>
      <c r="S1668" s="87"/>
    </row>
    <row r="1669" spans="1:19">
      <c r="A1669" s="91" t="s">
        <v>3832</v>
      </c>
      <c r="B1669" s="87" t="str">
        <f>IFERROR(VLOOKUP(Proc[[#This Row],[App]],Table2[],3,0),"open")</f>
        <v>open</v>
      </c>
      <c r="C1669" s="91" t="s">
        <v>375</v>
      </c>
      <c r="D1669" t="s">
        <v>3859</v>
      </c>
      <c r="E1669" t="s">
        <v>4013</v>
      </c>
      <c r="F1669" s="87" t="s">
        <v>3957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4049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/>
      <c r="O1669" s="89"/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0</v>
      </c>
      <c r="R1669" s="92" t="s">
        <v>508</v>
      </c>
      <c r="S1669" s="87"/>
    </row>
    <row r="1670" spans="1:19">
      <c r="A1670" s="91" t="s">
        <v>3832</v>
      </c>
      <c r="B1670" s="87" t="str">
        <f>IFERROR(VLOOKUP(Proc[[#This Row],[App]],Table2[],3,0),"open")</f>
        <v>open</v>
      </c>
      <c r="C1670" s="91" t="s">
        <v>375</v>
      </c>
      <c r="D1670" t="s">
        <v>3860</v>
      </c>
      <c r="E1670" t="s">
        <v>4015</v>
      </c>
      <c r="F1670" s="87" t="s">
        <v>3958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4049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/>
      <c r="O1670" s="89"/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0</v>
      </c>
      <c r="R1670" s="92" t="s">
        <v>508</v>
      </c>
      <c r="S1670" s="87"/>
    </row>
    <row r="1671" spans="1:19">
      <c r="A1671" s="91" t="s">
        <v>3832</v>
      </c>
      <c r="B1671" s="87" t="str">
        <f>IFERROR(VLOOKUP(Proc[[#This Row],[App]],Table2[],3,0),"open")</f>
        <v>open</v>
      </c>
      <c r="C1671" s="91" t="s">
        <v>375</v>
      </c>
      <c r="D1671" t="s">
        <v>3861</v>
      </c>
      <c r="E1671" t="s">
        <v>4016</v>
      </c>
      <c r="F1671" s="87" t="s">
        <v>3948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4049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/>
      <c r="O1671" s="89"/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0</v>
      </c>
      <c r="R1671" s="92" t="s">
        <v>508</v>
      </c>
      <c r="S1671" s="87"/>
    </row>
    <row r="1672" spans="1:19">
      <c r="A1672" s="91" t="s">
        <v>3832</v>
      </c>
      <c r="B1672" s="87" t="str">
        <f>IFERROR(VLOOKUP(Proc[[#This Row],[App]],Table2[],3,0),"open")</f>
        <v>open</v>
      </c>
      <c r="C1672" s="91" t="s">
        <v>375</v>
      </c>
      <c r="D1672" t="s">
        <v>3862</v>
      </c>
      <c r="E1672" t="s">
        <v>4017</v>
      </c>
      <c r="F1672" s="87" t="s">
        <v>3959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4049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/>
      <c r="O1672" s="89"/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0</v>
      </c>
      <c r="R1672" s="92" t="s">
        <v>508</v>
      </c>
      <c r="S1672" s="87"/>
    </row>
    <row r="1673" spans="1:19">
      <c r="A1673" s="91" t="s">
        <v>3832</v>
      </c>
      <c r="B1673" s="87" t="str">
        <f>IFERROR(VLOOKUP(Proc[[#This Row],[App]],Table2[],3,0),"open")</f>
        <v>open</v>
      </c>
      <c r="C1673" s="91" t="s">
        <v>375</v>
      </c>
      <c r="D1673" t="s">
        <v>3863</v>
      </c>
      <c r="E1673" t="s">
        <v>4004</v>
      </c>
      <c r="F1673" s="87" t="s">
        <v>3949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4049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/>
      <c r="O1673" s="89"/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0</v>
      </c>
      <c r="R1673" s="92" t="s">
        <v>508</v>
      </c>
      <c r="S1673" s="87"/>
    </row>
    <row r="1674" spans="1:19">
      <c r="A1674" s="91" t="s">
        <v>3832</v>
      </c>
      <c r="B1674" s="87" t="str">
        <f>IFERROR(VLOOKUP(Proc[[#This Row],[App]],Table2[],3,0),"open")</f>
        <v>open</v>
      </c>
      <c r="C1674" s="91" t="s">
        <v>375</v>
      </c>
      <c r="D1674" t="s">
        <v>3864</v>
      </c>
      <c r="E1674" t="s">
        <v>4018</v>
      </c>
      <c r="F1674" s="87" t="s">
        <v>3944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4049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/>
      <c r="O1674" s="89"/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0</v>
      </c>
      <c r="R1674" s="92" t="s">
        <v>508</v>
      </c>
      <c r="S1674" s="87"/>
    </row>
    <row r="1675" spans="1:19">
      <c r="A1675" s="91" t="s">
        <v>3832</v>
      </c>
      <c r="B1675" s="87" t="str">
        <f>IFERROR(VLOOKUP(Proc[[#This Row],[App]],Table2[],3,0),"open")</f>
        <v>open</v>
      </c>
      <c r="C1675" s="91" t="s">
        <v>375</v>
      </c>
      <c r="D1675" t="s">
        <v>3865</v>
      </c>
      <c r="E1675" t="s">
        <v>4019</v>
      </c>
      <c r="F1675" s="87" t="s">
        <v>3960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4049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/>
      <c r="O1675" s="89"/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0</v>
      </c>
      <c r="R1675" s="92" t="s">
        <v>508</v>
      </c>
      <c r="S1675" s="87"/>
    </row>
    <row r="1676" spans="1:19">
      <c r="A1676" s="91" t="s">
        <v>3832</v>
      </c>
      <c r="B1676" s="87" t="str">
        <f>IFERROR(VLOOKUP(Proc[[#This Row],[App]],Table2[],3,0),"open")</f>
        <v>open</v>
      </c>
      <c r="C1676" s="91" t="s">
        <v>375</v>
      </c>
      <c r="D1676" t="s">
        <v>3866</v>
      </c>
      <c r="E1676" t="s">
        <v>4020</v>
      </c>
      <c r="F1676" s="87" t="s">
        <v>3961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4049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/>
      <c r="O1676" s="89"/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0</v>
      </c>
      <c r="R1676" s="92" t="s">
        <v>508</v>
      </c>
      <c r="S1676" s="87"/>
    </row>
    <row r="1677" spans="1:19">
      <c r="A1677" s="91" t="s">
        <v>3832</v>
      </c>
      <c r="B1677" s="87" t="str">
        <f>IFERROR(VLOOKUP(Proc[[#This Row],[App]],Table2[],3,0),"open")</f>
        <v>open</v>
      </c>
      <c r="C1677" s="91" t="s">
        <v>375</v>
      </c>
      <c r="D1677" t="s">
        <v>3867</v>
      </c>
      <c r="E1677" t="s">
        <v>4014</v>
      </c>
      <c r="F1677" s="87" t="s">
        <v>3954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4049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/>
      <c r="O1677" s="89"/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0</v>
      </c>
      <c r="R1677" s="92" t="s">
        <v>508</v>
      </c>
      <c r="S1677" s="87"/>
    </row>
    <row r="1678" spans="1:19">
      <c r="A1678" s="91" t="s">
        <v>3832</v>
      </c>
      <c r="B1678" s="87" t="str">
        <f>IFERROR(VLOOKUP(Proc[[#This Row],[App]],Table2[],3,0),"open")</f>
        <v>open</v>
      </c>
      <c r="C1678" s="91" t="s">
        <v>375</v>
      </c>
      <c r="D1678" t="s">
        <v>3868</v>
      </c>
      <c r="E1678" t="s">
        <v>4019</v>
      </c>
      <c r="F1678" s="87" t="s">
        <v>3960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4049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/>
      <c r="O1678" s="89"/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0</v>
      </c>
      <c r="R1678" s="92" t="s">
        <v>508</v>
      </c>
      <c r="S1678" s="87"/>
    </row>
    <row r="1679" spans="1:19">
      <c r="A1679" s="91" t="s">
        <v>3832</v>
      </c>
      <c r="B1679" s="87" t="str">
        <f>IFERROR(VLOOKUP(Proc[[#This Row],[App]],Table2[],3,0),"open")</f>
        <v>open</v>
      </c>
      <c r="C1679" s="91" t="s">
        <v>375</v>
      </c>
      <c r="D1679" t="s">
        <v>3869</v>
      </c>
      <c r="E1679" t="s">
        <v>4019</v>
      </c>
      <c r="F1679" s="87" t="s">
        <v>3962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4049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/>
      <c r="O1679" s="89"/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0</v>
      </c>
      <c r="R1679" s="92" t="s">
        <v>508</v>
      </c>
      <c r="S1679" s="87"/>
    </row>
    <row r="1680" spans="1:19">
      <c r="A1680" s="91" t="s">
        <v>3832</v>
      </c>
      <c r="B1680" s="87" t="str">
        <f>IFERROR(VLOOKUP(Proc[[#This Row],[App]],Table2[],3,0),"open")</f>
        <v>open</v>
      </c>
      <c r="C1680" s="91" t="s">
        <v>375</v>
      </c>
      <c r="D1680" t="s">
        <v>3870</v>
      </c>
      <c r="E1680" t="s">
        <v>4014</v>
      </c>
      <c r="F1680" s="87" t="s">
        <v>3954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4049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/>
      <c r="O1680" s="89"/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0</v>
      </c>
      <c r="R1680" s="92" t="s">
        <v>508</v>
      </c>
      <c r="S1680" s="87"/>
    </row>
    <row r="1681" spans="1:19">
      <c r="A1681" s="91" t="s">
        <v>3832</v>
      </c>
      <c r="B1681" s="87" t="str">
        <f>IFERROR(VLOOKUP(Proc[[#This Row],[App]],Table2[],3,0),"open")</f>
        <v>open</v>
      </c>
      <c r="C1681" s="91" t="s">
        <v>375</v>
      </c>
      <c r="D1681" t="s">
        <v>3871</v>
      </c>
      <c r="E1681" t="s">
        <v>4019</v>
      </c>
      <c r="F1681" s="87" t="s">
        <v>3960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4049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/>
      <c r="O1681" s="89"/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0</v>
      </c>
      <c r="R1681" s="92" t="s">
        <v>508</v>
      </c>
      <c r="S1681" s="87"/>
    </row>
    <row r="1682" spans="1:19">
      <c r="A1682" s="91" t="s">
        <v>3832</v>
      </c>
      <c r="B1682" s="87" t="str">
        <f>IFERROR(VLOOKUP(Proc[[#This Row],[App]],Table2[],3,0),"open")</f>
        <v>open</v>
      </c>
      <c r="C1682" s="91" t="s">
        <v>375</v>
      </c>
      <c r="D1682" t="s">
        <v>3872</v>
      </c>
      <c r="E1682" t="s">
        <v>4016</v>
      </c>
      <c r="F1682" s="87" t="s">
        <v>3963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4049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/>
      <c r="O1682" s="89"/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0</v>
      </c>
      <c r="R1682" s="92" t="s">
        <v>508</v>
      </c>
      <c r="S1682" s="87"/>
    </row>
    <row r="1683" spans="1:19">
      <c r="A1683" s="91" t="s">
        <v>3832</v>
      </c>
      <c r="B1683" s="87" t="str">
        <f>IFERROR(VLOOKUP(Proc[[#This Row],[App]],Table2[],3,0),"open")</f>
        <v>open</v>
      </c>
      <c r="C1683" s="91" t="s">
        <v>375</v>
      </c>
      <c r="D1683" t="s">
        <v>3873</v>
      </c>
      <c r="E1683" t="s">
        <v>4015</v>
      </c>
      <c r="F1683" s="87" t="s">
        <v>3964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4049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/>
      <c r="O1683" s="89"/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0</v>
      </c>
      <c r="R1683" s="92" t="s">
        <v>508</v>
      </c>
      <c r="S1683" s="87"/>
    </row>
    <row r="1684" spans="1:19">
      <c r="A1684" s="91" t="s">
        <v>3832</v>
      </c>
      <c r="B1684" s="87" t="str">
        <f>IFERROR(VLOOKUP(Proc[[#This Row],[App]],Table2[],3,0),"open")</f>
        <v>open</v>
      </c>
      <c r="C1684" s="91" t="s">
        <v>375</v>
      </c>
      <c r="D1684" t="s">
        <v>3874</v>
      </c>
      <c r="E1684" t="s">
        <v>4021</v>
      </c>
      <c r="F1684" s="87" t="s">
        <v>3965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4049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/>
      <c r="O1684" s="89"/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0</v>
      </c>
      <c r="R1684" s="92" t="s">
        <v>508</v>
      </c>
      <c r="S1684" s="87"/>
    </row>
    <row r="1685" spans="1:19">
      <c r="A1685" s="91" t="s">
        <v>3832</v>
      </c>
      <c r="B1685" s="87" t="str">
        <f>IFERROR(VLOOKUP(Proc[[#This Row],[App]],Table2[],3,0),"open")</f>
        <v>open</v>
      </c>
      <c r="C1685" s="91" t="s">
        <v>375</v>
      </c>
      <c r="D1685" t="s">
        <v>3875</v>
      </c>
      <c r="E1685" t="s">
        <v>4007</v>
      </c>
      <c r="F1685" s="87" t="s">
        <v>3943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4049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/>
      <c r="O1685" s="89"/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0</v>
      </c>
      <c r="R1685" s="92" t="s">
        <v>508</v>
      </c>
      <c r="S1685" s="87"/>
    </row>
    <row r="1686" spans="1:19">
      <c r="A1686" s="91" t="s">
        <v>3832</v>
      </c>
      <c r="B1686" s="87" t="str">
        <f>IFERROR(VLOOKUP(Proc[[#This Row],[App]],Table2[],3,0),"open")</f>
        <v>open</v>
      </c>
      <c r="C1686" s="91" t="s">
        <v>375</v>
      </c>
      <c r="D1686" t="s">
        <v>3876</v>
      </c>
      <c r="E1686" t="s">
        <v>4022</v>
      </c>
      <c r="F1686" s="87" t="s">
        <v>3963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4049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/>
      <c r="O1686" s="89"/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0</v>
      </c>
      <c r="R1686" s="92" t="s">
        <v>508</v>
      </c>
      <c r="S1686" s="87"/>
    </row>
    <row r="1687" spans="1:19">
      <c r="A1687" s="91" t="s">
        <v>3832</v>
      </c>
      <c r="B1687" s="87" t="str">
        <f>IFERROR(VLOOKUP(Proc[[#This Row],[App]],Table2[],3,0),"open")</f>
        <v>open</v>
      </c>
      <c r="C1687" s="91" t="s">
        <v>375</v>
      </c>
      <c r="D1687" t="s">
        <v>3877</v>
      </c>
      <c r="E1687" t="s">
        <v>4004</v>
      </c>
      <c r="F1687" s="87" t="s">
        <v>3950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4049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/>
      <c r="O1687" s="89"/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0</v>
      </c>
      <c r="R1687" s="92" t="s">
        <v>508</v>
      </c>
      <c r="S1687" s="87"/>
    </row>
    <row r="1688" spans="1:19">
      <c r="A1688" s="91" t="s">
        <v>3832</v>
      </c>
      <c r="B1688" s="87" t="str">
        <f>IFERROR(VLOOKUP(Proc[[#This Row],[App]],Table2[],3,0),"open")</f>
        <v>open</v>
      </c>
      <c r="C1688" s="91" t="s">
        <v>375</v>
      </c>
      <c r="D1688" t="s">
        <v>3878</v>
      </c>
      <c r="E1688" t="s">
        <v>4023</v>
      </c>
      <c r="F1688" s="87" t="s">
        <v>3966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4049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/>
      <c r="O1688" s="89"/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0</v>
      </c>
      <c r="R1688" s="92" t="s">
        <v>508</v>
      </c>
      <c r="S1688" s="87"/>
    </row>
    <row r="1689" spans="1:19">
      <c r="A1689" s="91" t="s">
        <v>3832</v>
      </c>
      <c r="B1689" s="87" t="str">
        <f>IFERROR(VLOOKUP(Proc[[#This Row],[App]],Table2[],3,0),"open")</f>
        <v>open</v>
      </c>
      <c r="C1689" s="91" t="s">
        <v>375</v>
      </c>
      <c r="D1689" t="s">
        <v>3879</v>
      </c>
      <c r="E1689" t="s">
        <v>4023</v>
      </c>
      <c r="F1689" s="87" t="s">
        <v>3966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4049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/>
      <c r="O1689" s="89"/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0</v>
      </c>
      <c r="R1689" s="92" t="s">
        <v>508</v>
      </c>
      <c r="S1689" s="87"/>
    </row>
    <row r="1690" spans="1:19">
      <c r="A1690" s="91" t="s">
        <v>3832</v>
      </c>
      <c r="B1690" s="87" t="str">
        <f>IFERROR(VLOOKUP(Proc[[#This Row],[App]],Table2[],3,0),"open")</f>
        <v>open</v>
      </c>
      <c r="C1690" s="91" t="s">
        <v>375</v>
      </c>
      <c r="D1690" t="s">
        <v>3880</v>
      </c>
      <c r="E1690" t="s">
        <v>4017</v>
      </c>
      <c r="F1690" s="87" t="s">
        <v>3967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4049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/>
      <c r="O1690" s="89"/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0</v>
      </c>
      <c r="R1690" s="92" t="s">
        <v>508</v>
      </c>
      <c r="S1690" s="87"/>
    </row>
    <row r="1691" spans="1:19">
      <c r="A1691" s="91" t="s">
        <v>3832</v>
      </c>
      <c r="B1691" s="87" t="str">
        <f>IFERROR(VLOOKUP(Proc[[#This Row],[App]],Table2[],3,0),"open")</f>
        <v>open</v>
      </c>
      <c r="C1691" s="91" t="s">
        <v>370</v>
      </c>
      <c r="D1691" t="s">
        <v>3881</v>
      </c>
      <c r="E1691" t="s">
        <v>4016</v>
      </c>
      <c r="F1691" s="87" t="s">
        <v>3947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0</v>
      </c>
      <c r="R1691" s="92" t="s">
        <v>508</v>
      </c>
      <c r="S1691" s="87"/>
    </row>
    <row r="1692" spans="1:19">
      <c r="A1692" s="91" t="s">
        <v>3832</v>
      </c>
      <c r="B1692" s="87" t="str">
        <f>IFERROR(VLOOKUP(Proc[[#This Row],[App]],Table2[],3,0),"open")</f>
        <v>open</v>
      </c>
      <c r="C1692" s="91" t="s">
        <v>370</v>
      </c>
      <c r="D1692" t="s">
        <v>3882</v>
      </c>
      <c r="E1692" t="s">
        <v>4005</v>
      </c>
      <c r="F1692" s="87" t="s">
        <v>3968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0</v>
      </c>
      <c r="R1692" s="92" t="s">
        <v>508</v>
      </c>
      <c r="S1692" s="87"/>
    </row>
    <row r="1693" spans="1:19">
      <c r="A1693" s="91" t="s">
        <v>3832</v>
      </c>
      <c r="B1693" s="87" t="str">
        <f>IFERROR(VLOOKUP(Proc[[#This Row],[App]],Table2[],3,0),"open")</f>
        <v>open</v>
      </c>
      <c r="C1693" s="91" t="s">
        <v>370</v>
      </c>
      <c r="D1693" t="s">
        <v>3883</v>
      </c>
      <c r="E1693" t="s">
        <v>4004</v>
      </c>
      <c r="F1693" s="87" t="s">
        <v>3949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0</v>
      </c>
      <c r="R1693" s="92" t="s">
        <v>508</v>
      </c>
      <c r="S1693" s="87"/>
    </row>
    <row r="1694" spans="1:19">
      <c r="A1694" s="91" t="s">
        <v>3832</v>
      </c>
      <c r="B1694" s="87" t="str">
        <f>IFERROR(VLOOKUP(Proc[[#This Row],[App]],Table2[],3,0),"open")</f>
        <v>open</v>
      </c>
      <c r="C1694" s="91" t="s">
        <v>370</v>
      </c>
      <c r="D1694" t="s">
        <v>3884</v>
      </c>
      <c r="E1694" t="s">
        <v>4002</v>
      </c>
      <c r="F1694" s="87" t="s">
        <v>3969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0</v>
      </c>
      <c r="R1694" s="92" t="s">
        <v>508</v>
      </c>
      <c r="S1694" s="87"/>
    </row>
    <row r="1695" spans="1:19">
      <c r="A1695" s="91" t="s">
        <v>3832</v>
      </c>
      <c r="B1695" s="87" t="str">
        <f>IFERROR(VLOOKUP(Proc[[#This Row],[App]],Table2[],3,0),"open")</f>
        <v>open</v>
      </c>
      <c r="C1695" s="91" t="s">
        <v>370</v>
      </c>
      <c r="D1695" t="s">
        <v>3885</v>
      </c>
      <c r="E1695" t="s">
        <v>4019</v>
      </c>
      <c r="F1695" s="87" t="s">
        <v>3970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0</v>
      </c>
      <c r="R1695" s="92" t="s">
        <v>508</v>
      </c>
      <c r="S1695" s="87"/>
    </row>
    <row r="1696" spans="1:19">
      <c r="A1696" s="91" t="s">
        <v>3832</v>
      </c>
      <c r="B1696" s="87" t="str">
        <f>IFERROR(VLOOKUP(Proc[[#This Row],[App]],Table2[],3,0),"open")</f>
        <v>open</v>
      </c>
      <c r="C1696" s="91" t="s">
        <v>370</v>
      </c>
      <c r="D1696" t="s">
        <v>3886</v>
      </c>
      <c r="E1696" t="s">
        <v>4019</v>
      </c>
      <c r="F1696" s="87" t="s">
        <v>3971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0</v>
      </c>
      <c r="R1696" s="92" t="s">
        <v>508</v>
      </c>
      <c r="S1696" s="87"/>
    </row>
    <row r="1697" spans="1:19">
      <c r="A1697" s="91" t="s">
        <v>3832</v>
      </c>
      <c r="B1697" s="87" t="str">
        <f>IFERROR(VLOOKUP(Proc[[#This Row],[App]],Table2[],3,0),"open")</f>
        <v>open</v>
      </c>
      <c r="C1697" s="91" t="s">
        <v>370</v>
      </c>
      <c r="D1697" t="s">
        <v>3887</v>
      </c>
      <c r="E1697" t="s">
        <v>4022</v>
      </c>
      <c r="F1697" s="87" t="s">
        <v>3972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0</v>
      </c>
      <c r="R1697" s="92" t="s">
        <v>508</v>
      </c>
      <c r="S1697" s="87"/>
    </row>
    <row r="1698" spans="1:19">
      <c r="A1698" s="91" t="s">
        <v>3832</v>
      </c>
      <c r="B1698" s="87" t="str">
        <f>IFERROR(VLOOKUP(Proc[[#This Row],[App]],Table2[],3,0),"open")</f>
        <v>open</v>
      </c>
      <c r="C1698" s="91" t="s">
        <v>370</v>
      </c>
      <c r="D1698" t="s">
        <v>3888</v>
      </c>
      <c r="E1698" t="s">
        <v>4004</v>
      </c>
      <c r="F1698" s="87" t="s">
        <v>3973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0</v>
      </c>
      <c r="R1698" s="92" t="s">
        <v>508</v>
      </c>
      <c r="S1698" s="87"/>
    </row>
    <row r="1699" spans="1:19">
      <c r="A1699" s="91" t="s">
        <v>3832</v>
      </c>
      <c r="B1699" s="87" t="str">
        <f>IFERROR(VLOOKUP(Proc[[#This Row],[App]],Table2[],3,0),"open")</f>
        <v>open</v>
      </c>
      <c r="C1699" s="91" t="s">
        <v>370</v>
      </c>
      <c r="D1699" t="s">
        <v>3889</v>
      </c>
      <c r="E1699" t="s">
        <v>4002</v>
      </c>
      <c r="F1699" s="87" t="s">
        <v>3974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0</v>
      </c>
      <c r="R1699" s="92" t="s">
        <v>508</v>
      </c>
      <c r="S1699" s="87"/>
    </row>
    <row r="1700" spans="1:19">
      <c r="A1700" s="91" t="s">
        <v>3832</v>
      </c>
      <c r="B1700" s="87" t="str">
        <f>IFERROR(VLOOKUP(Proc[[#This Row],[App]],Table2[],3,0),"open")</f>
        <v>open</v>
      </c>
      <c r="C1700" s="91" t="s">
        <v>370</v>
      </c>
      <c r="D1700" t="s">
        <v>3890</v>
      </c>
      <c r="E1700" t="s">
        <v>4024</v>
      </c>
      <c r="F1700" s="87" t="s">
        <v>3959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0</v>
      </c>
      <c r="R1700" s="92" t="s">
        <v>508</v>
      </c>
      <c r="S1700" s="87"/>
    </row>
    <row r="1701" spans="1:19">
      <c r="A1701" s="91" t="s">
        <v>3832</v>
      </c>
      <c r="B1701" s="87" t="str">
        <f>IFERROR(VLOOKUP(Proc[[#This Row],[App]],Table2[],3,0),"open")</f>
        <v>open</v>
      </c>
      <c r="C1701" s="91" t="s">
        <v>370</v>
      </c>
      <c r="D1701" t="s">
        <v>3891</v>
      </c>
      <c r="E1701" t="s">
        <v>4003</v>
      </c>
      <c r="F1701" s="87" t="s">
        <v>3943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0</v>
      </c>
      <c r="R1701" s="92" t="s">
        <v>508</v>
      </c>
      <c r="S1701" s="87"/>
    </row>
    <row r="1702" spans="1:19">
      <c r="A1702" s="91" t="s">
        <v>3832</v>
      </c>
      <c r="B1702" s="87" t="str">
        <f>IFERROR(VLOOKUP(Proc[[#This Row],[App]],Table2[],3,0),"open")</f>
        <v>open</v>
      </c>
      <c r="C1702" s="91" t="s">
        <v>370</v>
      </c>
      <c r="D1702" t="s">
        <v>3892</v>
      </c>
      <c r="E1702" t="s">
        <v>4003</v>
      </c>
      <c r="F1702" s="87" t="s">
        <v>3943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0</v>
      </c>
      <c r="R1702" s="92" t="s">
        <v>508</v>
      </c>
      <c r="S1702" s="87"/>
    </row>
    <row r="1703" spans="1:19">
      <c r="A1703" s="91" t="s">
        <v>3832</v>
      </c>
      <c r="B1703" s="87" t="str">
        <f>IFERROR(VLOOKUP(Proc[[#This Row],[App]],Table2[],3,0),"open")</f>
        <v>open</v>
      </c>
      <c r="C1703" s="91" t="s">
        <v>370</v>
      </c>
      <c r="D1703" t="s">
        <v>3893</v>
      </c>
      <c r="E1703" t="s">
        <v>4003</v>
      </c>
      <c r="F1703" s="87" t="s">
        <v>3959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0</v>
      </c>
      <c r="R1703" s="92" t="s">
        <v>508</v>
      </c>
      <c r="S1703" s="87"/>
    </row>
    <row r="1704" spans="1:19">
      <c r="A1704" s="91" t="s">
        <v>3832</v>
      </c>
      <c r="B1704" s="87" t="str">
        <f>IFERROR(VLOOKUP(Proc[[#This Row],[App]],Table2[],3,0),"open")</f>
        <v>open</v>
      </c>
      <c r="C1704" s="91" t="s">
        <v>370</v>
      </c>
      <c r="D1704" t="s">
        <v>3894</v>
      </c>
      <c r="E1704" t="s">
        <v>4017</v>
      </c>
      <c r="F1704" s="87" t="s">
        <v>3967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0</v>
      </c>
      <c r="R1704" s="92" t="s">
        <v>508</v>
      </c>
      <c r="S1704" s="87"/>
    </row>
    <row r="1705" spans="1:19">
      <c r="A1705" s="91" t="s">
        <v>3832</v>
      </c>
      <c r="B1705" s="87" t="str">
        <f>IFERROR(VLOOKUP(Proc[[#This Row],[App]],Table2[],3,0),"open")</f>
        <v>open</v>
      </c>
      <c r="C1705" s="91" t="s">
        <v>370</v>
      </c>
      <c r="D1705" t="s">
        <v>3895</v>
      </c>
      <c r="E1705" t="s">
        <v>4022</v>
      </c>
      <c r="F1705" s="87" t="s">
        <v>3948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0</v>
      </c>
      <c r="R1705" s="92" t="s">
        <v>508</v>
      </c>
      <c r="S1705" s="87"/>
    </row>
    <row r="1706" spans="1:19">
      <c r="A1706" s="91" t="s">
        <v>3832</v>
      </c>
      <c r="B1706" s="87" t="str">
        <f>IFERROR(VLOOKUP(Proc[[#This Row],[App]],Table2[],3,0),"open")</f>
        <v>open</v>
      </c>
      <c r="C1706" s="91" t="s">
        <v>370</v>
      </c>
      <c r="D1706" t="s">
        <v>3896</v>
      </c>
      <c r="E1706" t="s">
        <v>4019</v>
      </c>
      <c r="F1706" s="87" t="s">
        <v>3975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0</v>
      </c>
      <c r="R1706" s="92" t="s">
        <v>508</v>
      </c>
      <c r="S1706" s="87"/>
    </row>
    <row r="1707" spans="1:19">
      <c r="A1707" s="91" t="s">
        <v>3832</v>
      </c>
      <c r="B1707" s="87" t="str">
        <f>IFERROR(VLOOKUP(Proc[[#This Row],[App]],Table2[],3,0),"open")</f>
        <v>open</v>
      </c>
      <c r="C1707" s="91" t="s">
        <v>370</v>
      </c>
      <c r="D1707" t="s">
        <v>3897</v>
      </c>
      <c r="E1707" t="s">
        <v>4025</v>
      </c>
      <c r="F1707" s="87" t="s">
        <v>3976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0</v>
      </c>
      <c r="R1707" s="92" t="s">
        <v>508</v>
      </c>
      <c r="S1707" s="87"/>
    </row>
    <row r="1708" spans="1:19">
      <c r="A1708" s="91" t="s">
        <v>3832</v>
      </c>
      <c r="B1708" s="87" t="str">
        <f>IFERROR(VLOOKUP(Proc[[#This Row],[App]],Table2[],3,0),"open")</f>
        <v>open</v>
      </c>
      <c r="C1708" s="91" t="s">
        <v>370</v>
      </c>
      <c r="D1708" t="s">
        <v>3898</v>
      </c>
      <c r="E1708" t="s">
        <v>4015</v>
      </c>
      <c r="F1708" s="87" t="s">
        <v>3977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0</v>
      </c>
      <c r="R1708" s="92" t="s">
        <v>508</v>
      </c>
      <c r="S1708" s="87"/>
    </row>
    <row r="1709" spans="1:19">
      <c r="A1709" s="91" t="s">
        <v>3832</v>
      </c>
      <c r="B1709" s="87" t="str">
        <f>IFERROR(VLOOKUP(Proc[[#This Row],[App]],Table2[],3,0),"open")</f>
        <v>open</v>
      </c>
      <c r="C1709" s="91" t="s">
        <v>370</v>
      </c>
      <c r="D1709" t="s">
        <v>3899</v>
      </c>
      <c r="E1709" t="s">
        <v>4026</v>
      </c>
      <c r="F1709" s="87" t="s">
        <v>3950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0</v>
      </c>
      <c r="R1709" s="92" t="s">
        <v>508</v>
      </c>
      <c r="S1709" s="87"/>
    </row>
    <row r="1710" spans="1:19">
      <c r="A1710" s="91" t="s">
        <v>3832</v>
      </c>
      <c r="B1710" s="87" t="str">
        <f>IFERROR(VLOOKUP(Proc[[#This Row],[App]],Table2[],3,0),"open")</f>
        <v>open</v>
      </c>
      <c r="C1710" s="91" t="s">
        <v>370</v>
      </c>
      <c r="D1710" t="s">
        <v>2860</v>
      </c>
      <c r="E1710" t="s">
        <v>4027</v>
      </c>
      <c r="F1710" s="87" t="s">
        <v>3978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0</v>
      </c>
      <c r="R1710" s="92" t="s">
        <v>508</v>
      </c>
      <c r="S1710" s="87"/>
    </row>
    <row r="1711" spans="1:19">
      <c r="A1711" s="91" t="s">
        <v>3832</v>
      </c>
      <c r="B1711" s="87" t="str">
        <f>IFERROR(VLOOKUP(Proc[[#This Row],[App]],Table2[],3,0),"open")</f>
        <v>open</v>
      </c>
      <c r="C1711" s="91" t="s">
        <v>370</v>
      </c>
      <c r="D1711" t="s">
        <v>3900</v>
      </c>
      <c r="E1711" t="s">
        <v>4002</v>
      </c>
      <c r="F1711" s="87" t="s">
        <v>3946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0</v>
      </c>
      <c r="R1711" s="92" t="s">
        <v>508</v>
      </c>
      <c r="S1711" s="87"/>
    </row>
    <row r="1712" spans="1:19">
      <c r="A1712" s="91" t="s">
        <v>3832</v>
      </c>
      <c r="B1712" s="87" t="str">
        <f>IFERROR(VLOOKUP(Proc[[#This Row],[App]],Table2[],3,0),"open")</f>
        <v>open</v>
      </c>
      <c r="C1712" s="91" t="s">
        <v>370</v>
      </c>
      <c r="D1712" t="s">
        <v>2861</v>
      </c>
      <c r="E1712" t="s">
        <v>4028</v>
      </c>
      <c r="F1712" s="87" t="s">
        <v>3978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0</v>
      </c>
      <c r="R1712" s="92" t="s">
        <v>508</v>
      </c>
      <c r="S1712" s="87"/>
    </row>
    <row r="1713" spans="1:19">
      <c r="A1713" s="91" t="s">
        <v>3832</v>
      </c>
      <c r="B1713" s="87" t="str">
        <f>IFERROR(VLOOKUP(Proc[[#This Row],[App]],Table2[],3,0),"open")</f>
        <v>open</v>
      </c>
      <c r="C1713" s="91" t="s">
        <v>370</v>
      </c>
      <c r="D1713" t="s">
        <v>3901</v>
      </c>
      <c r="E1713" t="s">
        <v>4008</v>
      </c>
      <c r="F1713" s="87" t="s">
        <v>3963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0</v>
      </c>
      <c r="R1713" s="92" t="s">
        <v>508</v>
      </c>
      <c r="S1713" s="87"/>
    </row>
    <row r="1714" spans="1:19">
      <c r="A1714" s="91" t="s">
        <v>3832</v>
      </c>
      <c r="B1714" s="87" t="str">
        <f>IFERROR(VLOOKUP(Proc[[#This Row],[App]],Table2[],3,0),"open")</f>
        <v>open</v>
      </c>
      <c r="C1714" s="91" t="s">
        <v>370</v>
      </c>
      <c r="D1714" t="s">
        <v>3902</v>
      </c>
      <c r="E1714" t="s">
        <v>4015</v>
      </c>
      <c r="F1714" s="87" t="s">
        <v>3958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0</v>
      </c>
      <c r="R1714" s="92" t="s">
        <v>508</v>
      </c>
      <c r="S1714" s="87"/>
    </row>
    <row r="1715" spans="1:19">
      <c r="A1715" s="91" t="s">
        <v>3832</v>
      </c>
      <c r="B1715" s="87" t="str">
        <f>IFERROR(VLOOKUP(Proc[[#This Row],[App]],Table2[],3,0),"open")</f>
        <v>open</v>
      </c>
      <c r="C1715" s="91" t="s">
        <v>370</v>
      </c>
      <c r="D1715" t="s">
        <v>3903</v>
      </c>
      <c r="E1715" t="s">
        <v>4015</v>
      </c>
      <c r="F1715" s="87" t="s">
        <v>3979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0</v>
      </c>
      <c r="R1715" s="92" t="s">
        <v>508</v>
      </c>
      <c r="S1715" s="87"/>
    </row>
    <row r="1716" spans="1:19">
      <c r="A1716" s="91" t="s">
        <v>3832</v>
      </c>
      <c r="B1716" s="87" t="str">
        <f>IFERROR(VLOOKUP(Proc[[#This Row],[App]],Table2[],3,0),"open")</f>
        <v>open</v>
      </c>
      <c r="C1716" s="91" t="s">
        <v>370</v>
      </c>
      <c r="D1716" t="s">
        <v>3904</v>
      </c>
      <c r="E1716" t="s">
        <v>4004</v>
      </c>
      <c r="F1716" s="87" t="s">
        <v>3973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0</v>
      </c>
      <c r="R1716" s="92" t="s">
        <v>508</v>
      </c>
      <c r="S1716" s="87"/>
    </row>
    <row r="1717" spans="1:19">
      <c r="A1717" s="91" t="s">
        <v>3832</v>
      </c>
      <c r="B1717" s="87" t="str">
        <f>IFERROR(VLOOKUP(Proc[[#This Row],[App]],Table2[],3,0),"open")</f>
        <v>open</v>
      </c>
      <c r="C1717" s="91" t="s">
        <v>370</v>
      </c>
      <c r="D1717" t="s">
        <v>3905</v>
      </c>
      <c r="E1717" t="s">
        <v>4004</v>
      </c>
      <c r="F1717" s="87" t="s">
        <v>3980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0</v>
      </c>
      <c r="R1717" s="92" t="s">
        <v>508</v>
      </c>
      <c r="S1717" s="87"/>
    </row>
    <row r="1718" spans="1:19">
      <c r="A1718" s="91" t="s">
        <v>3832</v>
      </c>
      <c r="B1718" s="87" t="str">
        <f>IFERROR(VLOOKUP(Proc[[#This Row],[App]],Table2[],3,0),"open")</f>
        <v>open</v>
      </c>
      <c r="C1718" s="91" t="s">
        <v>370</v>
      </c>
      <c r="D1718" t="s">
        <v>3906</v>
      </c>
      <c r="E1718" t="s">
        <v>4011</v>
      </c>
      <c r="F1718" s="87" t="s">
        <v>3981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0</v>
      </c>
      <c r="R1718" s="92" t="s">
        <v>508</v>
      </c>
      <c r="S1718" s="87"/>
    </row>
    <row r="1719" spans="1:19">
      <c r="A1719" s="91" t="s">
        <v>3832</v>
      </c>
      <c r="B1719" s="87" t="str">
        <f>IFERROR(VLOOKUP(Proc[[#This Row],[App]],Table2[],3,0),"open")</f>
        <v>open</v>
      </c>
      <c r="C1719" s="91" t="s">
        <v>370</v>
      </c>
      <c r="D1719" t="s">
        <v>3907</v>
      </c>
      <c r="E1719" t="s">
        <v>4024</v>
      </c>
      <c r="F1719" s="87" t="s">
        <v>3967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0</v>
      </c>
      <c r="R1719" s="92" t="s">
        <v>508</v>
      </c>
      <c r="S1719" s="87"/>
    </row>
    <row r="1720" spans="1:19">
      <c r="A1720" s="91" t="s">
        <v>3832</v>
      </c>
      <c r="B1720" s="87" t="str">
        <f>IFERROR(VLOOKUP(Proc[[#This Row],[App]],Table2[],3,0),"open")</f>
        <v>open</v>
      </c>
      <c r="C1720" s="91" t="s">
        <v>370</v>
      </c>
      <c r="D1720" t="s">
        <v>3908</v>
      </c>
      <c r="E1720" t="s">
        <v>4018</v>
      </c>
      <c r="F1720" s="87" t="s">
        <v>3982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0</v>
      </c>
      <c r="R1720" s="92" t="s">
        <v>508</v>
      </c>
      <c r="S1720" s="87"/>
    </row>
    <row r="1721" spans="1:19">
      <c r="A1721" s="91" t="s">
        <v>3832</v>
      </c>
      <c r="B1721" s="87" t="str">
        <f>IFERROR(VLOOKUP(Proc[[#This Row],[App]],Table2[],3,0),"open")</f>
        <v>open</v>
      </c>
      <c r="C1721" s="91" t="s">
        <v>370</v>
      </c>
      <c r="D1721" t="s">
        <v>3909</v>
      </c>
      <c r="E1721" t="s">
        <v>4012</v>
      </c>
      <c r="F1721" s="87" t="s">
        <v>3962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0</v>
      </c>
      <c r="R1721" s="92" t="s">
        <v>508</v>
      </c>
      <c r="S1721" s="87"/>
    </row>
    <row r="1722" spans="1:19">
      <c r="A1722" s="91" t="s">
        <v>3832</v>
      </c>
      <c r="B1722" s="87" t="str">
        <f>IFERROR(VLOOKUP(Proc[[#This Row],[App]],Table2[],3,0),"open")</f>
        <v>open</v>
      </c>
      <c r="C1722" s="91" t="s">
        <v>370</v>
      </c>
      <c r="D1722" t="s">
        <v>3910</v>
      </c>
      <c r="E1722" t="s">
        <v>4018</v>
      </c>
      <c r="F1722" s="87" t="s">
        <v>3983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0</v>
      </c>
      <c r="R1722" s="92" t="s">
        <v>508</v>
      </c>
      <c r="S1722" s="87"/>
    </row>
    <row r="1723" spans="1:19">
      <c r="A1723" s="91" t="s">
        <v>3832</v>
      </c>
      <c r="B1723" s="87" t="str">
        <f>IFERROR(VLOOKUP(Proc[[#This Row],[App]],Table2[],3,0),"open")</f>
        <v>open</v>
      </c>
      <c r="C1723" s="91" t="s">
        <v>370</v>
      </c>
      <c r="D1723" t="s">
        <v>3911</v>
      </c>
      <c r="E1723" t="s">
        <v>4025</v>
      </c>
      <c r="F1723" s="87" t="s">
        <v>3984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0</v>
      </c>
      <c r="R1723" s="92" t="s">
        <v>508</v>
      </c>
      <c r="S1723" s="87"/>
    </row>
    <row r="1724" spans="1:19">
      <c r="A1724" s="91" t="s">
        <v>3832</v>
      </c>
      <c r="B1724" s="87" t="str">
        <f>IFERROR(VLOOKUP(Proc[[#This Row],[App]],Table2[],3,0),"open")</f>
        <v>open</v>
      </c>
      <c r="C1724" s="91" t="s">
        <v>370</v>
      </c>
      <c r="D1724" t="s">
        <v>3912</v>
      </c>
      <c r="E1724" t="s">
        <v>4015</v>
      </c>
      <c r="F1724" s="87" t="s">
        <v>3985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0</v>
      </c>
      <c r="R1724" s="92" t="s">
        <v>508</v>
      </c>
      <c r="S1724" s="87"/>
    </row>
    <row r="1725" spans="1:19">
      <c r="A1725" s="91" t="s">
        <v>3832</v>
      </c>
      <c r="B1725" s="87" t="str">
        <f>IFERROR(VLOOKUP(Proc[[#This Row],[App]],Table2[],3,0),"open")</f>
        <v>open</v>
      </c>
      <c r="C1725" s="91" t="s">
        <v>370</v>
      </c>
      <c r="D1725" t="s">
        <v>3913</v>
      </c>
      <c r="E1725" t="s">
        <v>4029</v>
      </c>
      <c r="F1725" s="87" t="s">
        <v>3962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0</v>
      </c>
      <c r="R1725" s="92" t="s">
        <v>508</v>
      </c>
      <c r="S1725" s="87"/>
    </row>
    <row r="1726" spans="1:19">
      <c r="A1726" s="91" t="s">
        <v>3832</v>
      </c>
      <c r="B1726" s="87" t="str">
        <f>IFERROR(VLOOKUP(Proc[[#This Row],[App]],Table2[],3,0),"open")</f>
        <v>open</v>
      </c>
      <c r="C1726" s="91" t="s">
        <v>370</v>
      </c>
      <c r="D1726" t="s">
        <v>3914</v>
      </c>
      <c r="E1726" t="s">
        <v>4012</v>
      </c>
      <c r="F1726" s="87" t="s">
        <v>3986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0</v>
      </c>
      <c r="R1726" s="92" t="s">
        <v>508</v>
      </c>
      <c r="S1726" s="87"/>
    </row>
    <row r="1727" spans="1:19">
      <c r="A1727" s="91" t="s">
        <v>3832</v>
      </c>
      <c r="B1727" s="87" t="str">
        <f>IFERROR(VLOOKUP(Proc[[#This Row],[App]],Table2[],3,0),"open")</f>
        <v>open</v>
      </c>
      <c r="C1727" s="91" t="s">
        <v>370</v>
      </c>
      <c r="D1727" t="s">
        <v>3915</v>
      </c>
      <c r="E1727" t="s">
        <v>4002</v>
      </c>
      <c r="F1727" s="87" t="s">
        <v>3987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0</v>
      </c>
      <c r="R1727" s="92" t="s">
        <v>508</v>
      </c>
      <c r="S1727" s="87"/>
    </row>
    <row r="1728" spans="1:19">
      <c r="A1728" s="91" t="s">
        <v>3832</v>
      </c>
      <c r="B1728" s="87" t="str">
        <f>IFERROR(VLOOKUP(Proc[[#This Row],[App]],Table2[],3,0),"open")</f>
        <v>open</v>
      </c>
      <c r="C1728" s="91" t="s">
        <v>370</v>
      </c>
      <c r="D1728" t="s">
        <v>3916</v>
      </c>
      <c r="E1728" t="s">
        <v>4004</v>
      </c>
      <c r="F1728" s="87" t="s">
        <v>3988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0</v>
      </c>
      <c r="R1728" s="92" t="s">
        <v>508</v>
      </c>
      <c r="S1728" s="87"/>
    </row>
    <row r="1729" spans="1:19">
      <c r="A1729" s="91" t="s">
        <v>3832</v>
      </c>
      <c r="B1729" s="87" t="str">
        <f>IFERROR(VLOOKUP(Proc[[#This Row],[App]],Table2[],3,0),"open")</f>
        <v>open</v>
      </c>
      <c r="C1729" s="91" t="s">
        <v>370</v>
      </c>
      <c r="D1729" t="s">
        <v>3917</v>
      </c>
      <c r="E1729" t="s">
        <v>4018</v>
      </c>
      <c r="F1729" s="87" t="s">
        <v>3989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0</v>
      </c>
      <c r="R1729" s="92" t="s">
        <v>508</v>
      </c>
      <c r="S1729" s="87"/>
    </row>
    <row r="1730" spans="1:19">
      <c r="A1730" s="91" t="s">
        <v>3832</v>
      </c>
      <c r="B1730" s="87" t="str">
        <f>IFERROR(VLOOKUP(Proc[[#This Row],[App]],Table2[],3,0),"open")</f>
        <v>open</v>
      </c>
      <c r="C1730" s="91" t="s">
        <v>370</v>
      </c>
      <c r="D1730" t="s">
        <v>3918</v>
      </c>
      <c r="E1730" t="s">
        <v>4011</v>
      </c>
      <c r="F1730" s="87" t="s">
        <v>3990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0</v>
      </c>
      <c r="R1730" s="92" t="s">
        <v>508</v>
      </c>
      <c r="S1730" s="87"/>
    </row>
    <row r="1731" spans="1:19">
      <c r="A1731" s="91" t="s">
        <v>3832</v>
      </c>
      <c r="B1731" s="87" t="str">
        <f>IFERROR(VLOOKUP(Proc[[#This Row],[App]],Table2[],3,0),"open")</f>
        <v>open</v>
      </c>
      <c r="C1731" s="91" t="s">
        <v>370</v>
      </c>
      <c r="D1731" t="s">
        <v>3919</v>
      </c>
      <c r="E1731" t="s">
        <v>4015</v>
      </c>
      <c r="F1731" s="87" t="s">
        <v>3991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0</v>
      </c>
      <c r="R1731" s="92" t="s">
        <v>508</v>
      </c>
      <c r="S1731" s="87"/>
    </row>
    <row r="1732" spans="1:19">
      <c r="A1732" s="91" t="s">
        <v>3832</v>
      </c>
      <c r="B1732" s="87" t="str">
        <f>IFERROR(VLOOKUP(Proc[[#This Row],[App]],Table2[],3,0),"open")</f>
        <v>open</v>
      </c>
      <c r="C1732" s="91" t="s">
        <v>370</v>
      </c>
      <c r="D1732" t="s">
        <v>3920</v>
      </c>
      <c r="E1732" t="s">
        <v>4004</v>
      </c>
      <c r="F1732" s="87" t="s">
        <v>3950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0</v>
      </c>
      <c r="R1732" s="92" t="s">
        <v>508</v>
      </c>
      <c r="S1732" s="87"/>
    </row>
    <row r="1733" spans="1:19">
      <c r="A1733" s="91" t="s">
        <v>3832</v>
      </c>
      <c r="B1733" s="87" t="str">
        <f>IFERROR(VLOOKUP(Proc[[#This Row],[App]],Table2[],3,0),"open")</f>
        <v>open</v>
      </c>
      <c r="C1733" s="91" t="s">
        <v>370</v>
      </c>
      <c r="D1733" t="s">
        <v>3921</v>
      </c>
      <c r="E1733" t="s">
        <v>4030</v>
      </c>
      <c r="F1733" s="87" t="s">
        <v>3992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0</v>
      </c>
      <c r="R1733" s="92" t="s">
        <v>508</v>
      </c>
      <c r="S1733" s="87"/>
    </row>
    <row r="1734" spans="1:19">
      <c r="A1734" s="91" t="s">
        <v>3832</v>
      </c>
      <c r="B1734" s="87" t="str">
        <f>IFERROR(VLOOKUP(Proc[[#This Row],[App]],Table2[],3,0),"open")</f>
        <v>open</v>
      </c>
      <c r="C1734" s="91" t="s">
        <v>370</v>
      </c>
      <c r="D1734" t="s">
        <v>3922</v>
      </c>
      <c r="E1734" t="s">
        <v>4002</v>
      </c>
      <c r="F1734" s="87" t="s">
        <v>3993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0</v>
      </c>
      <c r="R1734" s="92" t="s">
        <v>508</v>
      </c>
      <c r="S1734" s="87"/>
    </row>
    <row r="1735" spans="1:19">
      <c r="A1735" s="91" t="s">
        <v>3832</v>
      </c>
      <c r="B1735" s="87" t="str">
        <f>IFERROR(VLOOKUP(Proc[[#This Row],[App]],Table2[],3,0),"open")</f>
        <v>open</v>
      </c>
      <c r="C1735" s="91" t="s">
        <v>370</v>
      </c>
      <c r="D1735" t="s">
        <v>3923</v>
      </c>
      <c r="E1735" t="s">
        <v>4004</v>
      </c>
      <c r="F1735" s="87" t="s">
        <v>3994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0</v>
      </c>
      <c r="R1735" s="92" t="s">
        <v>508</v>
      </c>
      <c r="S1735" s="87"/>
    </row>
    <row r="1736" spans="1:19">
      <c r="A1736" s="91" t="s">
        <v>3832</v>
      </c>
      <c r="B1736" s="87" t="str">
        <f>IFERROR(VLOOKUP(Proc[[#This Row],[App]],Table2[],3,0),"open")</f>
        <v>open</v>
      </c>
      <c r="C1736" s="91" t="s">
        <v>370</v>
      </c>
      <c r="D1736" t="s">
        <v>3924</v>
      </c>
      <c r="E1736" t="s">
        <v>4011</v>
      </c>
      <c r="F1736" s="87" t="s">
        <v>3995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0</v>
      </c>
      <c r="R1736" s="92" t="s">
        <v>508</v>
      </c>
      <c r="S1736" s="87"/>
    </row>
    <row r="1737" spans="1:19">
      <c r="A1737" s="91" t="s">
        <v>3832</v>
      </c>
      <c r="B1737" s="87" t="str">
        <f>IFERROR(VLOOKUP(Proc[[#This Row],[App]],Table2[],3,0),"open")</f>
        <v>open</v>
      </c>
      <c r="C1737" s="91" t="s">
        <v>370</v>
      </c>
      <c r="D1737" t="s">
        <v>3925</v>
      </c>
      <c r="E1737" t="s">
        <v>4031</v>
      </c>
      <c r="F1737" s="87" t="s">
        <v>3960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0</v>
      </c>
      <c r="R1737" s="92" t="s">
        <v>508</v>
      </c>
      <c r="S1737" s="87"/>
    </row>
    <row r="1738" spans="1:19">
      <c r="A1738" s="91" t="s">
        <v>3832</v>
      </c>
      <c r="B1738" s="87" t="str">
        <f>IFERROR(VLOOKUP(Proc[[#This Row],[App]],Table2[],3,0),"open")</f>
        <v>open</v>
      </c>
      <c r="C1738" s="91" t="s">
        <v>370</v>
      </c>
      <c r="D1738" t="s">
        <v>3926</v>
      </c>
      <c r="E1738" t="s">
        <v>4013</v>
      </c>
      <c r="F1738" s="87" t="s">
        <v>3996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0</v>
      </c>
      <c r="R1738" s="92" t="s">
        <v>508</v>
      </c>
      <c r="S1738" s="87"/>
    </row>
    <row r="1739" spans="1:19">
      <c r="A1739" s="91" t="s">
        <v>3832</v>
      </c>
      <c r="B1739" s="87" t="str">
        <f>IFERROR(VLOOKUP(Proc[[#This Row],[App]],Table2[],3,0),"open")</f>
        <v>open</v>
      </c>
      <c r="C1739" s="91" t="s">
        <v>370</v>
      </c>
      <c r="D1739" t="s">
        <v>3927</v>
      </c>
      <c r="E1739" t="s">
        <v>4019</v>
      </c>
      <c r="F1739" s="87" t="s">
        <v>3997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0</v>
      </c>
      <c r="R1739" s="92" t="s">
        <v>508</v>
      </c>
      <c r="S1739" s="87"/>
    </row>
    <row r="1740" spans="1:19">
      <c r="A1740" s="91" t="s">
        <v>3832</v>
      </c>
      <c r="B1740" s="87" t="str">
        <f>IFERROR(VLOOKUP(Proc[[#This Row],[App]],Table2[],3,0),"open")</f>
        <v>open</v>
      </c>
      <c r="C1740" s="91" t="s">
        <v>370</v>
      </c>
      <c r="D1740" t="s">
        <v>3928</v>
      </c>
      <c r="E1740" t="s">
        <v>4005</v>
      </c>
      <c r="F1740" s="87" t="s">
        <v>3946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0</v>
      </c>
      <c r="R1740" s="92" t="s">
        <v>508</v>
      </c>
      <c r="S1740" s="87"/>
    </row>
    <row r="1741" spans="1:19">
      <c r="A1741" s="91" t="s">
        <v>3832</v>
      </c>
      <c r="B1741" s="87" t="str">
        <f>IFERROR(VLOOKUP(Proc[[#This Row],[App]],Table2[],3,0),"open")</f>
        <v>open</v>
      </c>
      <c r="C1741" s="91" t="s">
        <v>370</v>
      </c>
      <c r="D1741" t="s">
        <v>3929</v>
      </c>
      <c r="E1741" t="s">
        <v>4015</v>
      </c>
      <c r="F1741" s="87" t="s">
        <v>3998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0</v>
      </c>
      <c r="R1741" s="92" t="s">
        <v>508</v>
      </c>
      <c r="S1741" s="87"/>
    </row>
    <row r="1742" spans="1:19">
      <c r="A1742" s="91" t="s">
        <v>3832</v>
      </c>
      <c r="B1742" s="87" t="str">
        <f>IFERROR(VLOOKUP(Proc[[#This Row],[App]],Table2[],3,0),"open")</f>
        <v>open</v>
      </c>
      <c r="C1742" s="91" t="s">
        <v>370</v>
      </c>
      <c r="D1742" t="s">
        <v>3930</v>
      </c>
      <c r="E1742" t="s">
        <v>4032</v>
      </c>
      <c r="F1742" s="87" t="s">
        <v>3998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0</v>
      </c>
      <c r="R1742" s="92" t="s">
        <v>508</v>
      </c>
      <c r="S1742" s="87"/>
    </row>
    <row r="1743" spans="1:19">
      <c r="A1743" s="91" t="s">
        <v>3832</v>
      </c>
      <c r="B1743" s="87" t="str">
        <f>IFERROR(VLOOKUP(Proc[[#This Row],[App]],Table2[],3,0),"open")</f>
        <v>open</v>
      </c>
      <c r="C1743" s="91" t="s">
        <v>370</v>
      </c>
      <c r="D1743" t="s">
        <v>3931</v>
      </c>
      <c r="E1743" t="s">
        <v>4002</v>
      </c>
      <c r="F1743" s="87" t="s">
        <v>3946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0</v>
      </c>
      <c r="R1743" s="92" t="s">
        <v>508</v>
      </c>
      <c r="S1743" s="87"/>
    </row>
    <row r="1744" spans="1:19">
      <c r="A1744" s="91" t="s">
        <v>3832</v>
      </c>
      <c r="B1744" s="87" t="str">
        <f>IFERROR(VLOOKUP(Proc[[#This Row],[App]],Table2[],3,0),"open")</f>
        <v>open</v>
      </c>
      <c r="C1744" s="91" t="s">
        <v>370</v>
      </c>
      <c r="D1744" t="s">
        <v>3932</v>
      </c>
      <c r="E1744" t="s">
        <v>2100</v>
      </c>
      <c r="F1744" s="87" t="s">
        <v>3986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0</v>
      </c>
      <c r="R1744" s="92" t="s">
        <v>508</v>
      </c>
      <c r="S1744" s="87"/>
    </row>
    <row r="1745" spans="1:19">
      <c r="A1745" s="91" t="s">
        <v>3832</v>
      </c>
      <c r="B1745" s="87" t="str">
        <f>IFERROR(VLOOKUP(Proc[[#This Row],[App]],Table2[],3,0),"open")</f>
        <v>open</v>
      </c>
      <c r="C1745" s="91" t="s">
        <v>370</v>
      </c>
      <c r="D1745" t="s">
        <v>3933</v>
      </c>
      <c r="E1745" t="s">
        <v>4033</v>
      </c>
      <c r="F1745" s="87" t="s">
        <v>3999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0</v>
      </c>
      <c r="R1745" s="92" t="s">
        <v>508</v>
      </c>
      <c r="S1745" s="87"/>
    </row>
    <row r="1746" spans="1:19">
      <c r="A1746" s="91" t="s">
        <v>3832</v>
      </c>
      <c r="B1746" s="87" t="str">
        <f>IFERROR(VLOOKUP(Proc[[#This Row],[App]],Table2[],3,0),"open")</f>
        <v>open</v>
      </c>
      <c r="C1746" s="91" t="s">
        <v>370</v>
      </c>
      <c r="D1746" t="s">
        <v>3934</v>
      </c>
      <c r="E1746" t="s">
        <v>4031</v>
      </c>
      <c r="F1746" s="87" t="s">
        <v>3960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0</v>
      </c>
      <c r="R1746" s="92" t="s">
        <v>508</v>
      </c>
      <c r="S1746" s="87"/>
    </row>
    <row r="1747" spans="1:19">
      <c r="A1747" s="91" t="s">
        <v>3832</v>
      </c>
      <c r="B1747" s="87" t="str">
        <f>IFERROR(VLOOKUP(Proc[[#This Row],[App]],Table2[],3,0),"open")</f>
        <v>open</v>
      </c>
      <c r="C1747" s="91" t="s">
        <v>370</v>
      </c>
      <c r="D1747" t="s">
        <v>3935</v>
      </c>
      <c r="E1747" t="s">
        <v>4003</v>
      </c>
      <c r="F1747" s="87" t="s">
        <v>3943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0</v>
      </c>
      <c r="R1747" s="92" t="s">
        <v>508</v>
      </c>
      <c r="S1747" s="87"/>
    </row>
    <row r="1748" spans="1:19">
      <c r="A1748" s="91" t="s">
        <v>3832</v>
      </c>
      <c r="B1748" s="87" t="str">
        <f>IFERROR(VLOOKUP(Proc[[#This Row],[App]],Table2[],3,0),"open")</f>
        <v>open</v>
      </c>
      <c r="C1748" s="91" t="s">
        <v>370</v>
      </c>
      <c r="D1748" t="s">
        <v>3936</v>
      </c>
      <c r="E1748" t="s">
        <v>2613</v>
      </c>
      <c r="F1748" s="87" t="s">
        <v>4000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0</v>
      </c>
      <c r="R1748" s="92" t="s">
        <v>508</v>
      </c>
      <c r="S1748" s="87"/>
    </row>
    <row r="1749" spans="1:19">
      <c r="A1749" s="91" t="s">
        <v>3832</v>
      </c>
      <c r="B1749" s="87" t="str">
        <f>IFERROR(VLOOKUP(Proc[[#This Row],[App]],Table2[],3,0),"open")</f>
        <v>open</v>
      </c>
      <c r="C1749" s="91" t="s">
        <v>370</v>
      </c>
      <c r="D1749" t="s">
        <v>3937</v>
      </c>
      <c r="E1749" t="s">
        <v>4029</v>
      </c>
      <c r="F1749" s="87" t="s">
        <v>4001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0</v>
      </c>
      <c r="R1749" s="92" t="s">
        <v>508</v>
      </c>
      <c r="S1749" s="87"/>
    </row>
    <row r="1750" spans="1:19">
      <c r="A1750" s="91" t="s">
        <v>3832</v>
      </c>
      <c r="B1750" s="87" t="str">
        <f>IFERROR(VLOOKUP(Proc[[#This Row],[App]],Table2[],3,0),"open")</f>
        <v>open</v>
      </c>
      <c r="C1750" s="91" t="s">
        <v>370</v>
      </c>
      <c r="D1750" t="s">
        <v>3938</v>
      </c>
      <c r="E1750" t="s">
        <v>4011</v>
      </c>
      <c r="F1750" s="87" t="s">
        <v>3956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0</v>
      </c>
      <c r="R1750" s="92" t="s">
        <v>508</v>
      </c>
      <c r="S1750" s="87"/>
    </row>
    <row r="1751" spans="1:19">
      <c r="A1751" s="91" t="s">
        <v>3832</v>
      </c>
      <c r="B1751" s="87" t="str">
        <f>IFERROR(VLOOKUP(Proc[[#This Row],[App]],Table2[],3,0),"open")</f>
        <v>open</v>
      </c>
      <c r="C1751" s="91" t="s">
        <v>370</v>
      </c>
      <c r="D1751" t="s">
        <v>3939</v>
      </c>
      <c r="E1751" t="s">
        <v>4014</v>
      </c>
      <c r="F1751" s="87" t="s">
        <v>3959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0</v>
      </c>
      <c r="R1751" s="92" t="s">
        <v>508</v>
      </c>
      <c r="S1751" s="87"/>
    </row>
    <row r="1752" spans="1:19">
      <c r="A1752" s="91" t="s">
        <v>3832</v>
      </c>
      <c r="B1752" s="87" t="str">
        <f>IFERROR(VLOOKUP(Proc[[#This Row],[App]],Table2[],3,0),"open")</f>
        <v>open</v>
      </c>
      <c r="C1752" s="91" t="s">
        <v>370</v>
      </c>
      <c r="D1752" t="s">
        <v>3940</v>
      </c>
      <c r="E1752" t="s">
        <v>4034</v>
      </c>
      <c r="F1752" s="87" t="s">
        <v>3998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0</v>
      </c>
      <c r="R1752" s="92" t="s">
        <v>508</v>
      </c>
      <c r="S1752" s="87"/>
    </row>
    <row r="1753" spans="1:19">
      <c r="A1753" s="91" t="s">
        <v>3832</v>
      </c>
      <c r="B1753" s="87" t="str">
        <f>IFERROR(VLOOKUP(Proc[[#This Row],[App]],Table2[],3,0),"open")</f>
        <v>open</v>
      </c>
      <c r="C1753" s="91" t="s">
        <v>370</v>
      </c>
      <c r="D1753" t="s">
        <v>3941</v>
      </c>
      <c r="E1753" t="s">
        <v>4022</v>
      </c>
      <c r="F1753" s="87" t="s">
        <v>3948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0</v>
      </c>
      <c r="R1753" s="92" t="s">
        <v>508</v>
      </c>
      <c r="S1753" s="87"/>
    </row>
    <row r="1754" spans="1:19">
      <c r="A1754" t="s">
        <v>4035</v>
      </c>
      <c r="B1754" s="87" t="str">
        <f>IFERROR(VLOOKUP(Proc[[#This Row],[App]],Table2[],3,0),"open")</f>
        <v>open</v>
      </c>
      <c r="C1754" s="91" t="s">
        <v>375</v>
      </c>
      <c r="D1754" t="s">
        <v>4036</v>
      </c>
      <c r="E1754" t="s">
        <v>4043</v>
      </c>
      <c r="F1754" s="87" t="s">
        <v>4046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4049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/>
      <c r="O1754" s="89"/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0</v>
      </c>
      <c r="R1754" s="92" t="s">
        <v>508</v>
      </c>
      <c r="S1754" s="87"/>
    </row>
    <row r="1755" spans="1:19">
      <c r="A1755" s="91" t="s">
        <v>4035</v>
      </c>
      <c r="B1755" s="87" t="str">
        <f>IFERROR(VLOOKUP(Proc[[#This Row],[App]],Table2[],3,0),"open")</f>
        <v>open</v>
      </c>
      <c r="C1755" s="91" t="s">
        <v>375</v>
      </c>
      <c r="D1755" t="s">
        <v>4037</v>
      </c>
      <c r="E1755" t="s">
        <v>4044</v>
      </c>
      <c r="F1755" s="87" t="s">
        <v>4046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4049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/>
      <c r="O1755" s="89"/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0</v>
      </c>
      <c r="R1755" s="92" t="s">
        <v>508</v>
      </c>
      <c r="S1755" s="87"/>
    </row>
    <row r="1756" spans="1:19">
      <c r="A1756" s="91" t="s">
        <v>4035</v>
      </c>
      <c r="B1756" s="87" t="str">
        <f>IFERROR(VLOOKUP(Proc[[#This Row],[App]],Table2[],3,0),"open")</f>
        <v>open</v>
      </c>
      <c r="C1756" s="91" t="s">
        <v>375</v>
      </c>
      <c r="D1756" t="s">
        <v>4038</v>
      </c>
      <c r="E1756" t="s">
        <v>4044</v>
      </c>
      <c r="F1756" s="87" t="s">
        <v>4047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4049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/>
      <c r="O1756" s="89"/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0</v>
      </c>
      <c r="R1756" s="92" t="s">
        <v>508</v>
      </c>
      <c r="S1756" s="87"/>
    </row>
    <row r="1757" spans="1:19">
      <c r="A1757" s="91" t="s">
        <v>4035</v>
      </c>
      <c r="B1757" s="87" t="str">
        <f>IFERROR(VLOOKUP(Proc[[#This Row],[App]],Table2[],3,0),"open")</f>
        <v>open</v>
      </c>
      <c r="C1757" s="91" t="s">
        <v>370</v>
      </c>
      <c r="D1757" t="s">
        <v>4039</v>
      </c>
      <c r="E1757" t="s">
        <v>4044</v>
      </c>
      <c r="F1757" s="87" t="s">
        <v>4046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0</v>
      </c>
      <c r="R1757" s="92" t="s">
        <v>508</v>
      </c>
      <c r="S1757" s="87"/>
    </row>
    <row r="1758" spans="1:19">
      <c r="A1758" s="91" t="s">
        <v>4035</v>
      </c>
      <c r="B1758" s="87" t="str">
        <f>IFERROR(VLOOKUP(Proc[[#This Row],[App]],Table2[],3,0),"open")</f>
        <v>open</v>
      </c>
      <c r="C1758" s="91" t="s">
        <v>370</v>
      </c>
      <c r="D1758" t="s">
        <v>4040</v>
      </c>
      <c r="E1758" t="s">
        <v>4044</v>
      </c>
      <c r="F1758" s="87" t="s">
        <v>4046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0</v>
      </c>
      <c r="R1758" s="92" t="s">
        <v>508</v>
      </c>
      <c r="S1758" s="87"/>
    </row>
    <row r="1759" spans="1:19">
      <c r="A1759" s="91" t="s">
        <v>4035</v>
      </c>
      <c r="B1759" s="87" t="str">
        <f>IFERROR(VLOOKUP(Proc[[#This Row],[App]],Table2[],3,0),"open")</f>
        <v>open</v>
      </c>
      <c r="C1759" s="91" t="s">
        <v>370</v>
      </c>
      <c r="D1759" t="s">
        <v>4041</v>
      </c>
      <c r="E1759" t="s">
        <v>4043</v>
      </c>
      <c r="F1759" s="87" t="s">
        <v>4046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0</v>
      </c>
      <c r="R1759" s="92" t="s">
        <v>508</v>
      </c>
      <c r="S1759" s="87"/>
    </row>
    <row r="1760" spans="1:19">
      <c r="A1760" s="91" t="s">
        <v>4035</v>
      </c>
      <c r="B1760" s="87" t="str">
        <f>IFERROR(VLOOKUP(Proc[[#This Row],[App]],Table2[],3,0),"open")</f>
        <v>open</v>
      </c>
      <c r="C1760" s="91" t="s">
        <v>370</v>
      </c>
      <c r="D1760" t="s">
        <v>4042</v>
      </c>
      <c r="E1760" t="s">
        <v>4045</v>
      </c>
      <c r="F1760" s="87" t="s">
        <v>4048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0</v>
      </c>
      <c r="R1760" s="92" t="s">
        <v>508</v>
      </c>
      <c r="S1760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G2:G1760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2025-05-26T02:34:32Z</dcterms:modified>
  <cp:category/>
  <cp:contentStatus/>
</cp:coreProperties>
</file>