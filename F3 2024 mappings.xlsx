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4FF1FE65-AA19-4ED9-8417-9D1EFDE0A800}" xr6:coauthVersionLast="47" xr6:coauthVersionMax="47" xr10:uidLastSave="{00000000-0000-0000-0000-000000000000}"/>
  <bookViews>
    <workbookView xWindow="2868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25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30" i="1" l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 l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10" i="1" s="1"/>
  <c r="B5" i="1"/>
  <c r="B7" i="1"/>
  <c r="B2" i="1"/>
  <c r="B4" i="1"/>
  <c r="B6" i="1"/>
  <c r="B8" i="1"/>
  <c r="B3" i="1" l="1"/>
  <c r="B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<sst xmlns="http://schemas.openxmlformats.org/spreadsheetml/2006/main" count="14102" uniqueCount="3579">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</sst>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  <xf numFmtId="22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90.572399884259" createdVersion="7" refreshedVersion="8" minRefreshableVersion="3" recordCount="1429" xr:uid="{11839AE3-6158-4318-87AD-2C711D0BF451}">
  <cacheSource type="worksheet">
    <worksheetSource name="Proc"/>
  </cacheSource>
  <cacheFields count="19">
    <cacheField name="App" numFmtId="0">
      <sharedItems containsBlank="1" count="138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13T03:27:57"/>
    </cacheField>
    <cacheField name="DateMapped" numFmtId="14">
      <sharedItems containsNonDate="0" containsDate="1" containsString="0" containsBlank="1" minDate="2023-09-01T00:00:00" maxDate="2025-05-14T00:00:00"/>
    </cacheField>
    <cacheField name="DateClosed" numFmtId="14">
      <sharedItems containsNonDate="0" containsDate="1" containsString="0" containsBlank="1" minDate="2023-09-06T00:00:00" maxDate="2025-05-1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02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29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02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77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73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70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70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70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70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70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70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70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70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70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70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70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70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70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70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70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70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70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70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70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70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70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70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70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70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70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70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70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70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70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70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70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70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70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70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70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70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70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70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70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70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70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69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69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69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69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68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68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68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68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68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67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67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65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65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64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61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61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61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61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61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61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61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61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61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61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61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61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60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60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60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60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60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55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55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55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50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50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50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50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50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50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50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46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46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46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41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40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40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26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26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5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5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5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15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1"/>
    <x v="5"/>
    <s v="PNEXT_CPRJ-138705 GY3 3 Year ICH Stability Study"/>
    <s v="L000013187"/>
    <m/>
    <s v="Non-LFF"/>
    <s v=""/>
    <s v="CPRJ-13870"/>
    <b v="0"/>
    <x v="2"/>
    <x v="2"/>
    <d v="2025-05-12T12:24:34"/>
    <m/>
    <m/>
    <x v="0"/>
    <n v="1"/>
    <s v="Ruby Grace Garcia"/>
    <m/>
  </r>
  <r>
    <x v="199"/>
    <x v="1"/>
    <x v="5"/>
    <s v="PNEXT_CPRJ-138716 GY3 (ONCT-534) Phase 2 cGMP Manufacture"/>
    <s v="L000013187"/>
    <m/>
    <s v="Non-LFF"/>
    <s v=""/>
    <s v="CPRJ-13870"/>
    <b v="0"/>
    <x v="2"/>
    <x v="2"/>
    <d v="2025-05-12T12:24:34"/>
    <m/>
    <m/>
    <x v="0"/>
    <n v="1"/>
    <s v="Ruby Grace Garcia"/>
    <m/>
  </r>
  <r>
    <x v="199"/>
    <x v="1"/>
    <x v="5"/>
    <s v="PNEXT_CPRJ-138717 GY3 (ONCT-534) Phase 2 cGMP Manufacture"/>
    <s v="L000013187"/>
    <m/>
    <s v="Non-LFF"/>
    <s v=""/>
    <s v="CPRJ-13870"/>
    <b v="0"/>
    <x v="2"/>
    <x v="2"/>
    <d v="2025-05-12T12:24:34"/>
    <m/>
    <m/>
    <x v="0"/>
    <n v="1"/>
    <s v="Ruby Grace Garcia"/>
    <m/>
  </r>
  <r>
    <x v="199"/>
    <x v="1"/>
    <x v="5"/>
    <s v="PNEXT_CPRJ-138718 GY3 (ONCT-534) 3KG GMP Batch &amp; Testing"/>
    <s v="L000013187"/>
    <m/>
    <s v="Non-LFF"/>
    <s v=""/>
    <s v="CPRJ-13870"/>
    <b v="0"/>
    <x v="2"/>
    <x v="2"/>
    <d v="2025-05-12T12:24:34"/>
    <m/>
    <m/>
    <x v="0"/>
    <n v="1"/>
    <s v="Ruby Grace Garcia"/>
    <m/>
  </r>
  <r>
    <x v="199"/>
    <x v="1"/>
    <x v="5"/>
    <s v="PNEXT_CON_00011716TTO ER6 Stability Testing Batch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16 ER6 cGMP Manufacture 140G Batch 1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17 ER6 cGMP Manufacture 140G Batch 2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18 ER6 Campaign Summary Report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20 ER6 Stability Initiation 140G Batch 2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22 ER6 cGMP Mfg 140G Batch 3(rebill)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23 FIO analytical testing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24 FIO analytical testing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25 FIO analytical testing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26 Reference standard characterization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34 ER6 Analytical Testing PO 4300025737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35 ER6 Delivery of Revised CoA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300021 Analytical Summary Qual and Validation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22 Outsource Testing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27 cGMP Manufacture of ML59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28 cGMP Manufacture of ML8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29 Campaign Summary Report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30 Stability Testing batch of ML8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63 HPLC Method Purity Development- Cpd 7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64 GC Method Purity Development- ML59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65 Supplemental Method Validation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67 Short term storage of Alisertib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68 FMEA/DoE Gap Assesment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34 SSP-014 Stability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39 SSP-020 (2024 Batch #1)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40 SSP-021 (2024 Batch #2)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41 SSP-022 (2024 Batch #3) and Report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45 SSP-018 (Phase 4 150g of cGMP SSP)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46 SSP-019 (Phase 5 150g of cGMP SSP)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51 Dedicated general Lab GlasswareEquipment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55 SSP-024 (Replacement batch for SSP-015)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60 SSP Reference Standard Qualification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200"/>
    <x v="1"/>
    <x v="5"/>
    <s v="ITEMPEU_003300000473 CH71 ACA_ALC-0315 Invest F"/>
    <s v="L000006425"/>
    <m/>
    <s v="Non-LFF"/>
    <s v=""/>
    <m/>
    <b v="0"/>
    <x v="2"/>
    <x v="2"/>
    <d v="2025-05-12T11:37:08"/>
    <m/>
    <m/>
    <x v="0"/>
    <n v="1"/>
    <s v="Ruby Grace Garcia"/>
    <m/>
  </r>
  <r>
    <x v="200"/>
    <x v="1"/>
    <x v="5"/>
    <s v="ITEMPEU_003300000474 CH71 MBH DOTMA Invest F"/>
    <s v="L000006425"/>
    <m/>
    <s v="Non-LFF"/>
    <s v=""/>
    <m/>
    <b v="0"/>
    <x v="2"/>
    <x v="2"/>
    <d v="2025-05-12T11:37:08"/>
    <m/>
    <m/>
    <x v="0"/>
    <n v="1"/>
    <s v="Ruby Grace Garcia"/>
    <m/>
  </r>
  <r>
    <x v="200"/>
    <x v="1"/>
    <x v="5"/>
    <s v="ITEMPEU_003300000475 CH71 MBC DOPE Invest F"/>
    <s v="L000006425"/>
    <m/>
    <s v="Non-LFF"/>
    <s v=""/>
    <m/>
    <b v="0"/>
    <x v="2"/>
    <x v="2"/>
    <d v="2025-05-12T11:37:08"/>
    <m/>
    <m/>
    <x v="0"/>
    <n v="1"/>
    <s v="Ruby Grace Garcia"/>
    <m/>
  </r>
  <r>
    <x v="200"/>
    <x v="1"/>
    <x v="5"/>
    <s v="ITEMPEU_003900000189 CH71 MBQ Nacalai"/>
    <s v="L000011470"/>
    <m/>
    <s v="Non-LFF"/>
    <s v=""/>
    <m/>
    <b v="0"/>
    <x v="2"/>
    <x v="2"/>
    <d v="2025-05-12T11:37:08"/>
    <m/>
    <m/>
    <x v="0"/>
    <n v="1"/>
    <s v="Ruby Grace Garcia"/>
    <m/>
  </r>
  <r>
    <x v="200"/>
    <x v="1"/>
    <x v="5"/>
    <s v="ITEMPEU_003900000211 CH71 ENA 89Bio"/>
    <s v="L000011470"/>
    <m/>
    <s v="Non-LFF"/>
    <s v=""/>
    <m/>
    <b v="0"/>
    <x v="2"/>
    <x v="2"/>
    <d v="2025-05-12T11:37:08"/>
    <m/>
    <m/>
    <x v="0"/>
    <n v="1"/>
    <s v="Ruby Grace Garcia"/>
    <m/>
  </r>
  <r>
    <x v="200"/>
    <x v="1"/>
    <x v="5"/>
    <s v="ITEMPEU_003900000216 CH71 CVA Curevac"/>
    <s v="L000011470"/>
    <m/>
    <s v="Non-LFF"/>
    <s v=""/>
    <m/>
    <b v="0"/>
    <x v="2"/>
    <x v="2"/>
    <d v="2025-05-12T11:37:08"/>
    <m/>
    <m/>
    <x v="0"/>
    <n v="1"/>
    <s v="Ruby Grace Garcia"/>
    <m/>
  </r>
  <r>
    <x v="200"/>
    <x v="1"/>
    <x v="5"/>
    <s v="ITEMPEU_003900000217 CH71 MBM Fu Fang"/>
    <s v="L000011470"/>
    <m/>
    <s v="Non-LFF"/>
    <s v=""/>
    <m/>
    <b v="0"/>
    <x v="2"/>
    <x v="2"/>
    <d v="2025-05-12T11:37:08"/>
    <m/>
    <m/>
    <x v="0"/>
    <n v="1"/>
    <s v="Ruby Grace Garcia"/>
    <m/>
  </r>
  <r>
    <x v="200"/>
    <x v="1"/>
    <x v="5"/>
    <s v="ITEMPEU_003900000224 CH71  ASM Aerosol-Service"/>
    <s v="L000011470"/>
    <m/>
    <s v="Non-LFF"/>
    <s v=""/>
    <m/>
    <b v="0"/>
    <x v="2"/>
    <x v="2"/>
    <d v="2025-05-12T11:37:08"/>
    <m/>
    <m/>
    <x v="0"/>
    <n v="1"/>
    <s v="Ruby Grace Garcia"/>
    <m/>
  </r>
  <r>
    <x v="200"/>
    <x v="1"/>
    <x v="5"/>
    <s v="ITEMPEU_003900000226 CH71 DSA Daiichi Sankyo"/>
    <s v="L000011470"/>
    <m/>
    <s v="Non-LFF"/>
    <s v=""/>
    <m/>
    <b v="0"/>
    <x v="2"/>
    <x v="2"/>
    <d v="2025-05-12T11:37:08"/>
    <m/>
    <m/>
    <x v="0"/>
    <n v="1"/>
    <s v="Ruby Grace Garcia"/>
    <m/>
  </r>
  <r>
    <x v="200"/>
    <x v="1"/>
    <x v="5"/>
    <s v="ITEMPEU_003900000227 CH71 OBB Orbital Therapeutics"/>
    <s v="L000011470"/>
    <m/>
    <s v="Non-LFF"/>
    <s v=""/>
    <m/>
    <b v="0"/>
    <x v="2"/>
    <x v="2"/>
    <d v="2025-05-12T11:37:08"/>
    <m/>
    <m/>
    <x v="0"/>
    <n v="1"/>
    <s v="Ruby Grace Garcia"/>
    <m/>
  </r>
  <r>
    <x v="200"/>
    <x v="1"/>
    <x v="5"/>
    <s v="ITEMPEU_003900000228 CH71 OBA Orbital Tx"/>
    <s v="L000011470"/>
    <m/>
    <s v="Non-LFF"/>
    <s v=""/>
    <m/>
    <b v="0"/>
    <x v="2"/>
    <x v="2"/>
    <d v="2025-05-12T11:37:08"/>
    <m/>
    <m/>
    <x v="0"/>
    <n v="1"/>
    <s v="Ruby Grace Garcia"/>
    <m/>
  </r>
  <r>
    <x v="200"/>
    <x v="1"/>
    <x v="5"/>
    <s v="ITEMPEU_003900000229 CH71 MDL Merck_Darmstadt"/>
    <s v="L000011470"/>
    <m/>
    <s v="Non-LFF"/>
    <s v=""/>
    <m/>
    <b v="0"/>
    <x v="2"/>
    <x v="2"/>
    <d v="2025-05-12T11:37:08"/>
    <m/>
    <m/>
    <x v="0"/>
    <n v="1"/>
    <s v="Ruby Grace Garcia"/>
    <m/>
  </r>
  <r>
    <x v="200"/>
    <x v="1"/>
    <x v="5"/>
    <s v="ITEMPEU_003900000234 CH71  UHA_University_of_Hokkaido"/>
    <s v="L000011470"/>
    <m/>
    <s v="Non-LFF"/>
    <s v=""/>
    <m/>
    <b v="0"/>
    <x v="2"/>
    <x v="2"/>
    <d v="2025-05-12T11:37:08"/>
    <m/>
    <m/>
    <x v="0"/>
    <n v="1"/>
    <s v="Ruby Grace Garcia"/>
    <m/>
  </r>
  <r>
    <x v="200"/>
    <x v="1"/>
    <x v="5"/>
    <s v="ITEMPEU_003900000235 CH71  PIA_Prime_Medicine_Inc"/>
    <s v="L000011470"/>
    <m/>
    <s v="Non-LFF"/>
    <s v=""/>
    <m/>
    <b v="0"/>
    <x v="2"/>
    <x v="2"/>
    <d v="2025-05-12T11:37:08"/>
    <m/>
    <m/>
    <x v="0"/>
    <n v="1"/>
    <s v="Ruby Grace Garcia"/>
    <m/>
  </r>
  <r>
    <x v="200"/>
    <x v="1"/>
    <x v="5"/>
    <s v="ITEMPEU_003900000237 CH71 _UAA_University_Health_Network"/>
    <s v="L000011470"/>
    <m/>
    <s v="Non-LFF"/>
    <s v=""/>
    <m/>
    <b v="0"/>
    <x v="2"/>
    <x v="2"/>
    <d v="2025-05-12T11:37:08"/>
    <m/>
    <m/>
    <x v="0"/>
    <n v="1"/>
    <s v="Ruby Grace Garcia"/>
    <m/>
  </r>
  <r>
    <x v="200"/>
    <x v="1"/>
    <x v="5"/>
    <s v="ITEMPEU_003900000238 CH71 _ACD_Acuitas Therapeutics"/>
    <s v="L000011470"/>
    <m/>
    <s v="Non-LFF"/>
    <s v=""/>
    <m/>
    <b v="0"/>
    <x v="2"/>
    <x v="2"/>
    <d v="2025-05-12T11:37:08"/>
    <m/>
    <m/>
    <x v="0"/>
    <n v="1"/>
    <s v="Ruby Grace Garcia"/>
    <m/>
  </r>
  <r>
    <x v="200"/>
    <x v="1"/>
    <x v="5"/>
    <s v="ITEMPEU_003900000239 CH71 _ACC Petheon Alc-0366 S Bulk"/>
    <s v="L000011470"/>
    <m/>
    <s v="Non-LFF"/>
    <s v=""/>
    <m/>
    <b v="0"/>
    <x v="2"/>
    <x v="2"/>
    <d v="2025-05-12T11:37:08"/>
    <m/>
    <m/>
    <x v="0"/>
    <n v="1"/>
    <s v="Ruby Grace Garcia"/>
    <m/>
  </r>
  <r>
    <x v="201"/>
    <x v="1"/>
    <x v="5"/>
    <s v="CSCALA_1042$RSCE"/>
    <s v="L000008473"/>
    <m/>
    <s v="Non-LFF"/>
    <s v=""/>
    <m/>
    <b v="0"/>
    <x v="2"/>
    <x v="2"/>
    <d v="2025-05-13T03:01:34"/>
    <m/>
    <m/>
    <x v="0"/>
    <n v="0"/>
    <s v="Ruby Grace Garcia"/>
    <m/>
  </r>
  <r>
    <x v="202"/>
    <x v="1"/>
    <x v="5"/>
    <s v="CEMERAL_70006101MS3119 Communications  Executive Proj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EMERAL_70006101MS3216 Portfolio Brand"/>
    <s v="L000011332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EMERAL_70006101STOMKT STO - Strategic market Intelligence"/>
    <s v="L0000113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EMERAL_70006203991365 LS Business Services India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EMERAL_700065020KAIST KAIST - CTO"/>
    <s v="L000013813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EMERAL_70006502993C17 Social Media Governance"/>
    <s v="L00001243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EMERAL_70007001581230 MESI REG LS Com Exec Proj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6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m/>
    <m/>
    <x v="0"/>
    <n v="0"/>
    <s v="Ruby Grace Garcia"/>
    <m/>
  </r>
  <r>
    <x v="202"/>
    <x v="1"/>
    <x v="6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m/>
    <m/>
    <x v="0"/>
    <n v="0"/>
    <s v="Ruby Grace Garcia"/>
    <m/>
  </r>
  <r>
    <x v="202"/>
    <x v="1"/>
    <x v="6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m/>
    <m/>
    <x v="0"/>
    <n v="0"/>
    <s v="Ruby Grace Garcia"/>
    <m/>
  </r>
  <r>
    <x v="202"/>
    <x v="1"/>
    <x v="6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m/>
    <m/>
    <x v="0"/>
    <n v="0"/>
    <s v="Ruby Grace Garcia"/>
    <m/>
  </r>
  <r>
    <x v="202"/>
    <x v="1"/>
    <x v="6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m/>
    <m/>
    <x v="0"/>
    <n v="0"/>
    <s v="Ruby Grace Garcia"/>
    <m/>
  </r>
  <r>
    <x v="202"/>
    <x v="1"/>
    <x v="6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m/>
    <m/>
    <x v="0"/>
    <n v="0"/>
    <s v="Ruby Grace Garcia"/>
    <m/>
  </r>
  <r>
    <x v="202"/>
    <x v="1"/>
    <x v="5"/>
    <s v="CNOW_7210$$$0000000658 sustainability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131 LS Business Services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335 LS Global Portfolio Brand Sigma"/>
    <s v="L000011332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430 LS US Executive Projects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432 US WIL HR 2098"/>
    <s v="L00001114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445 Social Media Governance"/>
    <s v="L00001243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453 Social Media Governance"/>
    <s v="L00001243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479 Exec Projects Other Admin STL HUB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20356 Creative Services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20414 C-Virus Expenses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21415 Studio Expansion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22408 BD BP SLS"/>
    <s v="L00001373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23175 Executive Projects Other M&amp;S"/>
    <s v="L000013107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23467 Portfolio Brand"/>
    <s v="L000011332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40406 C-Virus Expenses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40407 LS Business Services Milwaukee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57094 LS Business Services UK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264020 US WIL HR 5410 BioR"/>
    <s v="L00001114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AUS0$$$0000092047 LS TRO - Competitive Intelligence"/>
    <s v="L0000113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45.5084 Exec Projects Other M&amp;S"/>
    <s v="L000013107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45.5631 LS Corp Responsibilty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45.9415 Corporate Giving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45.9541 HR Exec Projects"/>
    <s v="L00001114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45.9655 Communications Executive Proj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45.9797 Studio Expansion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5084 Exec Projects Other M&amp;S"/>
    <s v="L000013107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5611 LS Brand team"/>
    <s v="L000011329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5631 LS Corp Responsibilty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5632 Creative Services Depreciation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6042 Business &amp; Competitive Information"/>
    <s v="L0000113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6726 Exec Projects R&amp;D"/>
    <s v="L00001310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415 Corporate Giving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479 LS Global Portfolio Brand US"/>
    <s v="L000011332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01 US Burlington HQ CEO Office"/>
    <s v="L0000111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09 US WIL HR Exec Proj 1975"/>
    <s v="L00001114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17 Employee Engagement"/>
    <s v="L0000111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40 Executive Projects other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41 HR Exec Projects"/>
    <s v="L00001114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53 C-virus activities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56 LS Strategy"/>
    <s v="L0000113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655 Communications Executive Proj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659 Pharma Value Chain"/>
    <s v="L00001133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679 LS Creative Services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793 PVC - AI Enabled Drug Discovery"/>
    <s v="L000012431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794 PVC - Advanced Cell Culture"/>
    <s v="L000012432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795 PVC - Exploration"/>
    <s v="L00001133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797 Studio Expansion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871 LS Business Development"/>
    <s v="L00001373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23501 LS Lab hub Interim solution A60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23502 LS interim solution R&amp;D growth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30700 LS Global Portfolio Brand - Germany"/>
    <s v="L000011332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36700 LS Brand Team - Germany"/>
    <s v="L000011329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36710 Business Development"/>
    <s v="L00001373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61600 Life Science C4 Exp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83000 LS Strategy"/>
    <s v="L0000113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500 LS Business Services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550 LS Creative Services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650 LS Strategic Initiatives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760 Studio Expansion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840 HR Execuitive Projects"/>
    <s v="L00001114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860 LS R&amp;D Executive Projects"/>
    <s v="L00001310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880 LS Executive Projects Other M&amp;S"/>
    <s v="L000013107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TEMPEU_1000TR10ADK701 Comm Exec Proj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TEMPLA_1000BR10110001 Comm Exec Proj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4"/>
    <s v="FL000011147_IO Executive Projects Comm-G (IO)"/>
    <s v="L000011146"/>
    <m/>
    <s v="Non-LFF"/>
    <s v=""/>
    <m/>
    <b v="0"/>
    <x v="2"/>
    <x v="2"/>
    <d v="2025-05-13T03:27:57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6" firstHeaderRow="1" firstDataRow="1" firstDataCol="1" rowPageCount="1" colPageCount="1"/>
  <pivotFields count="19">
    <pivotField axis="axisRow" showAll="0" sortType="ascending">
      <items count="1385">
        <item m="1" x="769"/>
        <item x="0"/>
        <item m="1" x="839"/>
        <item m="1" x="1260"/>
        <item m="1" x="422"/>
        <item m="1" x="1277"/>
        <item m="1" x="799"/>
        <item m="1" x="889"/>
        <item m="1" x="1310"/>
        <item m="1" x="1104"/>
        <item m="1" x="792"/>
        <item m="1" x="1376"/>
        <item m="1" x="1122"/>
        <item m="1" x="1366"/>
        <item m="1" x="740"/>
        <item m="1" x="641"/>
        <item m="1" x="345"/>
        <item m="1" x="606"/>
        <item m="1" x="1330"/>
        <item m="1" x="398"/>
        <item m="1" x="706"/>
        <item m="1" x="1074"/>
        <item m="1" x="789"/>
        <item m="1" x="882"/>
        <item m="1" x="1178"/>
        <item m="1" x="1363"/>
        <item m="1" x="824"/>
        <item m="1" x="846"/>
        <item m="1" x="611"/>
        <item m="1" x="1012"/>
        <item m="1" x="771"/>
        <item m="1" x="1317"/>
        <item m="1" x="974"/>
        <item m="1" x="407"/>
        <item m="1" x="515"/>
        <item m="1" x="1302"/>
        <item m="1" x="1066"/>
        <item m="1" x="320"/>
        <item m="1" x="1152"/>
        <item m="1" x="818"/>
        <item m="1" x="1113"/>
        <item m="1" x="699"/>
        <item m="1" x="1051"/>
        <item m="1" x="310"/>
        <item m="1" x="340"/>
        <item m="1" x="1379"/>
        <item m="1" x="1058"/>
        <item m="1" x="1126"/>
        <item m="1" x="1233"/>
        <item m="1" x="1002"/>
        <item m="1" x="1100"/>
        <item m="1" x="939"/>
        <item m="1" x="394"/>
        <item m="1" x="585"/>
        <item m="1" x="1361"/>
        <item m="1" x="929"/>
        <item m="1" x="1069"/>
        <item m="1" x="597"/>
        <item m="1" x="558"/>
        <item m="1" x="850"/>
        <item m="1" x="742"/>
        <item m="1" x="775"/>
        <item m="1" x="334"/>
        <item m="1" x="473"/>
        <item m="1" x="1135"/>
        <item m="1" x="1352"/>
        <item m="1" x="538"/>
        <item m="1" x="943"/>
        <item m="1" x="953"/>
        <item m="1" x="1130"/>
        <item m="1" x="1240"/>
        <item m="1" x="1118"/>
        <item m="1" x="413"/>
        <item m="1" x="1261"/>
        <item m="1" x="991"/>
        <item m="1" x="978"/>
        <item m="1" x="513"/>
        <item m="1" x="866"/>
        <item m="1" x="1213"/>
        <item m="1" x="331"/>
        <item m="1" x="910"/>
        <item m="1" x="1263"/>
        <item m="1" x="1101"/>
        <item m="1" x="836"/>
        <item m="1" x="878"/>
        <item m="1" x="759"/>
        <item m="1" x="994"/>
        <item m="1" x="806"/>
        <item m="1" x="1038"/>
        <item m="1" x="522"/>
        <item m="1" x="1351"/>
        <item m="1" x="876"/>
        <item m="1" x="1162"/>
        <item m="1" x="239"/>
        <item m="1" x="1367"/>
        <item m="1" x="903"/>
        <item m="1" x="1192"/>
        <item m="1" x="1105"/>
        <item m="1" x="883"/>
        <item m="1" x="393"/>
        <item m="1" x="400"/>
        <item m="1" x="440"/>
        <item m="1" x="622"/>
        <item m="1" x="1046"/>
        <item m="1" x="807"/>
        <item m="1" x="923"/>
        <item m="1" x="986"/>
        <item m="1" x="1133"/>
        <item m="1" x="1216"/>
        <item m="1" x="778"/>
        <item m="1" x="499"/>
        <item m="1" x="342"/>
        <item m="1" x="485"/>
        <item m="1" x="1360"/>
        <item m="1" x="517"/>
        <item m="1" x="1198"/>
        <item m="1" x="1127"/>
        <item m="1" x="745"/>
        <item m="1" x="817"/>
        <item m="1" x="683"/>
        <item m="1" x="940"/>
        <item m="1" x="1315"/>
        <item m="1" x="491"/>
        <item m="1" x="439"/>
        <item m="1" x="374"/>
        <item m="1" x="1040"/>
        <item m="1" x="1300"/>
        <item m="1" x="1228"/>
        <item m="1" x="885"/>
        <item m="1" x="409"/>
        <item m="1" x="1134"/>
        <item m="1" x="586"/>
        <item m="1" x="840"/>
        <item m="1" x="1015"/>
        <item m="1" x="1123"/>
        <item m="1" x="243"/>
        <item m="1" x="1072"/>
        <item m="1" x="1035"/>
        <item m="1" x="476"/>
        <item m="1" x="924"/>
        <item m="1" x="812"/>
        <item m="1" x="765"/>
        <item m="1" x="498"/>
        <item m="1" x="434"/>
        <item m="1" x="674"/>
        <item m="1" x="861"/>
        <item m="1" x="268"/>
        <item m="1" x="607"/>
        <item m="1" x="466"/>
        <item m="1" x="208"/>
        <item m="1" x="718"/>
        <item m="1" x="919"/>
        <item m="1" x="801"/>
        <item m="1" x="847"/>
        <item m="1" x="1166"/>
        <item m="1" x="748"/>
        <item m="1" x="1274"/>
        <item m="1" x="998"/>
        <item m="1" x="937"/>
        <item m="1" x="451"/>
        <item m="1" x="1084"/>
        <item m="1" x="1362"/>
        <item m="1" x="1050"/>
        <item m="1" x="1034"/>
        <item m="1" x="321"/>
        <item m="1" x="369"/>
        <item m="1" x="904"/>
        <item m="1" x="410"/>
        <item m="1" x="1347"/>
        <item m="1" x="1013"/>
        <item m="1" x="938"/>
        <item m="1" x="890"/>
        <item m="1" x="691"/>
        <item m="1" x="319"/>
        <item m="1" x="419"/>
        <item m="1" x="525"/>
        <item m="1" x="1258"/>
        <item m="1" x="1290"/>
        <item m="1" x="989"/>
        <item m="1" x="716"/>
        <item m="1" x="804"/>
        <item m="1" x="314"/>
        <item m="1" x="354"/>
        <item m="1" x="693"/>
        <item m="1" x="918"/>
        <item m="1" x="831"/>
        <item m="1" x="489"/>
        <item m="1" x="722"/>
        <item m="1" x="436"/>
        <item m="1" x="631"/>
        <item m="1" x="553"/>
        <item m="1" x="388"/>
        <item m="1" x="524"/>
        <item m="1" x="894"/>
        <item m="1" x="304"/>
        <item m="1" x="543"/>
        <item m="1" x="335"/>
        <item m="1" x="1028"/>
        <item m="1" x="1217"/>
        <item m="1" x="827"/>
        <item m="1" x="471"/>
        <item m="1" x="1121"/>
        <item m="1" x="966"/>
        <item m="1" x="483"/>
        <item m="1" x="484"/>
        <item m="1" x="669"/>
        <item m="1" x="359"/>
        <item m="1" x="548"/>
        <item m="1" x="343"/>
        <item m="1" x="529"/>
        <item m="1" x="1097"/>
        <item m="1" x="608"/>
        <item m="1" x="975"/>
        <item m="1" x="1025"/>
        <item m="1" x="1159"/>
        <item m="1" x="1163"/>
        <item m="1" x="880"/>
        <item m="1" x="721"/>
        <item m="1" x="760"/>
        <item m="1" x="1327"/>
        <item m="1" x="620"/>
        <item m="1" x="432"/>
        <item m="1" x="810"/>
        <item m="1" x="267"/>
        <item m="1" x="1331"/>
        <item m="1" x="794"/>
        <item m="1" x="228"/>
        <item m="1" x="1249"/>
        <item m="1" x="1292"/>
        <item m="1" x="1129"/>
        <item m="1" x="506"/>
        <item m="1" x="245"/>
        <item m="1" x="1179"/>
        <item m="1" x="570"/>
        <item m="1" x="206"/>
        <item m="1" x="1350"/>
        <item m="1" x="594"/>
        <item m="1" x="749"/>
        <item m="1" x="1194"/>
        <item m="1" x="281"/>
        <item m="1" x="1106"/>
        <item m="1" x="914"/>
        <item m="1" x="779"/>
        <item m="1" x="649"/>
        <item m="1" x="396"/>
        <item m="1" x="897"/>
        <item m="1" x="599"/>
        <item m="1" x="1137"/>
        <item m="1" x="459"/>
        <item m="1" x="1207"/>
        <item m="1" x="1214"/>
        <item m="1" x="898"/>
        <item m="1" x="1088"/>
        <item m="1" x="505"/>
        <item m="1" x="802"/>
        <item m="1" x="1091"/>
        <item m="1" x="675"/>
        <item m="1" x="965"/>
        <item m="1" x="604"/>
        <item m="1" x="389"/>
        <item m="1" x="593"/>
        <item m="1" x="1359"/>
        <item m="1" x="1301"/>
        <item m="1" x="446"/>
        <item m="1" x="1247"/>
        <item m="1" x="253"/>
        <item m="1" x="1269"/>
        <item m="1" x="288"/>
        <item m="1" x="590"/>
        <item m="1" x="688"/>
        <item m="1" x="635"/>
        <item m="1" x="1242"/>
        <item m="1" x="1145"/>
        <item m="1" x="386"/>
        <item m="1" x="956"/>
        <item m="1" x="1164"/>
        <item m="1" x="1298"/>
        <item m="1" x="1205"/>
        <item m="1" x="291"/>
        <item m="1" x="1371"/>
        <item m="1" x="442"/>
        <item m="1" x="723"/>
        <item m="1" x="1167"/>
        <item m="1" x="290"/>
        <item m="1" x="1226"/>
        <item m="1" x="455"/>
        <item m="1" x="1099"/>
        <item m="1" x="963"/>
        <item m="1" x="941"/>
        <item m="1" x="520"/>
        <item m="1" x="482"/>
        <item m="1" x="1294"/>
        <item m="1" x="235"/>
        <item m="1" x="417"/>
        <item m="1" x="1076"/>
        <item m="1" x="1187"/>
        <item m="1" x="1114"/>
        <item m="1" x="1318"/>
        <item m="1" x="822"/>
        <item m="1" x="449"/>
        <item m="1" x="569"/>
        <item m="1" x="888"/>
        <item m="1" x="630"/>
        <item m="1" x="958"/>
        <item m="1" x="571"/>
        <item m="1" x="373"/>
        <item m="1" x="1026"/>
        <item m="1" x="428"/>
        <item m="1" x="308"/>
        <item m="1" x="1160"/>
        <item m="1" x="1307"/>
        <item m="1" x="1008"/>
        <item m="1" x="273"/>
        <item m="1" x="1199"/>
        <item m="1" x="997"/>
        <item m="1" x="1107"/>
        <item m="1" x="1246"/>
        <item m="1" x="474"/>
        <item m="1" x="666"/>
        <item m="1" x="504"/>
        <item m="1" x="772"/>
        <item m="1" x="696"/>
        <item m="1" x="726"/>
        <item m="1" x="1262"/>
        <item m="1" x="708"/>
        <item m="1" x="911"/>
        <item m="1" x="443"/>
        <item m="1" x="642"/>
        <item m="1" x="616"/>
        <item m="1" x="959"/>
        <item m="1" x="862"/>
        <item m="1" x="1090"/>
        <item m="1" x="612"/>
        <item m="1" x="1248"/>
        <item m="1" x="450"/>
        <item m="1" x="376"/>
        <item m="1" x="632"/>
        <item m="1" x="1173"/>
        <item m="1" x="283"/>
        <item m="1" x="284"/>
        <item m="1" x="580"/>
        <item m="1" x="1253"/>
        <item m="1" x="647"/>
        <item m="1" x="292"/>
        <item m="1" x="452"/>
        <item m="1" x="694"/>
        <item m="1" x="1005"/>
        <item m="1" x="977"/>
        <item m="1" x="648"/>
        <item m="1" x="229"/>
        <item m="1" x="367"/>
        <item m="1" x="579"/>
        <item m="1" x="467"/>
        <item m="1" x="224"/>
        <item m="1" x="1177"/>
        <item m="1" x="1306"/>
        <item m="1" x="776"/>
        <item m="1" x="1206"/>
        <item m="1" x="1266"/>
        <item m="1" x="289"/>
        <item m="1" x="1304"/>
        <item m="1" x="1042"/>
        <item m="1" x="465"/>
        <item m="1" x="651"/>
        <item m="1" x="555"/>
        <item m="1" x="917"/>
        <item m="1" x="488"/>
        <item m="1" x="704"/>
        <item m="1" x="999"/>
        <item m="1" x="1124"/>
        <item m="1" x="627"/>
        <item m="1" x="755"/>
        <item m="1" x="567"/>
        <item m="1" x="493"/>
        <item m="1" x="1004"/>
        <item m="1" x="1119"/>
        <item m="1" x="1281"/>
        <item m="1" x="323"/>
        <item m="1" x="527"/>
        <item m="1" x="967"/>
        <item m="1" x="368"/>
        <item m="1" x="655"/>
        <item m="1" x="1036"/>
        <item m="1" x="301"/>
        <item m="1" x="511"/>
        <item m="1" x="621"/>
        <item m="1" x="1227"/>
        <item m="1" x="460"/>
        <item m="1" x="730"/>
        <item m="1" x="1283"/>
        <item m="1" x="411"/>
        <item m="1" x="600"/>
        <item m="1" x="788"/>
        <item m="1" x="1125"/>
        <item m="1" x="423"/>
        <item m="1" x="679"/>
        <item m="1" x="521"/>
        <item m="1" x="1017"/>
        <item m="1" x="1203"/>
        <item m="1" x="329"/>
        <item m="1" x="549"/>
        <item m="1" x="1285"/>
        <item m="1" x="1250"/>
        <item m="1" x="350"/>
        <item m="1" x="667"/>
        <item m="1" x="1191"/>
        <item m="1" x="1322"/>
        <item m="1" x="1193"/>
        <item m="1" x="1168"/>
        <item m="1" x="299"/>
        <item m="1" x="475"/>
        <item m="1" x="557"/>
        <item m="1" x="546"/>
        <item m="1" x="773"/>
        <item m="1" x="261"/>
        <item m="1" x="960"/>
        <item m="1" x="1031"/>
        <item m="1" x="213"/>
        <item m="1" x="1291"/>
        <item m="1" x="1153"/>
        <item m="1" x="1282"/>
        <item m="1" x="1312"/>
        <item m="1" x="1348"/>
        <item m="1" x="1286"/>
        <item m="1" x="650"/>
        <item m="1" x="1010"/>
        <item m="1" x="617"/>
        <item m="1" x="1023"/>
        <item m="1" x="988"/>
        <item m="1" x="426"/>
        <item m="1" x="464"/>
        <item m="1" x="602"/>
        <item m="1" x="1067"/>
        <item m="1" x="587"/>
        <item m="1" x="333"/>
        <item m="1" x="1332"/>
        <item m="1" x="1082"/>
        <item m="1" x="915"/>
        <item m="1" x="947"/>
        <item m="1" x="996"/>
        <item m="1" x="421"/>
        <item m="1" x="763"/>
        <item m="1" x="1108"/>
        <item m="1" x="259"/>
        <item m="1" x="502"/>
        <item m="1" x="402"/>
        <item m="1" x="399"/>
        <item m="1" x="403"/>
        <item m="1" x="204"/>
        <item m="1" x="425"/>
        <item m="1" x="1222"/>
        <item m="1" x="226"/>
        <item m="1" x="872"/>
        <item m="1" x="1309"/>
        <item m="1" x="1120"/>
        <item m="1" x="380"/>
        <item m="1" x="1380"/>
        <item m="1" x="309"/>
        <item m="1" x="676"/>
        <item m="1" x="899"/>
        <item m="1" x="355"/>
        <item m="1" x="808"/>
        <item m="1" x="968"/>
        <item m="1" x="1236"/>
        <item m="1" x="1138"/>
        <item m="1" x="217"/>
        <item m="1" x="900"/>
        <item m="1" x="300"/>
        <item m="1" x="536"/>
        <item m="1" x="508"/>
        <item m="1" x="270"/>
        <item m="1" x="863"/>
        <item m="1" x="870"/>
        <item m="1" x="970"/>
        <item m="1" x="719"/>
        <item m="1" x="1219"/>
        <item m="1" x="628"/>
        <item m="1" x="1338"/>
        <item m="1" x="973"/>
        <item m="1" x="864"/>
        <item m="1" x="528"/>
        <item m="1" x="936"/>
        <item m="1" x="1234"/>
        <item m="1" x="1299"/>
        <item m="1" x="1278"/>
        <item m="1" x="1208"/>
        <item m="1" x="957"/>
        <item m="1" x="1070"/>
        <item m="1" x="583"/>
        <item m="1" x="1032"/>
        <item m="1" x="857"/>
        <item m="1" x="816"/>
        <item m="1" x="814"/>
        <item m="1" x="815"/>
        <item m="1" x="512"/>
        <item m="1" x="556"/>
        <item m="1" x="1169"/>
        <item m="1" x="734"/>
        <item m="1" x="576"/>
        <item m="1" x="618"/>
        <item m="1" x="664"/>
        <item m="1" x="916"/>
        <item m="1" x="1254"/>
        <item m="1" x="1343"/>
        <item m="1" x="461"/>
        <item m="1" x="412"/>
        <item m="1" x="249"/>
        <item m="1" x="271"/>
        <item m="1" x="568"/>
        <item m="1" x="356"/>
        <item m="1" x="684"/>
        <item m="1" x="1220"/>
        <item m="1" x="561"/>
        <item m="1" x="353"/>
        <item m="1" x="1112"/>
        <item m="1" x="230"/>
        <item m="1" x="1238"/>
        <item m="1" x="1313"/>
        <item m="1" x="1377"/>
        <item m="1" x="1252"/>
        <item m="1" x="495"/>
        <item m="1" x="272"/>
        <item m="1" x="736"/>
        <item m="1" x="820"/>
        <item m="1" x="1016"/>
        <item m="1" x="984"/>
        <item m="1" x="1020"/>
        <item m="1" x="797"/>
        <item m="1" x="835"/>
        <item m="1" x="1276"/>
        <item m="1" x="1039"/>
        <item m="1" x="1009"/>
        <item m="1" x="948"/>
        <item m="1" x="1021"/>
        <item m="1" x="222"/>
        <item m="1" x="227"/>
        <item m="1" x="830"/>
        <item m="1" x="1215"/>
        <item m="1" x="785"/>
        <item m="1" x="1355"/>
        <item m="1" x="754"/>
        <item m="1" x="930"/>
        <item m="1" x="1001"/>
        <item m="1" x="615"/>
        <item m="1" x="447"/>
        <item m="1" x="823"/>
        <item m="1" x="509"/>
        <item m="1" x="1364"/>
        <item m="1" x="1279"/>
        <item m="1" x="1092"/>
        <item m="1" x="349"/>
        <item m="1" x="276"/>
        <item m="1" x="849"/>
        <item m="1" x="1093"/>
        <item m="1" x="1382"/>
        <item m="1" x="728"/>
        <item m="1" x="1329"/>
        <item m="1" x="263"/>
        <item m="1" x="377"/>
        <item m="1" x="689"/>
        <item m="1" x="780"/>
        <item m="1" x="1209"/>
        <item m="1" x="533"/>
        <item m="1" x="1212"/>
        <item m="1" x="629"/>
        <item m="1" x="1201"/>
        <item m="1" x="1365"/>
        <item m="1" x="293"/>
        <item m="1" x="1349"/>
        <item m="1" x="240"/>
        <item m="1" x="1102"/>
        <item m="1" x="720"/>
        <item m="1" x="551"/>
        <item m="1" x="514"/>
        <item m="1" x="658"/>
        <item m="1" x="257"/>
        <item m="1" x="1342"/>
        <item m="1" x="341"/>
        <item m="1" x="362"/>
        <item m="1" x="1235"/>
        <item m="1" x="1314"/>
        <item m="1" x="828"/>
        <item m="1" x="969"/>
        <item m="1" x="670"/>
        <item m="1" x="783"/>
        <item m="1" x="932"/>
        <item m="1" x="1049"/>
        <item m="1" x="636"/>
        <item m="1" x="912"/>
        <item m="1" x="731"/>
        <item m="1" x="1368"/>
        <item m="1" x="221"/>
        <item m="1" x="660"/>
        <item m="1" x="601"/>
        <item m="1" x="562"/>
        <item m="1" x="1356"/>
        <item m="1" x="1174"/>
        <item m="1" x="1305"/>
        <item m="1" x="318"/>
        <item m="1" x="1316"/>
        <item m="1" x="1303"/>
        <item m="1" x="1180"/>
        <item m="1" x="415"/>
        <item m="1" x="784"/>
        <item m="1" x="877"/>
        <item m="1" x="623"/>
        <item m="1" x="1221"/>
        <item m="1" x="1007"/>
        <item m="1" x="1027"/>
        <item m="1" x="921"/>
        <item m="1" x="264"/>
        <item m="1" x="1094"/>
        <item m="1" x="1256"/>
        <item m="1" x="661"/>
        <item m="1" x="1375"/>
        <item m="1" x="869"/>
        <item m="1" x="456"/>
        <item m="1" x="589"/>
        <item m="1" x="625"/>
        <item m="1" x="1284"/>
        <item m="1" x="1268"/>
        <item m="1" x="328"/>
        <item m="1" x="330"/>
        <item m="1" x="244"/>
        <item m="1" x="1204"/>
        <item m="1" x="246"/>
        <item m="1" x="663"/>
        <item m="1" x="563"/>
        <item m="1" x="1019"/>
        <item m="1" x="962"/>
        <item m="1" x="1311"/>
        <item m="1" x="1243"/>
        <item m="1" x="735"/>
        <item m="1" x="949"/>
        <item m="1" x="1184"/>
        <item m="1" x="297"/>
        <item m="1" x="729"/>
        <item m="1" x="659"/>
        <item m="1" x="1353"/>
        <item m="1" x="1320"/>
        <item m="1" x="751"/>
        <item m="1" x="357"/>
        <item m="1" x="652"/>
        <item m="1" x="825"/>
        <item m="1" x="279"/>
        <item m="1" x="1115"/>
        <item m="1" x="709"/>
        <item m="1" x="519"/>
        <item m="1" x="613"/>
        <item m="1" x="1059"/>
        <item m="1" x="1358"/>
        <item m="1" x="437"/>
        <item m="1" x="1210"/>
        <item m="1" x="431"/>
        <item m="1" x="995"/>
        <item m="1" x="767"/>
        <item m="1" x="698"/>
        <item m="1" x="420"/>
        <item m="1" x="487"/>
        <item m="1" x="275"/>
        <item m="1" x="1075"/>
        <item m="1" x="588"/>
        <item m="1" x="312"/>
        <item m="1" x="926"/>
        <item m="1" x="1241"/>
        <item m="1" x="781"/>
        <item m="1" x="739"/>
        <item m="1" x="210"/>
        <item m="1" x="1346"/>
        <item m="1" x="596"/>
        <item m="1" x="656"/>
        <item m="1" x="1063"/>
        <item m="1" x="1340"/>
        <item m="1" x="1265"/>
        <item m="1" x="1116"/>
        <item m="1" x="1231"/>
        <item m="1" x="392"/>
        <item m="1" x="591"/>
        <item m="1" x="424"/>
        <item m="1" x="216"/>
        <item m="1" x="829"/>
        <item m="1" x="278"/>
        <item m="1" x="500"/>
        <item m="1" x="444"/>
        <item m="1" x="390"/>
        <item m="1" x="1345"/>
        <item m="1" x="441"/>
        <item m="1" x="1043"/>
        <item m="1" x="1255"/>
        <item m="1" x="381"/>
        <item m="1" x="285"/>
        <item m="1" x="1078"/>
        <item m="1" x="1054"/>
        <item m="1" x="1095"/>
        <item m="1" x="1014"/>
        <item m="1" x="358"/>
        <item m="1" x="714"/>
        <item m="1" x="982"/>
        <item m="1" x="1232"/>
        <item m="1" x="826"/>
        <item m="1" x="944"/>
        <item m="1" x="1288"/>
        <item m="1" x="700"/>
        <item m="1" x="544"/>
        <item m="1" x="777"/>
        <item m="1" x="724"/>
        <item m="1" x="654"/>
        <item m="1" x="1171"/>
        <item m="1" x="858"/>
        <item m="1" x="954"/>
        <item m="1" x="205"/>
        <item m="1" x="750"/>
        <item m="1" x="352"/>
        <item m="1" x="619"/>
        <item m="1" x="757"/>
        <item m="1" x="287"/>
        <item m="1" x="404"/>
        <item m="1" x="859"/>
        <item m="1" x="1056"/>
        <item m="1" x="1326"/>
        <item m="1" x="1369"/>
        <item m="1" x="979"/>
        <item m="1" x="327"/>
        <item m="1" x="255"/>
        <item m="1" x="841"/>
        <item m="1" x="463"/>
        <item m="1" x="737"/>
        <item m="1" x="365"/>
        <item m="1" x="468"/>
        <item m="1" x="895"/>
        <item m="1" x="1251"/>
        <item m="1" x="1182"/>
        <item m="1" x="598"/>
        <item m="1" x="633"/>
        <item m="1" x="909"/>
        <item m="1" x="1339"/>
        <item m="1" x="1065"/>
        <item m="1" x="231"/>
        <item m="1" x="1293"/>
        <item m="1" x="339"/>
        <item m="1" x="985"/>
        <item m="1" x="1030"/>
        <item m="1" x="1033"/>
        <item m="1" x="1373"/>
        <item m="1" x="266"/>
        <item m="1" x="1044"/>
        <item m="1" x="1141"/>
        <item m="1" x="913"/>
        <item m="1" x="1083"/>
        <item m="1" x="325"/>
        <item m="1" x="717"/>
        <item m="1" x="564"/>
        <item m="1" x="1176"/>
        <item m="1" x="1271"/>
        <item m="1" x="800"/>
        <item m="1" x="1239"/>
        <item m="1" x="1287"/>
        <item m="1" x="640"/>
        <item m="1" x="1143"/>
        <item m="1" x="1006"/>
        <item m="1" x="1289"/>
        <item m="1" x="1333"/>
        <item m="1" x="1071"/>
        <item m="1" x="681"/>
        <item m="1" x="486"/>
        <item m="1" x="1321"/>
        <item m="1" x="868"/>
        <item m="1" x="842"/>
        <item m="1" x="851"/>
        <item m="1" x="1372"/>
        <item m="1" x="1096"/>
        <item m="1" x="791"/>
        <item m="1" x="1060"/>
        <item m="1" x="1037"/>
        <item m="1" x="653"/>
        <item m="1" x="554"/>
        <item m="1" x="1053"/>
        <item m="1" x="448"/>
        <item m="1" x="405"/>
        <item m="1" x="347"/>
        <item m="1" x="1334"/>
        <item m="1" x="950"/>
        <item m="1" x="685"/>
        <item m="1" x="766"/>
        <item m="1" x="247"/>
        <item m="1" x="1323"/>
        <item m="1" x="874"/>
        <item m="1" x="1022"/>
        <item m="1" x="470"/>
        <item m="1" x="1154"/>
        <item m="1" x="657"/>
        <item m="1" x="550"/>
        <item m="1" x="1378"/>
        <item m="1" x="680"/>
        <item m="1" x="1319"/>
        <item m="1" x="905"/>
        <item m="1" x="581"/>
        <item m="1" x="372"/>
        <item m="1" x="315"/>
        <item m="1" x="609"/>
        <item m="1" x="306"/>
        <item m="1" x="277"/>
        <item m="1" x="294"/>
        <item m="1" x="573"/>
        <item m="1" x="418"/>
        <item m="1" x="725"/>
        <item m="1" x="782"/>
        <item m="1" x="881"/>
        <item m="1" x="752"/>
        <item m="1" x="1085"/>
        <item m="1" x="1149"/>
        <item m="1" x="361"/>
        <item m="1" x="371"/>
        <item m="1" x="560"/>
        <item m="1" x="702"/>
        <item m="1" x="492"/>
        <item m="1" x="1045"/>
        <item m="1" x="795"/>
        <item m="1" x="712"/>
        <item m="1" x="845"/>
        <item m="1" x="1151"/>
        <item m="1" x="1089"/>
        <item m="1" x="1175"/>
        <item m="1" x="931"/>
        <item m="1" x="351"/>
        <item m="1" x="1357"/>
        <item m="1" x="770"/>
        <item m="1" x="385"/>
        <item m="1" x="209"/>
        <item m="1" x="1354"/>
        <item m="1" x="838"/>
        <item m="1" x="805"/>
        <item m="1" x="577"/>
        <item m="1" x="457"/>
        <item m="1" x="541"/>
        <item m="1" x="695"/>
        <item m="1" x="1270"/>
        <item m="1" x="1189"/>
        <item m="1" x="565"/>
        <item m="1" x="638"/>
        <item m="1" x="645"/>
        <item m="1" x="1183"/>
        <item m="1" x="786"/>
        <item m="1" x="258"/>
        <item m="1" x="819"/>
        <item m="1" x="1098"/>
        <item m="1" x="1224"/>
        <item m="1" x="1117"/>
        <item m="1" x="925"/>
        <item m="1" x="1223"/>
        <item m="1" x="237"/>
        <item m="1" x="1140"/>
        <item m="1" x="219"/>
        <item m="1" x="559"/>
        <item m="1" x="223"/>
        <item m="1" x="382"/>
        <item m="1" x="472"/>
        <item m="1" x="478"/>
        <item m="1" x="896"/>
        <item m="1" x="1150"/>
        <item m="1" x="677"/>
        <item m="1" x="248"/>
        <item m="1" x="454"/>
        <item m="1" x="242"/>
        <item m="1" x="1237"/>
        <item m="1" x="462"/>
        <item m="1" x="798"/>
        <item m="1" x="1257"/>
        <item m="1" x="584"/>
        <item m="1" x="526"/>
        <item m="1" x="922"/>
        <item m="1" x="479"/>
        <item m="1" x="787"/>
        <item m="1" x="1081"/>
        <item m="1" x="220"/>
        <item m="1" x="733"/>
        <item m="1" x="852"/>
        <item m="1" x="344"/>
        <item m="1" x="686"/>
        <item m="1" x="821"/>
        <item m="1" x="572"/>
        <item m="1" x="610"/>
        <item m="1" x="337"/>
        <item m="1" x="743"/>
        <item m="1" x="207"/>
        <item m="1" x="879"/>
        <item m="1" x="1272"/>
        <item m="1" x="993"/>
        <item m="1" x="987"/>
        <item m="1" x="886"/>
        <item m="1" x="212"/>
        <item m="1" x="1018"/>
        <item m="1" x="1061"/>
        <item m="1" x="867"/>
        <item m="1" x="211"/>
        <item m="1" x="1218"/>
        <item m="1" x="1185"/>
        <item m="1" x="215"/>
        <item m="1" x="494"/>
        <item m="1" x="884"/>
        <item m="1" x="1139"/>
        <item m="1" x="336"/>
        <item m="1" x="232"/>
        <item m="1" x="391"/>
        <item m="1" x="282"/>
        <item m="1" x="690"/>
        <item m="1" x="503"/>
        <item m="1" x="501"/>
        <item m="1" x="672"/>
        <item m="1" x="774"/>
        <item m="1" x="678"/>
        <item m="1" x="875"/>
        <item m="1" x="727"/>
        <item m="1" x="592"/>
        <item m="1" x="707"/>
        <item m="1" x="1200"/>
        <item m="1" x="1295"/>
        <item m="1" x="552"/>
        <item m="1" x="1275"/>
        <item m="1" x="317"/>
        <item m="1" x="1264"/>
        <item m="1" x="961"/>
        <item m="1" x="1132"/>
        <item m="1" x="1211"/>
        <item m="1" x="891"/>
        <item m="1" x="1103"/>
        <item m="1" x="395"/>
        <item m="1" x="378"/>
        <item m="1" x="1000"/>
        <item m="1" x="972"/>
        <item m="1" x="534"/>
        <item m="1" x="1370"/>
        <item m="1" x="942"/>
        <item m="1" x="682"/>
        <item m="1" x="756"/>
        <item m="1" x="715"/>
        <item m="1" x="1225"/>
        <item m="1" x="1229"/>
        <item m="1" x="225"/>
        <item m="1" x="1109"/>
        <item m="1" x="1155"/>
        <item m="1" x="274"/>
        <item m="1" x="646"/>
        <item m="1" x="637"/>
        <item m="1" x="1144"/>
        <item m="1" x="843"/>
        <item m="1" x="1047"/>
        <item m="1" x="713"/>
        <item m="1" x="1064"/>
        <item m="1" x="252"/>
        <item m="1" x="375"/>
        <item m="1" x="1344"/>
        <item m="1" x="964"/>
        <item m="1" x="1336"/>
        <item m="1" x="256"/>
        <item m="1" x="516"/>
        <item m="1" x="332"/>
        <item m="1" x="265"/>
        <item m="1" x="280"/>
        <item m="1" x="832"/>
        <item m="1" x="865"/>
        <item m="1" x="537"/>
        <item m="1" x="955"/>
        <item m="1" x="1273"/>
        <item m="1" x="624"/>
        <item m="1" x="703"/>
        <item m="1" x="853"/>
        <item m="1" x="1341"/>
        <item m="1" x="518"/>
        <item m="1" x="530"/>
        <item m="1" x="540"/>
        <item m="1" x="1161"/>
        <item m="1" x="1297"/>
        <item m="1" x="214"/>
        <item m="1" x="1041"/>
        <item m="1" x="1337"/>
        <item m="1" x="438"/>
        <item m="1" x="753"/>
        <item m="1" x="1374"/>
        <item m="1" x="1280"/>
        <item m="1" x="427"/>
        <item m="1" x="539"/>
        <item m="1" x="626"/>
        <item m="1" x="951"/>
        <item m="1" x="1148"/>
        <item m="1" x="383"/>
        <item m="1" x="854"/>
        <item m="1" x="379"/>
        <item m="1" x="348"/>
        <item m="1" x="296"/>
        <item m="1" x="1267"/>
        <item m="1" x="860"/>
        <item m="1" x="1308"/>
        <item m="1" x="701"/>
        <item m="1" x="1325"/>
        <item m="1" x="1077"/>
        <item m="1" x="366"/>
        <item m="1" x="1181"/>
        <item m="1" x="1195"/>
        <item m="1" x="855"/>
        <item m="1" x="1230"/>
        <item m="1" x="1068"/>
        <item m="1" x="933"/>
        <item m="1" x="250"/>
        <item m="1" x="1079"/>
        <item m="1" x="811"/>
        <item m="1" x="744"/>
        <item m="1" x="1087"/>
        <item m="1" x="671"/>
        <item m="1" x="305"/>
        <item m="1" x="477"/>
        <item m="1" x="254"/>
        <item m="1" x="603"/>
        <item m="1" x="981"/>
        <item m="1" x="566"/>
        <item m="1" x="429"/>
        <item m="1" x="644"/>
        <item m="1" x="322"/>
        <item m="1" x="574"/>
        <item m="1" x="445"/>
        <item m="1" x="796"/>
        <item m="1" x="1383"/>
        <item m="1" x="837"/>
        <item m="1" x="433"/>
        <item m="1" x="710"/>
        <item m="1" x="416"/>
        <item m="1" x="469"/>
        <item m="1" x="761"/>
        <item m="1" x="1029"/>
        <item m="1" x="746"/>
        <item m="1" x="1196"/>
        <item m="1" x="758"/>
        <item m="1" x="992"/>
        <item m="1" x="307"/>
        <item m="1" x="790"/>
        <item m="1" x="430"/>
        <item m="1" x="360"/>
        <item m="1" x="1086"/>
        <item m="1" x="401"/>
        <item m="1" x="1110"/>
        <item m="1" x="302"/>
        <item m="1" x="927"/>
        <item m="1" x="934"/>
        <item m="1" x="338"/>
        <item m="1" x="856"/>
        <item m="1" x="234"/>
        <item m="1" x="1057"/>
        <item m="1" x="762"/>
        <item m="1" x="983"/>
        <item m="1" x="952"/>
        <item m="1" x="1172"/>
        <item m="1" x="945"/>
        <item m="1" x="523"/>
        <item m="1" x="1024"/>
        <item m="1" x="1158"/>
        <item m="1" x="848"/>
        <item m="1" x="980"/>
        <item m="1" x="313"/>
        <item m="1" x="1146"/>
        <item m="1" x="803"/>
        <item m="1" x="668"/>
        <item m="1" x="1052"/>
        <item m="1" x="578"/>
        <item m="1" x="901"/>
        <item m="1" x="435"/>
        <item m="1" x="531"/>
        <item m="1" x="928"/>
        <item m="1" x="697"/>
        <item m="1" x="241"/>
        <item m="1" x="575"/>
        <item m="1" x="1055"/>
        <item m="1" x="1157"/>
        <item m="1" x="260"/>
        <item m="1" x="545"/>
        <item m="1" x="480"/>
        <item m="1" x="813"/>
        <item m="1" x="906"/>
        <item m="1" x="346"/>
        <item m="1" x="1328"/>
        <item m="1" x="311"/>
        <item m="1" x="384"/>
        <item m="1" x="1165"/>
        <item m="1" x="673"/>
        <item m="1" x="687"/>
        <item m="1" x="741"/>
        <item m="1" x="316"/>
        <item m="1" x="595"/>
        <item m="1" x="990"/>
        <item m="1" x="902"/>
        <item m="1" x="692"/>
        <item m="1" x="639"/>
        <item m="1" x="269"/>
        <item m="1" x="507"/>
        <item m="1" x="971"/>
        <item m="1" x="605"/>
        <item m="1" x="768"/>
        <item m="1" x="705"/>
        <item m="1" x="887"/>
        <item m="1" x="251"/>
        <item m="1" x="732"/>
        <item m="1" x="406"/>
        <item m="1" x="809"/>
        <item m="1" x="935"/>
        <item m="1" x="1011"/>
        <item m="1" x="946"/>
        <item m="1" x="907"/>
        <item m="1" x="833"/>
        <item m="1" x="1244"/>
        <item m="1" x="1136"/>
        <item m="1" x="387"/>
        <item m="1" x="1128"/>
        <item m="1" x="582"/>
        <item m="1" x="892"/>
        <item m="1" x="298"/>
        <item m="1" x="871"/>
        <item m="1" x="738"/>
        <item m="1" x="1170"/>
        <item m="1" x="324"/>
        <item m="1" x="1381"/>
        <item m="1" x="363"/>
        <item m="1" x="303"/>
        <item m="1" x="873"/>
        <item m="1" x="1073"/>
        <item m="1" x="976"/>
        <item m="1" x="262"/>
        <item m="1" x="414"/>
        <item m="1" x="1202"/>
        <item m="1" x="1142"/>
        <item m="1" x="397"/>
        <item m="1" x="370"/>
        <item m="1" x="665"/>
        <item m="1" x="286"/>
        <item m="1" x="893"/>
        <item m="1" x="326"/>
        <item m="1" x="496"/>
        <item m="1" x="793"/>
        <item m="1" x="1324"/>
        <item m="1" x="364"/>
        <item m="1" x="634"/>
        <item m="1" x="481"/>
        <item m="1" x="643"/>
        <item m="1" x="1197"/>
        <item m="1" x="1080"/>
        <item m="1" x="542"/>
        <item m="1" x="295"/>
        <item m="1" x="1245"/>
        <item m="1" x="408"/>
        <item m="1" x="1190"/>
        <item m="1" x="747"/>
        <item m="1" x="1131"/>
        <item m="1" x="490"/>
        <item m="1" x="662"/>
        <item m="1" x="1147"/>
        <item m="1" x="1335"/>
        <item m="1" x="1111"/>
        <item m="1" x="510"/>
        <item m="1" x="453"/>
        <item m="1" x="1156"/>
        <item m="1" x="920"/>
        <item m="1" x="764"/>
        <item m="1" x="1188"/>
        <item m="1" x="236"/>
        <item m="1" x="233"/>
        <item m="1" x="908"/>
        <item m="1" x="1048"/>
        <item m="1" x="1003"/>
        <item m="1" x="1186"/>
        <item m="1" x="711"/>
        <item m="1" x="458"/>
        <item m="1" x="532"/>
        <item m="1" x="1062"/>
        <item m="1" x="614"/>
        <item m="1" x="844"/>
        <item m="1" x="1259"/>
        <item m="1" x="497"/>
        <item m="1" x="834"/>
        <item m="1" x="218"/>
        <item m="1" x="54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00"/>
        <item x="199"/>
        <item x="201"/>
        <item x="202"/>
        <item m="1" x="535"/>
        <item m="1" x="1296"/>
        <item m="1" x="238"/>
        <item m="1" x="20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2">
    <i>
      <x/>
    </i>
    <i r="1">
      <x v="1376"/>
    </i>
    <i r="2">
      <x v="8"/>
    </i>
    <i r="1">
      <x v="1377"/>
    </i>
    <i r="2">
      <x v="8"/>
    </i>
    <i r="1">
      <x v="1378"/>
    </i>
    <i r="2">
      <x v="8"/>
    </i>
    <i r="1">
      <x v="1379"/>
    </i>
    <i r="2">
      <x v="8"/>
    </i>
    <i r="2">
      <x v="10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23" totalsRowShown="0" totalsRowDxfId="24">
  <autoFilter ref="A1:C1123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430" totalsRowShown="0">
  <autoFilter ref="A1:S1430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5" totalsRowShown="0">
  <autoFilter ref="A1:B12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4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1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4" sqref="A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4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71">
        <v>132</v>
      </c>
      <c r="C5"/>
      <c r="D5"/>
      <c r="E5"/>
    </row>
    <row r="6" spans="1:6">
      <c r="A6" s="67" t="s">
        <v>3480</v>
      </c>
      <c r="B6" s="71">
        <v>17</v>
      </c>
      <c r="C6"/>
      <c r="D6"/>
      <c r="E6"/>
    </row>
    <row r="7" spans="1:6">
      <c r="A7" s="68" t="s">
        <v>370</v>
      </c>
      <c r="B7" s="71">
        <v>17</v>
      </c>
      <c r="C7"/>
      <c r="D7"/>
      <c r="E7"/>
    </row>
    <row r="8" spans="1:6">
      <c r="A8" s="67" t="s">
        <v>3462</v>
      </c>
      <c r="B8" s="71">
        <v>36</v>
      </c>
      <c r="C8" s="56"/>
      <c r="D8"/>
      <c r="E8"/>
    </row>
    <row r="9" spans="1:6">
      <c r="A9" s="68" t="s">
        <v>370</v>
      </c>
      <c r="B9" s="71">
        <v>36</v>
      </c>
      <c r="C9"/>
      <c r="D9"/>
    </row>
    <row r="10" spans="1:6">
      <c r="A10" s="67" t="s">
        <v>3481</v>
      </c>
      <c r="B10" s="71">
        <v>1</v>
      </c>
      <c r="C10" s="53"/>
      <c r="D10"/>
    </row>
    <row r="11" spans="1:6">
      <c r="A11" s="68" t="s">
        <v>370</v>
      </c>
      <c r="B11" s="71">
        <v>1</v>
      </c>
      <c r="C11"/>
      <c r="D11"/>
    </row>
    <row r="12" spans="1:6">
      <c r="A12" s="67" t="s">
        <v>3482</v>
      </c>
      <c r="B12" s="71">
        <v>78</v>
      </c>
      <c r="C12"/>
      <c r="D12"/>
    </row>
    <row r="13" spans="1:6">
      <c r="A13" s="68" t="s">
        <v>370</v>
      </c>
      <c r="B13" s="71">
        <v>71</v>
      </c>
      <c r="C13"/>
      <c r="D13"/>
    </row>
    <row r="14" spans="1:6">
      <c r="A14" s="68" t="s">
        <v>377</v>
      </c>
      <c r="B14" s="71">
        <v>1</v>
      </c>
      <c r="C14" s="53"/>
      <c r="D14"/>
    </row>
    <row r="15" spans="1:6">
      <c r="A15" s="68" t="s">
        <v>375</v>
      </c>
      <c r="B15" s="71">
        <v>6</v>
      </c>
      <c r="C15"/>
      <c r="D15"/>
    </row>
    <row r="16" spans="1:6">
      <c r="A16" s="17" t="s">
        <v>381</v>
      </c>
      <c r="B16" s="71">
        <v>132</v>
      </c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23"/>
  <sheetViews>
    <sheetView topLeftCell="A1103" workbookViewId="0">
      <selection activeCell="C1115" sqref="C1115:C112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430"/>
  <sheetViews>
    <sheetView zoomScale="85" zoomScaleNormal="85" workbookViewId="0">
      <selection activeCell="C1309" sqref="C1309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102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77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77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77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77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77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77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77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77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77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77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77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73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70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70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70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70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70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70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70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70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70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70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70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70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70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70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70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70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70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70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70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70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70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70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70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70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70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70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70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70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70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70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70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70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70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70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70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70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70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70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70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70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70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69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69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69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69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69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69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69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69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69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69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69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69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69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69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69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69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69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69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69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69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69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69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69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69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69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69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69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69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69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69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69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69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69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69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69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69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69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69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69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69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69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69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69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69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69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69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69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69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69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69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69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69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69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69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69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69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69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69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69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68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68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68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68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68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67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67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65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65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64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61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61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61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61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61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61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61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61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61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61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61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61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61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61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61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61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61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61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61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61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61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60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60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60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60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60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55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55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55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50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50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50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50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50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50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50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50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50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50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50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50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50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50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50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50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50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50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46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46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46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41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40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40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40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40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40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40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40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40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40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40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40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40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26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26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25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25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25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>
      <c r="A1299" t="s">
        <v>3462</v>
      </c>
      <c r="B1299" s="71" t="str">
        <f>IFERROR(VLOOKUP(Proc[[#This Row],[App]],Table2[],3,0),"open")</f>
        <v>open</v>
      </c>
      <c r="C1299" t="s">
        <v>370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1"/>
      <c r="O1299" s="81"/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1</v>
      </c>
      <c r="R1299" s="82" t="s">
        <v>508</v>
      </c>
      <c r="S1299" s="71"/>
    </row>
    <row r="1300" spans="1:19">
      <c r="A1300" s="74" t="s">
        <v>3462</v>
      </c>
      <c r="B1300" s="71" t="str">
        <f>IFERROR(VLOOKUP(Proc[[#This Row],[App]],Table2[],3,0),"open")</f>
        <v>open</v>
      </c>
      <c r="C1300" s="74" t="s">
        <v>370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1"/>
      <c r="O1300" s="81"/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1</v>
      </c>
      <c r="R1300" s="82" t="s">
        <v>508</v>
      </c>
      <c r="S1300" s="71"/>
    </row>
    <row r="1301" spans="1:19">
      <c r="A1301" s="74" t="s">
        <v>3462</v>
      </c>
      <c r="B1301" s="71" t="str">
        <f>IFERROR(VLOOKUP(Proc[[#This Row],[App]],Table2[],3,0),"open")</f>
        <v>open</v>
      </c>
      <c r="C1301" s="74" t="s">
        <v>370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1"/>
      <c r="O1301" s="81"/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1</v>
      </c>
      <c r="R1301" s="82" t="s">
        <v>508</v>
      </c>
      <c r="S1301" s="71"/>
    </row>
    <row r="1302" spans="1:19">
      <c r="A1302" s="74" t="s">
        <v>3462</v>
      </c>
      <c r="B1302" s="71" t="str">
        <f>IFERROR(VLOOKUP(Proc[[#This Row],[App]],Table2[],3,0),"open")</f>
        <v>open</v>
      </c>
      <c r="C1302" s="74" t="s">
        <v>370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1"/>
      <c r="O1302" s="81"/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1</v>
      </c>
      <c r="R1302" s="82" t="s">
        <v>508</v>
      </c>
      <c r="S1302" s="71"/>
    </row>
    <row r="1303" spans="1:19">
      <c r="A1303" s="74" t="s">
        <v>3462</v>
      </c>
      <c r="B1303" s="71" t="str">
        <f>IFERROR(VLOOKUP(Proc[[#This Row],[App]],Table2[],3,0),"open")</f>
        <v>open</v>
      </c>
      <c r="C1303" s="74" t="s">
        <v>370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1"/>
      <c r="O1303" s="81"/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1</v>
      </c>
      <c r="R1303" s="82" t="s">
        <v>508</v>
      </c>
      <c r="S1303" s="71"/>
    </row>
    <row r="1304" spans="1:19">
      <c r="A1304" s="74" t="s">
        <v>3462</v>
      </c>
      <c r="B1304" s="71" t="str">
        <f>IFERROR(VLOOKUP(Proc[[#This Row],[App]],Table2[],3,0),"open")</f>
        <v>open</v>
      </c>
      <c r="C1304" s="74" t="s">
        <v>370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1"/>
      <c r="O1304" s="81"/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1</v>
      </c>
      <c r="R1304" s="82" t="s">
        <v>508</v>
      </c>
      <c r="S1304" s="71"/>
    </row>
    <row r="1305" spans="1:19">
      <c r="A1305" s="74" t="s">
        <v>3462</v>
      </c>
      <c r="B1305" s="71" t="str">
        <f>IFERROR(VLOOKUP(Proc[[#This Row],[App]],Table2[],3,0),"open")</f>
        <v>open</v>
      </c>
      <c r="C1305" s="74" t="s">
        <v>370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1"/>
      <c r="O1305" s="81"/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1</v>
      </c>
      <c r="R1305" s="82" t="s">
        <v>508</v>
      </c>
      <c r="S1305" s="71"/>
    </row>
    <row r="1306" spans="1:19">
      <c r="A1306" s="74" t="s">
        <v>3462</v>
      </c>
      <c r="B1306" s="71" t="str">
        <f>IFERROR(VLOOKUP(Proc[[#This Row],[App]],Table2[],3,0),"open")</f>
        <v>open</v>
      </c>
      <c r="C1306" s="74" t="s">
        <v>370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1"/>
      <c r="O1306" s="81"/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1</v>
      </c>
      <c r="R1306" s="82" t="s">
        <v>508</v>
      </c>
      <c r="S1306" s="71"/>
    </row>
    <row r="1307" spans="1:19">
      <c r="A1307" s="74" t="s">
        <v>3462</v>
      </c>
      <c r="B1307" s="71" t="str">
        <f>IFERROR(VLOOKUP(Proc[[#This Row],[App]],Table2[],3,0),"open")</f>
        <v>open</v>
      </c>
      <c r="C1307" s="74" t="s">
        <v>370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1"/>
      <c r="O1307" s="81"/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1</v>
      </c>
      <c r="R1307" s="82" t="s">
        <v>508</v>
      </c>
      <c r="S1307" s="71"/>
    </row>
    <row r="1308" spans="1:19">
      <c r="A1308" s="74" t="s">
        <v>3462</v>
      </c>
      <c r="B1308" s="71" t="str">
        <f>IFERROR(VLOOKUP(Proc[[#This Row],[App]],Table2[],3,0),"open")</f>
        <v>open</v>
      </c>
      <c r="C1308" s="74" t="s">
        <v>370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1"/>
      <c r="O1308" s="81"/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1</v>
      </c>
      <c r="R1308" s="82" t="s">
        <v>508</v>
      </c>
      <c r="S1308" s="71"/>
    </row>
    <row r="1309" spans="1:19">
      <c r="A1309" s="74" t="s">
        <v>3462</v>
      </c>
      <c r="B1309" s="71" t="str">
        <f>IFERROR(VLOOKUP(Proc[[#This Row],[App]],Table2[],3,0),"open")</f>
        <v>open</v>
      </c>
      <c r="C1309" s="74" t="s">
        <v>370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1"/>
      <c r="O1309" s="81"/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1</v>
      </c>
      <c r="R1309" s="82" t="s">
        <v>508</v>
      </c>
      <c r="S1309" s="71"/>
    </row>
    <row r="1310" spans="1:19">
      <c r="A1310" s="74" t="s">
        <v>3462</v>
      </c>
      <c r="B1310" s="71" t="str">
        <f>IFERROR(VLOOKUP(Proc[[#This Row],[App]],Table2[],3,0),"open")</f>
        <v>open</v>
      </c>
      <c r="C1310" s="74" t="s">
        <v>370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1"/>
      <c r="O1310" s="81"/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1</v>
      </c>
      <c r="R1310" s="82" t="s">
        <v>508</v>
      </c>
      <c r="S1310" s="71"/>
    </row>
    <row r="1311" spans="1:19">
      <c r="A1311" s="74" t="s">
        <v>3462</v>
      </c>
      <c r="B1311" s="71" t="str">
        <f>IFERROR(VLOOKUP(Proc[[#This Row],[App]],Table2[],3,0),"open")</f>
        <v>open</v>
      </c>
      <c r="C1311" s="74" t="s">
        <v>370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1"/>
      <c r="O1311" s="81"/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1</v>
      </c>
      <c r="R1311" s="82" t="s">
        <v>508</v>
      </c>
      <c r="S1311" s="71"/>
    </row>
    <row r="1312" spans="1:19">
      <c r="A1312" s="74" t="s">
        <v>3462</v>
      </c>
      <c r="B1312" s="71" t="str">
        <f>IFERROR(VLOOKUP(Proc[[#This Row],[App]],Table2[],3,0),"open")</f>
        <v>open</v>
      </c>
      <c r="C1312" s="74" t="s">
        <v>370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1"/>
      <c r="O1312" s="81"/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1</v>
      </c>
      <c r="R1312" s="82" t="s">
        <v>508</v>
      </c>
      <c r="S1312" s="71"/>
    </row>
    <row r="1313" spans="1:19">
      <c r="A1313" s="74" t="s">
        <v>3462</v>
      </c>
      <c r="B1313" s="71" t="str">
        <f>IFERROR(VLOOKUP(Proc[[#This Row],[App]],Table2[],3,0),"open")</f>
        <v>open</v>
      </c>
      <c r="C1313" s="74" t="s">
        <v>370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1"/>
      <c r="O1313" s="81"/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1</v>
      </c>
      <c r="R1313" s="82" t="s">
        <v>508</v>
      </c>
      <c r="S1313" s="71"/>
    </row>
    <row r="1314" spans="1:19">
      <c r="A1314" s="74" t="s">
        <v>3462</v>
      </c>
      <c r="B1314" s="71" t="str">
        <f>IFERROR(VLOOKUP(Proc[[#This Row],[App]],Table2[],3,0),"open")</f>
        <v>open</v>
      </c>
      <c r="C1314" s="74" t="s">
        <v>370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1"/>
      <c r="O1314" s="81"/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1</v>
      </c>
      <c r="R1314" s="82" t="s">
        <v>508</v>
      </c>
      <c r="S1314" s="71"/>
    </row>
    <row r="1315" spans="1:19">
      <c r="A1315" s="74" t="s">
        <v>3462</v>
      </c>
      <c r="B1315" s="71" t="str">
        <f>IFERROR(VLOOKUP(Proc[[#This Row],[App]],Table2[],3,0),"open")</f>
        <v>open</v>
      </c>
      <c r="C1315" s="74" t="s">
        <v>370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1"/>
      <c r="O1315" s="81"/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1</v>
      </c>
      <c r="R1315" s="82" t="s">
        <v>508</v>
      </c>
      <c r="S1315" s="71"/>
    </row>
    <row r="1316" spans="1:19">
      <c r="A1316" s="74" t="s">
        <v>3462</v>
      </c>
      <c r="B1316" s="71" t="str">
        <f>IFERROR(VLOOKUP(Proc[[#This Row],[App]],Table2[],3,0),"open")</f>
        <v>open</v>
      </c>
      <c r="C1316" s="74" t="s">
        <v>370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1"/>
      <c r="O1316" s="81"/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1</v>
      </c>
      <c r="R1316" s="82" t="s">
        <v>508</v>
      </c>
      <c r="S1316" s="71"/>
    </row>
    <row r="1317" spans="1:19">
      <c r="A1317" s="74" t="s">
        <v>3462</v>
      </c>
      <c r="B1317" s="71" t="str">
        <f>IFERROR(VLOOKUP(Proc[[#This Row],[App]],Table2[],3,0),"open")</f>
        <v>open</v>
      </c>
      <c r="C1317" s="74" t="s">
        <v>370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1"/>
      <c r="O1317" s="81"/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1</v>
      </c>
      <c r="R1317" s="82" t="s">
        <v>508</v>
      </c>
      <c r="S1317" s="71"/>
    </row>
    <row r="1318" spans="1:19">
      <c r="A1318" s="74" t="s">
        <v>3462</v>
      </c>
      <c r="B1318" s="71" t="str">
        <f>IFERROR(VLOOKUP(Proc[[#This Row],[App]],Table2[],3,0),"open")</f>
        <v>open</v>
      </c>
      <c r="C1318" s="74" t="s">
        <v>370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1"/>
      <c r="O1318" s="81"/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1</v>
      </c>
      <c r="R1318" s="82" t="s">
        <v>508</v>
      </c>
      <c r="S1318" s="71"/>
    </row>
    <row r="1319" spans="1:19">
      <c r="A1319" s="74" t="s">
        <v>3462</v>
      </c>
      <c r="B1319" s="71" t="str">
        <f>IFERROR(VLOOKUP(Proc[[#This Row],[App]],Table2[],3,0),"open")</f>
        <v>open</v>
      </c>
      <c r="C1319" s="74" t="s">
        <v>370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1"/>
      <c r="O1319" s="81"/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1</v>
      </c>
      <c r="R1319" s="82" t="s">
        <v>508</v>
      </c>
      <c r="S1319" s="71"/>
    </row>
    <row r="1320" spans="1:19">
      <c r="A1320" s="74" t="s">
        <v>3462</v>
      </c>
      <c r="B1320" s="71" t="str">
        <f>IFERROR(VLOOKUP(Proc[[#This Row],[App]],Table2[],3,0),"open")</f>
        <v>open</v>
      </c>
      <c r="C1320" s="74" t="s">
        <v>370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1"/>
      <c r="O1320" s="81"/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1</v>
      </c>
      <c r="R1320" s="82" t="s">
        <v>508</v>
      </c>
      <c r="S1320" s="71"/>
    </row>
    <row r="1321" spans="1:19">
      <c r="A1321" s="74" t="s">
        <v>3462</v>
      </c>
      <c r="B1321" s="71" t="str">
        <f>IFERROR(VLOOKUP(Proc[[#This Row],[App]],Table2[],3,0),"open")</f>
        <v>open</v>
      </c>
      <c r="C1321" s="74" t="s">
        <v>370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1"/>
      <c r="O1321" s="81"/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1</v>
      </c>
      <c r="R1321" s="82" t="s">
        <v>508</v>
      </c>
      <c r="S1321" s="71"/>
    </row>
    <row r="1322" spans="1:19">
      <c r="A1322" s="74" t="s">
        <v>3462</v>
      </c>
      <c r="B1322" s="71" t="str">
        <f>IFERROR(VLOOKUP(Proc[[#This Row],[App]],Table2[],3,0),"open")</f>
        <v>open</v>
      </c>
      <c r="C1322" s="74" t="s">
        <v>370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1"/>
      <c r="O1322" s="81"/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1</v>
      </c>
      <c r="R1322" s="82" t="s">
        <v>508</v>
      </c>
      <c r="S1322" s="71"/>
    </row>
    <row r="1323" spans="1:19">
      <c r="A1323" s="74" t="s">
        <v>3462</v>
      </c>
      <c r="B1323" s="71" t="str">
        <f>IFERROR(VLOOKUP(Proc[[#This Row],[App]],Table2[],3,0),"open")</f>
        <v>open</v>
      </c>
      <c r="C1323" s="74" t="s">
        <v>370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1"/>
      <c r="O1323" s="81"/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1</v>
      </c>
      <c r="R1323" s="82" t="s">
        <v>508</v>
      </c>
      <c r="S1323" s="71"/>
    </row>
    <row r="1324" spans="1:19">
      <c r="A1324" s="74" t="s">
        <v>3462</v>
      </c>
      <c r="B1324" s="71" t="str">
        <f>IFERROR(VLOOKUP(Proc[[#This Row],[App]],Table2[],3,0),"open")</f>
        <v>open</v>
      </c>
      <c r="C1324" s="74" t="s">
        <v>370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1"/>
      <c r="O1324" s="81"/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1</v>
      </c>
      <c r="R1324" s="82" t="s">
        <v>508</v>
      </c>
      <c r="S1324" s="71"/>
    </row>
    <row r="1325" spans="1:19">
      <c r="A1325" s="74" t="s">
        <v>3462</v>
      </c>
      <c r="B1325" s="71" t="str">
        <f>IFERROR(VLOOKUP(Proc[[#This Row],[App]],Table2[],3,0),"open")</f>
        <v>open</v>
      </c>
      <c r="C1325" s="74" t="s">
        <v>370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1"/>
      <c r="O1325" s="81"/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1</v>
      </c>
      <c r="R1325" s="82" t="s">
        <v>508</v>
      </c>
      <c r="S1325" s="71"/>
    </row>
    <row r="1326" spans="1:19">
      <c r="A1326" s="74" t="s">
        <v>3462</v>
      </c>
      <c r="B1326" s="71" t="str">
        <f>IFERROR(VLOOKUP(Proc[[#This Row],[App]],Table2[],3,0),"open")</f>
        <v>open</v>
      </c>
      <c r="C1326" s="74" t="s">
        <v>370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1"/>
      <c r="O1326" s="81"/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1</v>
      </c>
      <c r="R1326" s="82" t="s">
        <v>508</v>
      </c>
      <c r="S1326" s="71"/>
    </row>
    <row r="1327" spans="1:19">
      <c r="A1327" s="74" t="s">
        <v>3462</v>
      </c>
      <c r="B1327" s="71" t="str">
        <f>IFERROR(VLOOKUP(Proc[[#This Row],[App]],Table2[],3,0),"open")</f>
        <v>open</v>
      </c>
      <c r="C1327" s="74" t="s">
        <v>370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1"/>
      <c r="O1327" s="81"/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1</v>
      </c>
      <c r="R1327" s="82" t="s">
        <v>508</v>
      </c>
      <c r="S1327" s="71"/>
    </row>
    <row r="1328" spans="1:19">
      <c r="A1328" s="74" t="s">
        <v>3462</v>
      </c>
      <c r="B1328" s="71" t="str">
        <f>IFERROR(VLOOKUP(Proc[[#This Row],[App]],Table2[],3,0),"open")</f>
        <v>open</v>
      </c>
      <c r="C1328" s="74" t="s">
        <v>370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1"/>
      <c r="O1328" s="81"/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1</v>
      </c>
      <c r="R1328" s="82" t="s">
        <v>508</v>
      </c>
      <c r="S1328" s="71"/>
    </row>
    <row r="1329" spans="1:19">
      <c r="A1329" s="74" t="s">
        <v>3462</v>
      </c>
      <c r="B1329" s="71" t="str">
        <f>IFERROR(VLOOKUP(Proc[[#This Row],[App]],Table2[],3,0),"open")</f>
        <v>open</v>
      </c>
      <c r="C1329" s="74" t="s">
        <v>370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1"/>
      <c r="O1329" s="81"/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1</v>
      </c>
      <c r="R1329" s="82" t="s">
        <v>508</v>
      </c>
      <c r="S1329" s="71"/>
    </row>
    <row r="1330" spans="1:19">
      <c r="A1330" s="74" t="s">
        <v>3462</v>
      </c>
      <c r="B1330" s="71" t="str">
        <f>IFERROR(VLOOKUP(Proc[[#This Row],[App]],Table2[],3,0),"open")</f>
        <v>open</v>
      </c>
      <c r="C1330" s="74" t="s">
        <v>370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1"/>
      <c r="O1330" s="81"/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1</v>
      </c>
      <c r="R1330" s="82" t="s">
        <v>508</v>
      </c>
      <c r="S1330" s="71"/>
    </row>
    <row r="1331" spans="1:19">
      <c r="A1331" s="74" t="s">
        <v>3462</v>
      </c>
      <c r="B1331" s="71" t="str">
        <f>IFERROR(VLOOKUP(Proc[[#This Row],[App]],Table2[],3,0),"open")</f>
        <v>open</v>
      </c>
      <c r="C1331" s="74" t="s">
        <v>370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1"/>
      <c r="O1331" s="81"/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1</v>
      </c>
      <c r="R1331" s="82" t="s">
        <v>508</v>
      </c>
      <c r="S1331" s="71"/>
    </row>
    <row r="1332" spans="1:19">
      <c r="A1332" s="74" t="s">
        <v>3462</v>
      </c>
      <c r="B1332" s="71" t="str">
        <f>IFERROR(VLOOKUP(Proc[[#This Row],[App]],Table2[],3,0),"open")</f>
        <v>open</v>
      </c>
      <c r="C1332" s="74" t="s">
        <v>370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1"/>
      <c r="O1332" s="81"/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1</v>
      </c>
      <c r="R1332" s="82" t="s">
        <v>508</v>
      </c>
      <c r="S1332" s="71"/>
    </row>
    <row r="1333" spans="1:19">
      <c r="A1333" s="74" t="s">
        <v>3462</v>
      </c>
      <c r="B1333" s="71" t="str">
        <f>IFERROR(VLOOKUP(Proc[[#This Row],[App]],Table2[],3,0),"open")</f>
        <v>open</v>
      </c>
      <c r="C1333" s="74" t="s">
        <v>370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1"/>
      <c r="O1333" s="81"/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1</v>
      </c>
      <c r="R1333" s="82" t="s">
        <v>508</v>
      </c>
      <c r="S1333" s="71"/>
    </row>
    <row r="1334" spans="1:19">
      <c r="A1334" s="74" t="s">
        <v>3462</v>
      </c>
      <c r="B1334" s="71" t="str">
        <f>IFERROR(VLOOKUP(Proc[[#This Row],[App]],Table2[],3,0),"open")</f>
        <v>open</v>
      </c>
      <c r="C1334" s="74" t="s">
        <v>370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1"/>
      <c r="O1334" s="81"/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1</v>
      </c>
      <c r="R1334" s="82" t="s">
        <v>508</v>
      </c>
      <c r="S1334" s="71"/>
    </row>
    <row r="1335" spans="1:19">
      <c r="A1335" t="s">
        <v>3480</v>
      </c>
      <c r="B1335" s="71" t="str">
        <f>IFERROR(VLOOKUP(Proc[[#This Row],[App]],Table2[],3,0),"open")</f>
        <v>open</v>
      </c>
      <c r="C1335" s="74" t="s">
        <v>370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/>
      <c r="O1335" s="81"/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>
      <c r="A1336" s="74" t="s">
        <v>3480</v>
      </c>
      <c r="B1336" s="71" t="str">
        <f>IFERROR(VLOOKUP(Proc[[#This Row],[App]],Table2[],3,0),"open")</f>
        <v>open</v>
      </c>
      <c r="C1336" s="74" t="s">
        <v>370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/>
      <c r="O1336" s="81"/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>
      <c r="A1337" s="74" t="s">
        <v>3480</v>
      </c>
      <c r="B1337" s="71" t="str">
        <f>IFERROR(VLOOKUP(Proc[[#This Row],[App]],Table2[],3,0),"open")</f>
        <v>open</v>
      </c>
      <c r="C1337" s="74" t="s">
        <v>370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/>
      <c r="O1337" s="81"/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>
      <c r="A1338" s="74" t="s">
        <v>3480</v>
      </c>
      <c r="B1338" s="71" t="str">
        <f>IFERROR(VLOOKUP(Proc[[#This Row],[App]],Table2[],3,0),"open")</f>
        <v>open</v>
      </c>
      <c r="C1338" s="74" t="s">
        <v>370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/>
      <c r="O1338" s="81"/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>
      <c r="A1339" s="74" t="s">
        <v>3480</v>
      </c>
      <c r="B1339" s="71" t="str">
        <f>IFERROR(VLOOKUP(Proc[[#This Row],[App]],Table2[],3,0),"open")</f>
        <v>open</v>
      </c>
      <c r="C1339" s="74" t="s">
        <v>370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/>
      <c r="O1339" s="81"/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>
      <c r="A1340" s="74" t="s">
        <v>3480</v>
      </c>
      <c r="B1340" s="71" t="str">
        <f>IFERROR(VLOOKUP(Proc[[#This Row],[App]],Table2[],3,0),"open")</f>
        <v>open</v>
      </c>
      <c r="C1340" s="74" t="s">
        <v>370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/>
      <c r="O1340" s="81"/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>
      <c r="A1341" s="74" t="s">
        <v>3480</v>
      </c>
      <c r="B1341" s="71" t="str">
        <f>IFERROR(VLOOKUP(Proc[[#This Row],[App]],Table2[],3,0),"open")</f>
        <v>open</v>
      </c>
      <c r="C1341" s="74" t="s">
        <v>370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/>
      <c r="O1341" s="81"/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>
      <c r="A1342" s="74" t="s">
        <v>3480</v>
      </c>
      <c r="B1342" s="71" t="str">
        <f>IFERROR(VLOOKUP(Proc[[#This Row],[App]],Table2[],3,0),"open")</f>
        <v>open</v>
      </c>
      <c r="C1342" s="74" t="s">
        <v>370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/>
      <c r="O1342" s="81"/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>
      <c r="A1343" s="74" t="s">
        <v>3480</v>
      </c>
      <c r="B1343" s="71" t="str">
        <f>IFERROR(VLOOKUP(Proc[[#This Row],[App]],Table2[],3,0),"open")</f>
        <v>open</v>
      </c>
      <c r="C1343" s="74" t="s">
        <v>370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/>
      <c r="O1343" s="81"/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>
      <c r="A1344" s="74" t="s">
        <v>3480</v>
      </c>
      <c r="B1344" s="71" t="str">
        <f>IFERROR(VLOOKUP(Proc[[#This Row],[App]],Table2[],3,0),"open")</f>
        <v>open</v>
      </c>
      <c r="C1344" s="74" t="s">
        <v>370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/>
      <c r="O1344" s="81"/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>
      <c r="A1345" s="74" t="s">
        <v>3480</v>
      </c>
      <c r="B1345" s="71" t="str">
        <f>IFERROR(VLOOKUP(Proc[[#This Row],[App]],Table2[],3,0),"open")</f>
        <v>open</v>
      </c>
      <c r="C1345" s="74" t="s">
        <v>370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/>
      <c r="O1345" s="81"/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>
      <c r="A1346" s="74" t="s">
        <v>3480</v>
      </c>
      <c r="B1346" s="71" t="str">
        <f>IFERROR(VLOOKUP(Proc[[#This Row],[App]],Table2[],3,0),"open")</f>
        <v>open</v>
      </c>
      <c r="C1346" s="74" t="s">
        <v>370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/>
      <c r="O1346" s="81"/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>
      <c r="A1347" s="74" t="s">
        <v>3480</v>
      </c>
      <c r="B1347" s="71" t="str">
        <f>IFERROR(VLOOKUP(Proc[[#This Row],[App]],Table2[],3,0),"open")</f>
        <v>open</v>
      </c>
      <c r="C1347" s="74" t="s">
        <v>370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/>
      <c r="O1347" s="81"/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>
      <c r="A1348" s="74" t="s">
        <v>3480</v>
      </c>
      <c r="B1348" s="71" t="str">
        <f>IFERROR(VLOOKUP(Proc[[#This Row],[App]],Table2[],3,0),"open")</f>
        <v>open</v>
      </c>
      <c r="C1348" s="74" t="s">
        <v>370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/>
      <c r="O1348" s="81"/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>
      <c r="A1349" s="74" t="s">
        <v>3480</v>
      </c>
      <c r="B1349" s="71" t="str">
        <f>IFERROR(VLOOKUP(Proc[[#This Row],[App]],Table2[],3,0),"open")</f>
        <v>open</v>
      </c>
      <c r="C1349" s="74" t="s">
        <v>370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/>
      <c r="O1349" s="81"/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>
      <c r="A1350" s="74" t="s">
        <v>3480</v>
      </c>
      <c r="B1350" s="71" t="str">
        <f>IFERROR(VLOOKUP(Proc[[#This Row],[App]],Table2[],3,0),"open")</f>
        <v>open</v>
      </c>
      <c r="C1350" s="74" t="s">
        <v>370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/>
      <c r="O1350" s="81"/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>
      <c r="A1351" s="74" t="s">
        <v>3480</v>
      </c>
      <c r="B1351" s="71" t="str">
        <f>IFERROR(VLOOKUP(Proc[[#This Row],[App]],Table2[],3,0),"open")</f>
        <v>open</v>
      </c>
      <c r="C1351" s="74" t="s">
        <v>370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/>
      <c r="O1351" s="81"/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>
      <c r="A1352" t="s">
        <v>3481</v>
      </c>
      <c r="B1352" s="71" t="str">
        <f>IFERROR(VLOOKUP(Proc[[#This Row],[App]],Table2[],3,0),"open")</f>
        <v>open</v>
      </c>
      <c r="C1352" s="74" t="s">
        <v>370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/>
      <c r="O1352" s="81"/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>
      <c r="A1353" t="s">
        <v>3482</v>
      </c>
      <c r="B1353" s="71" t="str">
        <f>IFERROR(VLOOKUP(Proc[[#This Row],[App]],Table2[],3,0),"open")</f>
        <v>open</v>
      </c>
      <c r="C1353" s="74" t="s">
        <v>370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1"/>
      <c r="O1353" s="81"/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0</v>
      </c>
      <c r="R1353" s="82" t="s">
        <v>508</v>
      </c>
      <c r="S1353" s="71"/>
    </row>
    <row r="1354" spans="1:19">
      <c r="A1354" s="74" t="s">
        <v>3482</v>
      </c>
      <c r="B1354" s="71" t="str">
        <f>IFERROR(VLOOKUP(Proc[[#This Row],[App]],Table2[],3,0),"open")</f>
        <v>open</v>
      </c>
      <c r="C1354" s="74" t="s">
        <v>370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1"/>
      <c r="O1354" s="81"/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0</v>
      </c>
      <c r="R1354" s="82" t="s">
        <v>508</v>
      </c>
      <c r="S1354" s="71"/>
    </row>
    <row r="1355" spans="1:19">
      <c r="A1355" s="74" t="s">
        <v>3482</v>
      </c>
      <c r="B1355" s="71" t="str">
        <f>IFERROR(VLOOKUP(Proc[[#This Row],[App]],Table2[],3,0),"open")</f>
        <v>open</v>
      </c>
      <c r="C1355" s="74" t="s">
        <v>370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1"/>
      <c r="O1355" s="81"/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0</v>
      </c>
      <c r="R1355" s="82" t="s">
        <v>508</v>
      </c>
      <c r="S1355" s="71"/>
    </row>
    <row r="1356" spans="1:19">
      <c r="A1356" s="74" t="s">
        <v>3482</v>
      </c>
      <c r="B1356" s="71" t="str">
        <f>IFERROR(VLOOKUP(Proc[[#This Row],[App]],Table2[],3,0),"open")</f>
        <v>open</v>
      </c>
      <c r="C1356" s="74" t="s">
        <v>370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1"/>
      <c r="O1356" s="81"/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0</v>
      </c>
      <c r="R1356" s="82" t="s">
        <v>508</v>
      </c>
      <c r="S1356" s="71"/>
    </row>
    <row r="1357" spans="1:19">
      <c r="A1357" s="74" t="s">
        <v>3482</v>
      </c>
      <c r="B1357" s="71" t="str">
        <f>IFERROR(VLOOKUP(Proc[[#This Row],[App]],Table2[],3,0),"open")</f>
        <v>open</v>
      </c>
      <c r="C1357" s="74" t="s">
        <v>370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1"/>
      <c r="O1357" s="81"/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0</v>
      </c>
      <c r="R1357" s="82" t="s">
        <v>508</v>
      </c>
      <c r="S1357" s="71"/>
    </row>
    <row r="1358" spans="1:19">
      <c r="A1358" s="74" t="s">
        <v>3482</v>
      </c>
      <c r="B1358" s="71" t="str">
        <f>IFERROR(VLOOKUP(Proc[[#This Row],[App]],Table2[],3,0),"open")</f>
        <v>open</v>
      </c>
      <c r="C1358" s="74" t="s">
        <v>370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1"/>
      <c r="O1358" s="81"/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0</v>
      </c>
      <c r="R1358" s="82" t="s">
        <v>508</v>
      </c>
      <c r="S1358" s="71"/>
    </row>
    <row r="1359" spans="1:19">
      <c r="A1359" s="74" t="s">
        <v>3482</v>
      </c>
      <c r="B1359" s="71" t="str">
        <f>IFERROR(VLOOKUP(Proc[[#This Row],[App]],Table2[],3,0),"open")</f>
        <v>open</v>
      </c>
      <c r="C1359" s="74" t="s">
        <v>370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1"/>
      <c r="O1359" s="81"/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0</v>
      </c>
      <c r="R1359" s="82" t="s">
        <v>508</v>
      </c>
      <c r="S1359" s="71"/>
    </row>
    <row r="1360" spans="1:19">
      <c r="A1360" s="74" t="s">
        <v>3482</v>
      </c>
      <c r="B1360" s="71" t="str">
        <f>IFERROR(VLOOKUP(Proc[[#This Row],[App]],Table2[],3,0),"open")</f>
        <v>open</v>
      </c>
      <c r="C1360" s="74" t="s">
        <v>375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1"/>
      <c r="O1360" s="81"/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0</v>
      </c>
      <c r="R1360" s="82" t="s">
        <v>508</v>
      </c>
      <c r="S1360" s="71"/>
    </row>
    <row r="1361" spans="1:19">
      <c r="A1361" s="74" t="s">
        <v>3482</v>
      </c>
      <c r="B1361" s="71" t="str">
        <f>IFERROR(VLOOKUP(Proc[[#This Row],[App]],Table2[],3,0),"open")</f>
        <v>open</v>
      </c>
      <c r="C1361" s="74" t="s">
        <v>375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1"/>
      <c r="O1361" s="81"/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0</v>
      </c>
      <c r="R1361" s="82" t="s">
        <v>508</v>
      </c>
      <c r="S1361" s="71"/>
    </row>
    <row r="1362" spans="1:19">
      <c r="A1362" s="74" t="s">
        <v>3482</v>
      </c>
      <c r="B1362" s="71" t="str">
        <f>IFERROR(VLOOKUP(Proc[[#This Row],[App]],Table2[],3,0),"open")</f>
        <v>open</v>
      </c>
      <c r="C1362" s="74" t="s">
        <v>375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1"/>
      <c r="O1362" s="81"/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0</v>
      </c>
      <c r="R1362" s="82" t="s">
        <v>508</v>
      </c>
      <c r="S1362" s="71"/>
    </row>
    <row r="1363" spans="1:19">
      <c r="A1363" s="74" t="s">
        <v>3482</v>
      </c>
      <c r="B1363" s="71" t="str">
        <f>IFERROR(VLOOKUP(Proc[[#This Row],[App]],Table2[],3,0),"open")</f>
        <v>open</v>
      </c>
      <c r="C1363" s="74" t="s">
        <v>375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1"/>
      <c r="O1363" s="81"/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0</v>
      </c>
      <c r="R1363" s="82" t="s">
        <v>508</v>
      </c>
      <c r="S1363" s="71"/>
    </row>
    <row r="1364" spans="1:19">
      <c r="A1364" s="74" t="s">
        <v>3482</v>
      </c>
      <c r="B1364" s="71" t="str">
        <f>IFERROR(VLOOKUP(Proc[[#This Row],[App]],Table2[],3,0),"open")</f>
        <v>open</v>
      </c>
      <c r="C1364" s="74" t="s">
        <v>375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1"/>
      <c r="O1364" s="81"/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0</v>
      </c>
      <c r="R1364" s="82" t="s">
        <v>508</v>
      </c>
      <c r="S1364" s="71"/>
    </row>
    <row r="1365" spans="1:19">
      <c r="A1365" s="74" t="s">
        <v>3482</v>
      </c>
      <c r="B1365" s="71" t="str">
        <f>IFERROR(VLOOKUP(Proc[[#This Row],[App]],Table2[],3,0),"open")</f>
        <v>open</v>
      </c>
      <c r="C1365" s="74" t="s">
        <v>375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1"/>
      <c r="O1365" s="81"/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0</v>
      </c>
      <c r="R1365" s="82" t="s">
        <v>508</v>
      </c>
      <c r="S1365" s="71"/>
    </row>
    <row r="1366" spans="1:19">
      <c r="A1366" s="74" t="s">
        <v>3482</v>
      </c>
      <c r="B1366" s="71" t="str">
        <f>IFERROR(VLOOKUP(Proc[[#This Row],[App]],Table2[],3,0),"open")</f>
        <v>open</v>
      </c>
      <c r="C1366" s="74" t="s">
        <v>370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1"/>
      <c r="O1366" s="81"/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0</v>
      </c>
      <c r="R1366" s="82" t="s">
        <v>508</v>
      </c>
      <c r="S1366" s="71"/>
    </row>
    <row r="1367" spans="1:19">
      <c r="A1367" s="74" t="s">
        <v>3482</v>
      </c>
      <c r="B1367" s="71" t="str">
        <f>IFERROR(VLOOKUP(Proc[[#This Row],[App]],Table2[],3,0),"open")</f>
        <v>open</v>
      </c>
      <c r="C1367" s="74" t="s">
        <v>370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1"/>
      <c r="O1367" s="81"/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0</v>
      </c>
      <c r="R1367" s="82" t="s">
        <v>508</v>
      </c>
      <c r="S1367" s="71"/>
    </row>
    <row r="1368" spans="1:19">
      <c r="A1368" s="74" t="s">
        <v>3482</v>
      </c>
      <c r="B1368" s="71" t="str">
        <f>IFERROR(VLOOKUP(Proc[[#This Row],[App]],Table2[],3,0),"open")</f>
        <v>open</v>
      </c>
      <c r="C1368" s="74" t="s">
        <v>370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1"/>
      <c r="O1368" s="81"/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0</v>
      </c>
      <c r="R1368" s="82" t="s">
        <v>508</v>
      </c>
      <c r="S1368" s="71"/>
    </row>
    <row r="1369" spans="1:19">
      <c r="A1369" s="74" t="s">
        <v>3482</v>
      </c>
      <c r="B1369" s="71" t="str">
        <f>IFERROR(VLOOKUP(Proc[[#This Row],[App]],Table2[],3,0),"open")</f>
        <v>open</v>
      </c>
      <c r="C1369" s="74" t="s">
        <v>370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1"/>
      <c r="O1369" s="81"/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0</v>
      </c>
      <c r="R1369" s="82" t="s">
        <v>508</v>
      </c>
      <c r="S1369" s="71"/>
    </row>
    <row r="1370" spans="1:19">
      <c r="A1370" s="74" t="s">
        <v>3482</v>
      </c>
      <c r="B1370" s="71" t="str">
        <f>IFERROR(VLOOKUP(Proc[[#This Row],[App]],Table2[],3,0),"open")</f>
        <v>open</v>
      </c>
      <c r="C1370" s="74" t="s">
        <v>370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1"/>
      <c r="O1370" s="81"/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0</v>
      </c>
      <c r="R1370" s="82" t="s">
        <v>508</v>
      </c>
      <c r="S1370" s="71"/>
    </row>
    <row r="1371" spans="1:19">
      <c r="A1371" s="74" t="s">
        <v>3482</v>
      </c>
      <c r="B1371" s="71" t="str">
        <f>IFERROR(VLOOKUP(Proc[[#This Row],[App]],Table2[],3,0),"open")</f>
        <v>open</v>
      </c>
      <c r="C1371" s="74" t="s">
        <v>370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1"/>
      <c r="O1371" s="81"/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0</v>
      </c>
      <c r="R1371" s="82" t="s">
        <v>508</v>
      </c>
      <c r="S1371" s="71"/>
    </row>
    <row r="1372" spans="1:19">
      <c r="A1372" s="74" t="s">
        <v>3482</v>
      </c>
      <c r="B1372" s="71" t="str">
        <f>IFERROR(VLOOKUP(Proc[[#This Row],[App]],Table2[],3,0),"open")</f>
        <v>open</v>
      </c>
      <c r="C1372" s="74" t="s">
        <v>370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1"/>
      <c r="O1372" s="81"/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0</v>
      </c>
      <c r="R1372" s="82" t="s">
        <v>508</v>
      </c>
      <c r="S1372" s="71"/>
    </row>
    <row r="1373" spans="1:19">
      <c r="A1373" s="74" t="s">
        <v>3482</v>
      </c>
      <c r="B1373" s="71" t="str">
        <f>IFERROR(VLOOKUP(Proc[[#This Row],[App]],Table2[],3,0),"open")</f>
        <v>open</v>
      </c>
      <c r="C1373" s="74" t="s">
        <v>370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1"/>
      <c r="O1373" s="81"/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0</v>
      </c>
      <c r="R1373" s="82" t="s">
        <v>508</v>
      </c>
      <c r="S1373" s="71"/>
    </row>
    <row r="1374" spans="1:19">
      <c r="A1374" s="74" t="s">
        <v>3482</v>
      </c>
      <c r="B1374" s="71" t="str">
        <f>IFERROR(VLOOKUP(Proc[[#This Row],[App]],Table2[],3,0),"open")</f>
        <v>open</v>
      </c>
      <c r="C1374" s="74" t="s">
        <v>370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1"/>
      <c r="O1374" s="81"/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0</v>
      </c>
      <c r="R1374" s="82" t="s">
        <v>508</v>
      </c>
      <c r="S1374" s="71"/>
    </row>
    <row r="1375" spans="1:19">
      <c r="A1375" s="74" t="s">
        <v>3482</v>
      </c>
      <c r="B1375" s="71" t="str">
        <f>IFERROR(VLOOKUP(Proc[[#This Row],[App]],Table2[],3,0),"open")</f>
        <v>open</v>
      </c>
      <c r="C1375" s="74" t="s">
        <v>370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1"/>
      <c r="O1375" s="81"/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0</v>
      </c>
      <c r="R1375" s="82" t="s">
        <v>508</v>
      </c>
      <c r="S1375" s="71"/>
    </row>
    <row r="1376" spans="1:19">
      <c r="A1376" s="74" t="s">
        <v>3482</v>
      </c>
      <c r="B1376" s="71" t="str">
        <f>IFERROR(VLOOKUP(Proc[[#This Row],[App]],Table2[],3,0),"open")</f>
        <v>open</v>
      </c>
      <c r="C1376" s="74" t="s">
        <v>370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1"/>
      <c r="O1376" s="81"/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0</v>
      </c>
      <c r="R1376" s="82" t="s">
        <v>508</v>
      </c>
      <c r="S1376" s="71"/>
    </row>
    <row r="1377" spans="1:19">
      <c r="A1377" s="74" t="s">
        <v>3482</v>
      </c>
      <c r="B1377" s="71" t="str">
        <f>IFERROR(VLOOKUP(Proc[[#This Row],[App]],Table2[],3,0),"open")</f>
        <v>open</v>
      </c>
      <c r="C1377" s="74" t="s">
        <v>370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1"/>
      <c r="O1377" s="81"/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0</v>
      </c>
      <c r="R1377" s="82" t="s">
        <v>508</v>
      </c>
      <c r="S1377" s="71"/>
    </row>
    <row r="1378" spans="1:19">
      <c r="A1378" s="74" t="s">
        <v>3482</v>
      </c>
      <c r="B1378" s="71" t="str">
        <f>IFERROR(VLOOKUP(Proc[[#This Row],[App]],Table2[],3,0),"open")</f>
        <v>open</v>
      </c>
      <c r="C1378" s="74" t="s">
        <v>370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1"/>
      <c r="O1378" s="81"/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0</v>
      </c>
      <c r="R1378" s="82" t="s">
        <v>508</v>
      </c>
      <c r="S1378" s="71"/>
    </row>
    <row r="1379" spans="1:19">
      <c r="A1379" s="74" t="s">
        <v>3482</v>
      </c>
      <c r="B1379" s="71" t="str">
        <f>IFERROR(VLOOKUP(Proc[[#This Row],[App]],Table2[],3,0),"open")</f>
        <v>open</v>
      </c>
      <c r="C1379" s="74" t="s">
        <v>370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1"/>
      <c r="O1379" s="81"/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0</v>
      </c>
      <c r="R1379" s="82" t="s">
        <v>508</v>
      </c>
      <c r="S1379" s="71"/>
    </row>
    <row r="1380" spans="1:19">
      <c r="A1380" s="74" t="s">
        <v>3482</v>
      </c>
      <c r="B1380" s="71" t="str">
        <f>IFERROR(VLOOKUP(Proc[[#This Row],[App]],Table2[],3,0),"open")</f>
        <v>open</v>
      </c>
      <c r="C1380" s="74" t="s">
        <v>370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1"/>
      <c r="O1380" s="81"/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0</v>
      </c>
      <c r="R1380" s="82" t="s">
        <v>508</v>
      </c>
      <c r="S1380" s="71"/>
    </row>
    <row r="1381" spans="1:19">
      <c r="A1381" s="74" t="s">
        <v>3482</v>
      </c>
      <c r="B1381" s="71" t="str">
        <f>IFERROR(VLOOKUP(Proc[[#This Row],[App]],Table2[],3,0),"open")</f>
        <v>open</v>
      </c>
      <c r="C1381" s="74" t="s">
        <v>370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1"/>
      <c r="O1381" s="81"/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0</v>
      </c>
      <c r="R1381" s="82" t="s">
        <v>508</v>
      </c>
      <c r="S1381" s="71"/>
    </row>
    <row r="1382" spans="1:19">
      <c r="A1382" s="74" t="s">
        <v>3482</v>
      </c>
      <c r="B1382" s="71" t="str">
        <f>IFERROR(VLOOKUP(Proc[[#This Row],[App]],Table2[],3,0),"open")</f>
        <v>open</v>
      </c>
      <c r="C1382" s="74" t="s">
        <v>370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1"/>
      <c r="O1382" s="81"/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0</v>
      </c>
      <c r="R1382" s="82" t="s">
        <v>508</v>
      </c>
      <c r="S1382" s="71"/>
    </row>
    <row r="1383" spans="1:19">
      <c r="A1383" s="74" t="s">
        <v>3482</v>
      </c>
      <c r="B1383" s="71" t="str">
        <f>IFERROR(VLOOKUP(Proc[[#This Row],[App]],Table2[],3,0),"open")</f>
        <v>open</v>
      </c>
      <c r="C1383" s="74" t="s">
        <v>370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1"/>
      <c r="O1383" s="81"/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0</v>
      </c>
      <c r="R1383" s="82" t="s">
        <v>508</v>
      </c>
      <c r="S1383" s="71"/>
    </row>
    <row r="1384" spans="1:19">
      <c r="A1384" s="74" t="s">
        <v>3482</v>
      </c>
      <c r="B1384" s="71" t="str">
        <f>IFERROR(VLOOKUP(Proc[[#This Row],[App]],Table2[],3,0),"open")</f>
        <v>open</v>
      </c>
      <c r="C1384" s="74" t="s">
        <v>370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1"/>
      <c r="O1384" s="81"/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0</v>
      </c>
      <c r="R1384" s="82" t="s">
        <v>508</v>
      </c>
      <c r="S1384" s="71"/>
    </row>
    <row r="1385" spans="1:19">
      <c r="A1385" s="74" t="s">
        <v>3482</v>
      </c>
      <c r="B1385" s="71" t="str">
        <f>IFERROR(VLOOKUP(Proc[[#This Row],[App]],Table2[],3,0),"open")</f>
        <v>open</v>
      </c>
      <c r="C1385" s="74" t="s">
        <v>370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1"/>
      <c r="O1385" s="81"/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0</v>
      </c>
      <c r="R1385" s="82" t="s">
        <v>508</v>
      </c>
      <c r="S1385" s="71"/>
    </row>
    <row r="1386" spans="1:19">
      <c r="A1386" s="74" t="s">
        <v>3482</v>
      </c>
      <c r="B1386" s="71" t="str">
        <f>IFERROR(VLOOKUP(Proc[[#This Row],[App]],Table2[],3,0),"open")</f>
        <v>open</v>
      </c>
      <c r="C1386" s="74" t="s">
        <v>370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1"/>
      <c r="O1386" s="81"/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0</v>
      </c>
      <c r="R1386" s="82" t="s">
        <v>508</v>
      </c>
      <c r="S1386" s="71"/>
    </row>
    <row r="1387" spans="1:19">
      <c r="A1387" s="74" t="s">
        <v>3482</v>
      </c>
      <c r="B1387" s="71" t="str">
        <f>IFERROR(VLOOKUP(Proc[[#This Row],[App]],Table2[],3,0),"open")</f>
        <v>open</v>
      </c>
      <c r="C1387" s="74" t="s">
        <v>370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1"/>
      <c r="O1387" s="81"/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0</v>
      </c>
      <c r="R1387" s="82" t="s">
        <v>508</v>
      </c>
      <c r="S1387" s="71"/>
    </row>
    <row r="1388" spans="1:19">
      <c r="A1388" s="74" t="s">
        <v>3482</v>
      </c>
      <c r="B1388" s="71" t="str">
        <f>IFERROR(VLOOKUP(Proc[[#This Row],[App]],Table2[],3,0),"open")</f>
        <v>open</v>
      </c>
      <c r="C1388" s="74" t="s">
        <v>370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1"/>
      <c r="O1388" s="81"/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0</v>
      </c>
      <c r="R1388" s="82" t="s">
        <v>508</v>
      </c>
      <c r="S1388" s="71"/>
    </row>
    <row r="1389" spans="1:19">
      <c r="A1389" s="74" t="s">
        <v>3482</v>
      </c>
      <c r="B1389" s="71" t="str">
        <f>IFERROR(VLOOKUP(Proc[[#This Row],[App]],Table2[],3,0),"open")</f>
        <v>open</v>
      </c>
      <c r="C1389" s="74" t="s">
        <v>370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1"/>
      <c r="O1389" s="81"/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0</v>
      </c>
      <c r="R1389" s="82" t="s">
        <v>508</v>
      </c>
      <c r="S1389" s="71"/>
    </row>
    <row r="1390" spans="1:19">
      <c r="A1390" s="74" t="s">
        <v>3482</v>
      </c>
      <c r="B1390" s="71" t="str">
        <f>IFERROR(VLOOKUP(Proc[[#This Row],[App]],Table2[],3,0),"open")</f>
        <v>open</v>
      </c>
      <c r="C1390" s="74" t="s">
        <v>370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1"/>
      <c r="O1390" s="81"/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0</v>
      </c>
      <c r="R1390" s="82" t="s">
        <v>508</v>
      </c>
      <c r="S1390" s="71"/>
    </row>
    <row r="1391" spans="1:19">
      <c r="A1391" s="74" t="s">
        <v>3482</v>
      </c>
      <c r="B1391" s="71" t="str">
        <f>IFERROR(VLOOKUP(Proc[[#This Row],[App]],Table2[],3,0),"open")</f>
        <v>open</v>
      </c>
      <c r="C1391" s="74" t="s">
        <v>370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1"/>
      <c r="O1391" s="81"/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0</v>
      </c>
      <c r="R1391" s="82" t="s">
        <v>508</v>
      </c>
      <c r="S1391" s="71"/>
    </row>
    <row r="1392" spans="1:19">
      <c r="A1392" s="74" t="s">
        <v>3482</v>
      </c>
      <c r="B1392" s="71" t="str">
        <f>IFERROR(VLOOKUP(Proc[[#This Row],[App]],Table2[],3,0),"open")</f>
        <v>open</v>
      </c>
      <c r="C1392" s="74" t="s">
        <v>370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1"/>
      <c r="O1392" s="81"/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0</v>
      </c>
      <c r="R1392" s="82" t="s">
        <v>508</v>
      </c>
      <c r="S1392" s="71"/>
    </row>
    <row r="1393" spans="1:19">
      <c r="A1393" s="74" t="s">
        <v>3482</v>
      </c>
      <c r="B1393" s="71" t="str">
        <f>IFERROR(VLOOKUP(Proc[[#This Row],[App]],Table2[],3,0),"open")</f>
        <v>open</v>
      </c>
      <c r="C1393" s="74" t="s">
        <v>370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1"/>
      <c r="O1393" s="81"/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0</v>
      </c>
      <c r="R1393" s="82" t="s">
        <v>508</v>
      </c>
      <c r="S1393" s="71"/>
    </row>
    <row r="1394" spans="1:19">
      <c r="A1394" s="74" t="s">
        <v>3482</v>
      </c>
      <c r="B1394" s="71" t="str">
        <f>IFERROR(VLOOKUP(Proc[[#This Row],[App]],Table2[],3,0),"open")</f>
        <v>open</v>
      </c>
      <c r="C1394" s="74" t="s">
        <v>370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1"/>
      <c r="O1394" s="81"/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0</v>
      </c>
      <c r="R1394" s="82" t="s">
        <v>508</v>
      </c>
      <c r="S1394" s="71"/>
    </row>
    <row r="1395" spans="1:19">
      <c r="A1395" s="74" t="s">
        <v>3482</v>
      </c>
      <c r="B1395" s="71" t="str">
        <f>IFERROR(VLOOKUP(Proc[[#This Row],[App]],Table2[],3,0),"open")</f>
        <v>open</v>
      </c>
      <c r="C1395" s="74" t="s">
        <v>370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1"/>
      <c r="O1395" s="81"/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0</v>
      </c>
      <c r="R1395" s="82" t="s">
        <v>508</v>
      </c>
      <c r="S1395" s="71"/>
    </row>
    <row r="1396" spans="1:19">
      <c r="A1396" s="74" t="s">
        <v>3482</v>
      </c>
      <c r="B1396" s="71" t="str">
        <f>IFERROR(VLOOKUP(Proc[[#This Row],[App]],Table2[],3,0),"open")</f>
        <v>open</v>
      </c>
      <c r="C1396" s="74" t="s">
        <v>370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1"/>
      <c r="O1396" s="81"/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0</v>
      </c>
      <c r="R1396" s="82" t="s">
        <v>508</v>
      </c>
      <c r="S1396" s="71"/>
    </row>
    <row r="1397" spans="1:19">
      <c r="A1397" s="74" t="s">
        <v>3482</v>
      </c>
      <c r="B1397" s="71" t="str">
        <f>IFERROR(VLOOKUP(Proc[[#This Row],[App]],Table2[],3,0),"open")</f>
        <v>open</v>
      </c>
      <c r="C1397" s="74" t="s">
        <v>370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1"/>
      <c r="O1397" s="81"/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0</v>
      </c>
      <c r="R1397" s="82" t="s">
        <v>508</v>
      </c>
      <c r="S1397" s="71"/>
    </row>
    <row r="1398" spans="1:19">
      <c r="A1398" s="74" t="s">
        <v>3482</v>
      </c>
      <c r="B1398" s="71" t="str">
        <f>IFERROR(VLOOKUP(Proc[[#This Row],[App]],Table2[],3,0),"open")</f>
        <v>open</v>
      </c>
      <c r="C1398" s="74" t="s">
        <v>370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1"/>
      <c r="O1398" s="81"/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0</v>
      </c>
      <c r="R1398" s="82" t="s">
        <v>508</v>
      </c>
      <c r="S1398" s="71"/>
    </row>
    <row r="1399" spans="1:19">
      <c r="A1399" s="74" t="s">
        <v>3482</v>
      </c>
      <c r="B1399" s="71" t="str">
        <f>IFERROR(VLOOKUP(Proc[[#This Row],[App]],Table2[],3,0),"open")</f>
        <v>open</v>
      </c>
      <c r="C1399" s="74" t="s">
        <v>370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1"/>
      <c r="O1399" s="81"/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0</v>
      </c>
      <c r="R1399" s="82" t="s">
        <v>508</v>
      </c>
      <c r="S1399" s="71"/>
    </row>
    <row r="1400" spans="1:19">
      <c r="A1400" s="74" t="s">
        <v>3482</v>
      </c>
      <c r="B1400" s="71" t="str">
        <f>IFERROR(VLOOKUP(Proc[[#This Row],[App]],Table2[],3,0),"open")</f>
        <v>open</v>
      </c>
      <c r="C1400" s="74" t="s">
        <v>370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1"/>
      <c r="O1400" s="81"/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0</v>
      </c>
      <c r="R1400" s="82" t="s">
        <v>508</v>
      </c>
      <c r="S1400" s="71"/>
    </row>
    <row r="1401" spans="1:19">
      <c r="A1401" s="74" t="s">
        <v>3482</v>
      </c>
      <c r="B1401" s="71" t="str">
        <f>IFERROR(VLOOKUP(Proc[[#This Row],[App]],Table2[],3,0),"open")</f>
        <v>open</v>
      </c>
      <c r="C1401" s="74" t="s">
        <v>370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1"/>
      <c r="O1401" s="81"/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0</v>
      </c>
      <c r="R1401" s="82" t="s">
        <v>508</v>
      </c>
      <c r="S1401" s="71"/>
    </row>
    <row r="1402" spans="1:19">
      <c r="A1402" s="74" t="s">
        <v>3482</v>
      </c>
      <c r="B1402" s="71" t="str">
        <f>IFERROR(VLOOKUP(Proc[[#This Row],[App]],Table2[],3,0),"open")</f>
        <v>open</v>
      </c>
      <c r="C1402" s="74" t="s">
        <v>370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1"/>
      <c r="O1402" s="81"/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0</v>
      </c>
      <c r="R1402" s="82" t="s">
        <v>508</v>
      </c>
      <c r="S1402" s="71"/>
    </row>
    <row r="1403" spans="1:19">
      <c r="A1403" s="74" t="s">
        <v>3482</v>
      </c>
      <c r="B1403" s="71" t="str">
        <f>IFERROR(VLOOKUP(Proc[[#This Row],[App]],Table2[],3,0),"open")</f>
        <v>open</v>
      </c>
      <c r="C1403" s="74" t="s">
        <v>370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1"/>
      <c r="O1403" s="81"/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0</v>
      </c>
      <c r="R1403" s="82" t="s">
        <v>508</v>
      </c>
      <c r="S1403" s="71"/>
    </row>
    <row r="1404" spans="1:19">
      <c r="A1404" s="74" t="s">
        <v>3482</v>
      </c>
      <c r="B1404" s="71" t="str">
        <f>IFERROR(VLOOKUP(Proc[[#This Row],[App]],Table2[],3,0),"open")</f>
        <v>open</v>
      </c>
      <c r="C1404" s="74" t="s">
        <v>370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1"/>
      <c r="O1404" s="81"/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0</v>
      </c>
      <c r="R1404" s="82" t="s">
        <v>508</v>
      </c>
      <c r="S1404" s="71"/>
    </row>
    <row r="1405" spans="1:19">
      <c r="A1405" s="74" t="s">
        <v>3482</v>
      </c>
      <c r="B1405" s="71" t="str">
        <f>IFERROR(VLOOKUP(Proc[[#This Row],[App]],Table2[],3,0),"open")</f>
        <v>open</v>
      </c>
      <c r="C1405" s="74" t="s">
        <v>370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1"/>
      <c r="O1405" s="81"/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0</v>
      </c>
      <c r="R1405" s="82" t="s">
        <v>508</v>
      </c>
      <c r="S1405" s="71"/>
    </row>
    <row r="1406" spans="1:19">
      <c r="A1406" s="74" t="s">
        <v>3482</v>
      </c>
      <c r="B1406" s="71" t="str">
        <f>IFERROR(VLOOKUP(Proc[[#This Row],[App]],Table2[],3,0),"open")</f>
        <v>open</v>
      </c>
      <c r="C1406" s="74" t="s">
        <v>370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1"/>
      <c r="O1406" s="81"/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0</v>
      </c>
      <c r="R1406" s="82" t="s">
        <v>508</v>
      </c>
      <c r="S1406" s="71"/>
    </row>
    <row r="1407" spans="1:19">
      <c r="A1407" s="74" t="s">
        <v>3482</v>
      </c>
      <c r="B1407" s="71" t="str">
        <f>IFERROR(VLOOKUP(Proc[[#This Row],[App]],Table2[],3,0),"open")</f>
        <v>open</v>
      </c>
      <c r="C1407" s="74" t="s">
        <v>370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1"/>
      <c r="O1407" s="81"/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0</v>
      </c>
      <c r="R1407" s="82" t="s">
        <v>508</v>
      </c>
      <c r="S1407" s="71"/>
    </row>
    <row r="1408" spans="1:19">
      <c r="A1408" s="74" t="s">
        <v>3482</v>
      </c>
      <c r="B1408" s="71" t="str">
        <f>IFERROR(VLOOKUP(Proc[[#This Row],[App]],Table2[],3,0),"open")</f>
        <v>open</v>
      </c>
      <c r="C1408" s="74" t="s">
        <v>370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1"/>
      <c r="O1408" s="81"/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0</v>
      </c>
      <c r="R1408" s="82" t="s">
        <v>508</v>
      </c>
      <c r="S1408" s="71"/>
    </row>
    <row r="1409" spans="1:19">
      <c r="A1409" s="74" t="s">
        <v>3482</v>
      </c>
      <c r="B1409" s="71" t="str">
        <f>IFERROR(VLOOKUP(Proc[[#This Row],[App]],Table2[],3,0),"open")</f>
        <v>open</v>
      </c>
      <c r="C1409" s="74" t="s">
        <v>370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1"/>
      <c r="O1409" s="81"/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0</v>
      </c>
      <c r="R1409" s="82" t="s">
        <v>508</v>
      </c>
      <c r="S1409" s="71"/>
    </row>
    <row r="1410" spans="1:19">
      <c r="A1410" s="74" t="s">
        <v>3482</v>
      </c>
      <c r="B1410" s="71" t="str">
        <f>IFERROR(VLOOKUP(Proc[[#This Row],[App]],Table2[],3,0),"open")</f>
        <v>open</v>
      </c>
      <c r="C1410" s="74" t="s">
        <v>370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1"/>
      <c r="O1410" s="81"/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0</v>
      </c>
      <c r="R1410" s="82" t="s">
        <v>508</v>
      </c>
      <c r="S1410" s="71"/>
    </row>
    <row r="1411" spans="1:19">
      <c r="A1411" s="74" t="s">
        <v>3482</v>
      </c>
      <c r="B1411" s="71" t="str">
        <f>IFERROR(VLOOKUP(Proc[[#This Row],[App]],Table2[],3,0),"open")</f>
        <v>open</v>
      </c>
      <c r="C1411" s="74" t="s">
        <v>370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1"/>
      <c r="O1411" s="81"/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0</v>
      </c>
      <c r="R1411" s="82" t="s">
        <v>508</v>
      </c>
      <c r="S1411" s="71"/>
    </row>
    <row r="1412" spans="1:19">
      <c r="A1412" s="74" t="s">
        <v>3482</v>
      </c>
      <c r="B1412" s="71" t="str">
        <f>IFERROR(VLOOKUP(Proc[[#This Row],[App]],Table2[],3,0),"open")</f>
        <v>open</v>
      </c>
      <c r="C1412" s="74" t="s">
        <v>370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1"/>
      <c r="O1412" s="81"/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0</v>
      </c>
      <c r="R1412" s="82" t="s">
        <v>508</v>
      </c>
      <c r="S1412" s="71"/>
    </row>
    <row r="1413" spans="1:19">
      <c r="A1413" s="74" t="s">
        <v>3482</v>
      </c>
      <c r="B1413" s="71" t="str">
        <f>IFERROR(VLOOKUP(Proc[[#This Row],[App]],Table2[],3,0),"open")</f>
        <v>open</v>
      </c>
      <c r="C1413" s="74" t="s">
        <v>370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1"/>
      <c r="O1413" s="81"/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0</v>
      </c>
      <c r="R1413" s="82" t="s">
        <v>508</v>
      </c>
      <c r="S1413" s="71"/>
    </row>
    <row r="1414" spans="1:19">
      <c r="A1414" s="74" t="s">
        <v>3482</v>
      </c>
      <c r="B1414" s="71" t="str">
        <f>IFERROR(VLOOKUP(Proc[[#This Row],[App]],Table2[],3,0),"open")</f>
        <v>open</v>
      </c>
      <c r="C1414" s="74" t="s">
        <v>370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1"/>
      <c r="O1414" s="81"/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0</v>
      </c>
      <c r="R1414" s="82" t="s">
        <v>508</v>
      </c>
      <c r="S1414" s="71"/>
    </row>
    <row r="1415" spans="1:19">
      <c r="A1415" s="74" t="s">
        <v>3482</v>
      </c>
      <c r="B1415" s="71" t="str">
        <f>IFERROR(VLOOKUP(Proc[[#This Row],[App]],Table2[],3,0),"open")</f>
        <v>open</v>
      </c>
      <c r="C1415" s="74" t="s">
        <v>370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1"/>
      <c r="O1415" s="81"/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0</v>
      </c>
      <c r="R1415" s="82" t="s">
        <v>508</v>
      </c>
      <c r="S1415" s="71"/>
    </row>
    <row r="1416" spans="1:19">
      <c r="A1416" s="74" t="s">
        <v>3482</v>
      </c>
      <c r="B1416" s="71" t="str">
        <f>IFERROR(VLOOKUP(Proc[[#This Row],[App]],Table2[],3,0),"open")</f>
        <v>open</v>
      </c>
      <c r="C1416" s="74" t="s">
        <v>370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1"/>
      <c r="O1416" s="81"/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0</v>
      </c>
      <c r="R1416" s="82" t="s">
        <v>508</v>
      </c>
      <c r="S1416" s="71"/>
    </row>
    <row r="1417" spans="1:19">
      <c r="A1417" s="74" t="s">
        <v>3482</v>
      </c>
      <c r="B1417" s="71" t="str">
        <f>IFERROR(VLOOKUP(Proc[[#This Row],[App]],Table2[],3,0),"open")</f>
        <v>open</v>
      </c>
      <c r="C1417" s="74" t="s">
        <v>370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1"/>
      <c r="O1417" s="81"/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0</v>
      </c>
      <c r="R1417" s="82" t="s">
        <v>508</v>
      </c>
      <c r="S1417" s="71"/>
    </row>
    <row r="1418" spans="1:19">
      <c r="A1418" s="74" t="s">
        <v>3482</v>
      </c>
      <c r="B1418" s="71" t="str">
        <f>IFERROR(VLOOKUP(Proc[[#This Row],[App]],Table2[],3,0),"open")</f>
        <v>open</v>
      </c>
      <c r="C1418" s="74" t="s">
        <v>370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1"/>
      <c r="O1418" s="81"/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0</v>
      </c>
      <c r="R1418" s="82" t="s">
        <v>508</v>
      </c>
      <c r="S1418" s="71"/>
    </row>
    <row r="1419" spans="1:19">
      <c r="A1419" s="74" t="s">
        <v>3482</v>
      </c>
      <c r="B1419" s="71" t="str">
        <f>IFERROR(VLOOKUP(Proc[[#This Row],[App]],Table2[],3,0),"open")</f>
        <v>open</v>
      </c>
      <c r="C1419" s="74" t="s">
        <v>370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1"/>
      <c r="O1419" s="81"/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0</v>
      </c>
      <c r="R1419" s="82" t="s">
        <v>508</v>
      </c>
      <c r="S1419" s="71"/>
    </row>
    <row r="1420" spans="1:19">
      <c r="A1420" s="74" t="s">
        <v>3482</v>
      </c>
      <c r="B1420" s="71" t="str">
        <f>IFERROR(VLOOKUP(Proc[[#This Row],[App]],Table2[],3,0),"open")</f>
        <v>open</v>
      </c>
      <c r="C1420" s="74" t="s">
        <v>370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1"/>
      <c r="O1420" s="81"/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0</v>
      </c>
      <c r="R1420" s="82" t="s">
        <v>508</v>
      </c>
      <c r="S1420" s="71"/>
    </row>
    <row r="1421" spans="1:19">
      <c r="A1421" s="74" t="s">
        <v>3482</v>
      </c>
      <c r="B1421" s="71" t="str">
        <f>IFERROR(VLOOKUP(Proc[[#This Row],[App]],Table2[],3,0),"open")</f>
        <v>open</v>
      </c>
      <c r="C1421" s="74" t="s">
        <v>370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1"/>
      <c r="O1421" s="81"/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0</v>
      </c>
      <c r="R1421" s="82" t="s">
        <v>508</v>
      </c>
      <c r="S1421" s="71"/>
    </row>
    <row r="1422" spans="1:19">
      <c r="A1422" s="74" t="s">
        <v>3482</v>
      </c>
      <c r="B1422" s="71" t="str">
        <f>IFERROR(VLOOKUP(Proc[[#This Row],[App]],Table2[],3,0),"open")</f>
        <v>open</v>
      </c>
      <c r="C1422" s="74" t="s">
        <v>370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1"/>
      <c r="O1422" s="81"/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0</v>
      </c>
      <c r="R1422" s="82" t="s">
        <v>508</v>
      </c>
      <c r="S1422" s="71"/>
    </row>
    <row r="1423" spans="1:19">
      <c r="A1423" s="74" t="s">
        <v>3482</v>
      </c>
      <c r="B1423" s="71" t="str">
        <f>IFERROR(VLOOKUP(Proc[[#This Row],[App]],Table2[],3,0),"open")</f>
        <v>open</v>
      </c>
      <c r="C1423" s="74" t="s">
        <v>370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1"/>
      <c r="O1423" s="81"/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0</v>
      </c>
      <c r="R1423" s="82" t="s">
        <v>508</v>
      </c>
      <c r="S1423" s="71"/>
    </row>
    <row r="1424" spans="1:19">
      <c r="A1424" s="74" t="s">
        <v>3482</v>
      </c>
      <c r="B1424" s="71" t="str">
        <f>IFERROR(VLOOKUP(Proc[[#This Row],[App]],Table2[],3,0),"open")</f>
        <v>open</v>
      </c>
      <c r="C1424" s="74" t="s">
        <v>370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1"/>
      <c r="O1424" s="81"/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0</v>
      </c>
      <c r="R1424" s="82" t="s">
        <v>508</v>
      </c>
      <c r="S1424" s="71"/>
    </row>
    <row r="1425" spans="1:19">
      <c r="A1425" s="74" t="s">
        <v>3482</v>
      </c>
      <c r="B1425" s="71" t="str">
        <f>IFERROR(VLOOKUP(Proc[[#This Row],[App]],Table2[],3,0),"open")</f>
        <v>open</v>
      </c>
      <c r="C1425" s="74" t="s">
        <v>370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1"/>
      <c r="O1425" s="81"/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0</v>
      </c>
      <c r="R1425" s="82" t="s">
        <v>508</v>
      </c>
      <c r="S1425" s="71"/>
    </row>
    <row r="1426" spans="1:19">
      <c r="A1426" s="74" t="s">
        <v>3482</v>
      </c>
      <c r="B1426" s="71" t="str">
        <f>IFERROR(VLOOKUP(Proc[[#This Row],[App]],Table2[],3,0),"open")</f>
        <v>open</v>
      </c>
      <c r="C1426" s="74" t="s">
        <v>370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1"/>
      <c r="O1426" s="81"/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0</v>
      </c>
      <c r="R1426" s="82" t="s">
        <v>508</v>
      </c>
      <c r="S1426" s="71"/>
    </row>
    <row r="1427" spans="1:19">
      <c r="A1427" s="74" t="s">
        <v>3482</v>
      </c>
      <c r="B1427" s="71" t="str">
        <f>IFERROR(VLOOKUP(Proc[[#This Row],[App]],Table2[],3,0),"open")</f>
        <v>open</v>
      </c>
      <c r="C1427" s="74" t="s">
        <v>370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1"/>
      <c r="O1427" s="81"/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0</v>
      </c>
      <c r="R1427" s="82" t="s">
        <v>508</v>
      </c>
      <c r="S1427" s="71"/>
    </row>
    <row r="1428" spans="1:19">
      <c r="A1428" s="74" t="s">
        <v>3482</v>
      </c>
      <c r="B1428" s="71" t="str">
        <f>IFERROR(VLOOKUP(Proc[[#This Row],[App]],Table2[],3,0),"open")</f>
        <v>open</v>
      </c>
      <c r="C1428" s="74" t="s">
        <v>370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1"/>
      <c r="O1428" s="81"/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0</v>
      </c>
      <c r="R1428" s="82" t="s">
        <v>508</v>
      </c>
      <c r="S1428" s="71"/>
    </row>
    <row r="1429" spans="1:19">
      <c r="A1429" s="74" t="s">
        <v>3482</v>
      </c>
      <c r="B1429" s="71" t="str">
        <f>IFERROR(VLOOKUP(Proc[[#This Row],[App]],Table2[],3,0),"open")</f>
        <v>open</v>
      </c>
      <c r="C1429" s="74" t="s">
        <v>370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1"/>
      <c r="O1429" s="81"/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0</v>
      </c>
      <c r="R1429" s="82" t="s">
        <v>508</v>
      </c>
      <c r="S1429" s="71"/>
    </row>
    <row r="1430" spans="1:19">
      <c r="A1430" s="74" t="s">
        <v>3482</v>
      </c>
      <c r="B1430" s="71" t="str">
        <f>IFERROR(VLOOKUP(Proc[[#This Row],[App]],Table2[],3,0),"open")</f>
        <v>open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/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0</v>
      </c>
      <c r="R1430" s="82" t="s">
        <v>508</v>
      </c>
      <c r="S1430" s="71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G2:G1430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5"/>
  <sheetViews>
    <sheetView topLeftCell="A87" workbookViewId="0">
      <selection activeCell="B124" sqref="B124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2025-05-13T05:44:44Z</dcterms:modified>
  <cp:category/>
  <cp:contentStatus/>
</cp:coreProperties>
</file>