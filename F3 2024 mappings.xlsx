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55023875-A965-4BD2-A5D0-E3D8010BEC32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87" i="1" l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<sst xmlns="http://schemas.openxmlformats.org/spreadsheetml/2006/main" count="41451" uniqueCount="6886">
  <si>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</si>
  <si>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</si>
  <si>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</si>
  <si>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</si>
  <si>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</si>
  <si>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</si>
  <si>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</si>
  <si>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</si>
  <si>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</si>
  <si>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</si>
  <si>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</si>
  <si>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</si>
  <si>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</si>
  <si>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</si>
  <si>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</si>
  <si>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</si>
  <si>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</si>
  <si>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</si>
  <si>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</si>
  <si>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</si>
  <si>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</si>
  <si>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</si>
  <si>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</si>
  <si>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</si>
  <si>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</si>
  <si>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</si>
  <si>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</si>
  <si>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</si>
  <si>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</si>
  <si>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</si>
  <si>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</si>
  <si>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</si>
  <si>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</si>
  <si>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</si>
  <si>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</si>
  <si>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</si>
  <si>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</si>
  <si>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</si>
  <si>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</si>
  <si>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</si>
  <si>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</si>
  <si>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</si>
  <si>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</si>
  <si>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</si>
  <si>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</si>
  <si>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</si>
  <si>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</si>
  <si>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</si>
  <si>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</si>
  <si>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</si>
  <si>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</si>
  <si>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</si>
  <si>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</si>
  <si>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</si>
  <si>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</si>
  <si>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</si>
  <si>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</si>
  <si>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</si>
  <si>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</si>
  <si>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</si>
  <si>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</si>
  <si>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</si>
  <si>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</si>
  <si>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</si>
  <si>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</si>
  <si>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</si>
  <si>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</si>
  <si>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</si>
  <si>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</si>
  <si>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</si>
  <si>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</si>
  <si>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</si>
  <si>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</si>
  <si>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</si>
  <si>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</si>
  <si>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</si>
  <si>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</si>
  <si>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</si>
  <si>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</si>
  <si>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</si>
  <si>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</si>
  <si>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</si>
  <si>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</si>
  <si>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</si>
  <si>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</si>
  <si>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</si>
  <si>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</si>
  <si>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</si>
  <si>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</si>
  <si>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</si>
  <si>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</si>
  <si>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</si>
  <si>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</si>
  <si>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</si>
  <si>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</si>
  <si>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</si>
  <si>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</si>
  <si>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</si>
  <si>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</si>
  <si>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</si>
  <si>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</si>
  <si>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</si>
  <si>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</si>
  <si>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</si>
  <si>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</si>
  <si>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</si>
  <si>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</si>
  <si>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</si>
  <si>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</si>
  <si>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</si>
  <si>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</si>
  <si>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</si>
  <si>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</si>
  <si>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</si>
  <si>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</si>
  <si>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</si>
  <si>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</si>
  <si>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</si>
  <si>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</si>
  <si>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</si>
  <si>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</si>
  <si>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</si>
  <si>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</si>
  <si>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</si>
  <si>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</si>
  <si>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</si>
  <si>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</si>
  <si>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</si>
  <si>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</si>
  <si>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</si>
  <si>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</si>
  <si>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</si>
  <si>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</si>
  <si>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</si>
  <si>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</si>
  <si>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</si>
  <si>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</si>
  <si>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</si>
  <si>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</si>
  <si>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</si>
  <si>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</si>
  <si>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</si>
  <si>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</si>
  <si>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</si>
  <si>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</si>
  <si>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</si>
  <si>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</si>
  <si>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</si>
  <si>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</si>
  <si>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</si>
  <si>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</si>
  <si>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</si>
  <si>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</si>
  <si>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</si>
  <si>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</si>
  <si>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</si>
  <si>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</si>
  <si>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</si>
  <si>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</si>
  <si>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</si>
  <si>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</si>
  <si>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</si>
  <si>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</si>
  <si>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</si>
  <si>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</si>
  <si>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</si>
  <si>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</si>
  <si>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</si>
  <si>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</si>
  <si>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</si>
  <si>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</si>
  <si>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</si>
  <si>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</si>
  <si>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</si>
  <si>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</si>
  <si>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</si>
  <si>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</si>
  <si>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</si>
  <si>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</si>
  <si>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</si>
  <si>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</si>
  <si>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</si>
  <si>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</si>
  <si>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</si>
  <si>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</si>
  <si>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</si>
  <si>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</si>
  <si>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</si>
  <si>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</si>
  <si>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</si>
  <si>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</si>
  <si>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</si>
  <si>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</si>
  <si>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</si>
  <si>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</si>
  <si>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</si>
  <si>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</si>
  <si>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</si>
  <si>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</si>
  <si>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</si>
  <si>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</si>
  <si>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</si>
  <si>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</si>
  <si>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</si>
  <si>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</si>
  <si>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</si>
  <si>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</si>
  <si>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</si>
  <si>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</si>
  <si>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</si>
  <si>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</si>
  <si>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</si>
  <si>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</si>
  <si>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</si>
  <si>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</si>
  <si>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</si>
  <si>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</si>
  <si>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</si>
  <si>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</si>
  <si>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</si>
  <si>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</si>
  <si>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</si>
  <si>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</si>
  <si>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</si>
  <si>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</si>
  <si>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</si>
  <si>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</si>
  <si>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</si>
  <si>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</si>
  <si>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</si>
  <si>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</si>
  <si>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</si>
  <si>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</si>
  <si>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</si>
  <si>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</si>
  <si>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</si>
  <si>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</si>
  <si>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</si>
  <si>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</si>
  <si>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</si>
  <si>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</si>
  <si>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</si>
  <si>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</si>
  <si>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</si>
  <si>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</si>
  <si>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</si>
  <si>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</si>
  <si>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</si>
  <si>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</si>
  <si>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</si>
  <si>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</si>
  <si>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</si>
  <si>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</si>
  <si>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</si>
  <si>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</si>
  <si>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</si>
  <si>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</si>
  <si>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</si>
  <si>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</si>
  <si>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</si>
  <si>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</si>
  <si>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</si>
  <si>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</si>
  <si>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</si>
  <si>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</si>
  <si>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</si>
  <si>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</si>
  <si>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</si>
  <si>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</si>
  <si>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</si>
  <si>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</si>
  <si>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</si>
  <si>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</si>
  <si>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</si>
  <si>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</si>
  <si>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</si>
  <si>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</si>
  <si>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</si>
  <si>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</si>
  <si>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</si>
  <si>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</si>
  <si>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</si>
  <si>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</si>
  <si>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</si>
  <si>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</si>
  <si>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</si>
  <si>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</si>
  <si>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</si>
  <si>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</si>
  <si>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</si>
  <si>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</si>
  <si>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</si>
  <si>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</si>
  <si>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</si>
  <si>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</si>
  <si>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</si>
  <si>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</si>
  <si>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</si>
  <si>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</si>
  <si>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</si>
  <si>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</si>
  <si>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</si>
  <si>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</si>
  <si>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</si>
  <si>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</si>
  <si>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</si>
  <si>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</si>
  <si>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</si>
  <si>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</si>
  <si>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</si>
  <si>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</si>
  <si>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</si>
  <si>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</si>
  <si>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</si>
  <si>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</si>
  <si>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</si>
  <si>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</si>
  <si>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</si>
  <si>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</si>
  <si>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</si>
  <si>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</si>
  <si>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</si>
  <si>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</si>
  <si>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</si>
  <si>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</si>
  <si>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</si>
  <si>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</si>
  <si>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</si>
  <si>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</si>
  <si>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</si>
  <si>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</si>
  <si>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</si>
  <si>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</si>
  <si>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</si>
  <si>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</si>
  <si>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</si>
  <si>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</si>
  <si>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</si>
  <si>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</si>
  <si>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</si>
  <si>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</si>
  <si>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</si>
  <si>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</si>
  <si>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</si>
  <si>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</si>
  <si>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</si>
  <si>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</si>
  <si>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</si>
  <si>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</si>
  <si>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</si>
  <si>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</si>
  <si>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</si>
  <si>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</si>
  <si>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</si>
  <si>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</si>
  <si>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</si>
  <si>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</si>
  <si>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</si>
  <si>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</si>
  <si>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</si>
  <si>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</si>
  <si>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</si>
  <si>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</si>
  <si>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</si>
  <si>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</si>
  <si>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</si>
  <si>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</si>
  <si>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</si>
  <si>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</si>
  <si>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</si>
  <si>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</si>
  <si>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</si>
  <si>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</si>
  <si>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</si>
  <si>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</si>
  <si>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</si>
  <si>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</si>
  <si>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</si>
  <si>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</si>
  <si>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</si>
  <si>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</si>
  <si>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</si>
  <si>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</si>
  <si>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</si>
  <si>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</si>
  <si>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</si>
  <si>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</si>
  <si>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</si>
  <si>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</si>
  <si>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</si>
  <si>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</si>
  <si>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</si>
  <si>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</si>
  <si>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</si>
  <si>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</si>
  <si>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</si>
  <si>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</si>
  <si>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</si>
  <si>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</si>
  <si>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</si>
  <si>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</si>
  <si>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</si>
  <si>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</si>
  <si>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</si>
  <si>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</si>
  <si>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</si>
  <si>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</si>
  <si>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</si>
  <si>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</si>
  <si>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</si>
  <si>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</si>
  <si>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</si>
  <si>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</si>
  <si>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</si>
  <si>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</si>
  <si>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</si>
  <si>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</si>
  <si>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</si>
  <si>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</si>
  <si>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</si>
  <si>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</si>
  <si>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</si>
  <si>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</si>
  <si>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</si>
  <si>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</si>
  <si>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</si>
  <si>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</si>
  <si>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</si>
  <si>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</si>
  <si>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</si>
  <si>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</si>
  <si>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</si>
  <si>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</si>
  <si>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</si>
  <si>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</si>
  <si>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</si>
  <si>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</si>
  <si>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</si>
  <si>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</si>
  <si>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</si>
  <si>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</si>
  <si>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</si>
  <si>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</si>
  <si>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</si>
  <si>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</si>
  <si>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</si>
  <si>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</si>
  <si>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</si>
  <si>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</si>
  <si>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</si>
  <si>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</si>
  <si>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</si>
  <si>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</si>
  <si>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</si>
  <si>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</si>
  <si>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</si>
  <si>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</si>
  <si>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</si>
  <si>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</si>
  <si>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</si>
  <si>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</si>
  <si>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</si>
  <si>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</si>
  <si>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</si>
  <si>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</si>
  <si>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</si>
  <si>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</si>
  <si>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</si>
  <si>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</si>
  <si>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</si>
  <si>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</si>
  <si>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</si>
  <si>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</si>
  <si>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</si>
  <si>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</si>
  <si>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</si>
  <si>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</si>
  <si>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</si>
  <si>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</si>
  <si>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</si>
  <si>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</si>
  <si>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</si>
  <si>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</si>
  <si>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</si>
  <si>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</si>
  <si>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</si>
  <si>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</si>
  <si>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</si>
  <si>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</si>
  <si>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</si>
  <si>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</si>
  <si>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</si>
  <si>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</si>
  <si>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</si>
  <si>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</si>
  <si>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</si>
  <si>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</si>
  <si>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</si>
  <si>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</si>
  <si>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</si>
  <si>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</si>
  <si>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</si>
  <si>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</si>
  <si>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</si>
  <si>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</si>
  <si>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</si>
  <si>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</si>
  <si>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</si>
  <si>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</si>
  <si>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</si>
  <si>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</si>
  <si>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</si>
  <si>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</si>
  <si>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</si>
  <si>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</si>
  <si>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</si>
  <si>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</si>
  <si>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</si>
  <si>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</si>
  <si>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</si>
  <si>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</si>
  <si>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</si>
  <si>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</si>
  <si>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</si>
  <si>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</si>
  <si>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</si>
  <si>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</si>
  <si>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</si>
  <si>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</si>
  <si>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</si>
  <si>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</si>
  <si>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</si>
  <si>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</si>
  <si>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</si>
  <si>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</si>
  <si>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</si>
  <si>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</si>
  <si>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</si>
  <si>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</si>
  <si>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</si>
  <si>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</si>
  <si>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</si>
  <si>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</si>
  <si>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</si>
  <si>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</si>
  <si>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</si>
  <si>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</si>
  <si>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</si>
  <si>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</si>
  <si>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</si>
  <si>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</si>
  <si>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</si>
  <si>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</si>
  <si>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</si>
  <si>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</si>
  <si>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</si>
  <si>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</si>
  <si>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</si>
  <si>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</si>
  <si>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</si>
  <si>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</si>
  <si>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</si>
  <si>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</si>
  <si>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</si>
  <si>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</si>
  <si>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</si>
  <si>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</si>
  <si>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</si>
  <si>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</si>
  <si>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</si>
  <si>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</si>
  <si>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</si>
  <si>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</si>
  <si>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</si>
  <si>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</si>
  <si>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</si>
  <si>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</si>
  <si>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</si>
  <si>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</si>
  <si>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</si>
  <si>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</si>
  <si>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</si>
  <si>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</si>
  <si>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</si>
  <si>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</si>
  <si>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</si>
  <si>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</si>
  <si>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</si>
  <si>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</si>
  <si>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</si>
  <si>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</si>
  <si>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</si>
  <si>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</si>
  <si>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</si>
  <si>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</si>
  <si>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</si>
  <si>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</si>
  <si>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</si>
  <si>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</si>
  <si>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</si>
  <si>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</si>
  <si>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</si>
  <si>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</si>
  <si>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</si>
  <si>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</si>
  <si>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</si>
  <si>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</si>
  <si>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</si>
  <si>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</si>
  <si>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</si>
  <si>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</si>
  <si>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</si>
  <si>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</si>
  <si>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</si>
  <si>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</si>
  <si>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</si>
  <si>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</si>
  <si>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</si>
  <si>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</si>
  <si>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</si>
  <si>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</si>
  <si>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</si>
  <si>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</si>
  <si>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</si>
  <si>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</si>
  <si>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</si>
  <si>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</si>
  <si>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</si>
  <si>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</si>
  <si>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</si>
  <si>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</si>
  <si>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</si>
  <si>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</si>
  <si>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</si>
  <si>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</si>
  <si>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</si>
  <si>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</si>
  <si>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</si>
  <si>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</si>
  <si>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</si>
  <si>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</si>
  <si>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</si>
  <si>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</si>
  <si>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</si>
  <si>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</si>
  <si>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</si>
  <si>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</si>
  <si>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</si>
  <si>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</si>
  <si>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</si>
  <si>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</si>
  <si>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</si>
  <si>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</si>
  <si>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</si>
  <si>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</si>
  <si>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</si>
  <si>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</si>
  <si>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</si>
  <si>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</si>
  <si>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</si>
  <si>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</si>
  <si>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</si>
  <si>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</si>
  <si>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</si>
  <si>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</si>
  <si>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</si>
  <si>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</si>
  <si>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</si>
  <si>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</si>
  <si>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</si>
  <si>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</si>
  <si>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</si>
  <si>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</si>
  <si>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</si>
  <si>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</si>
  <si>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</si>
  <si>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</si>
  <si>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</si>
  <si>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</si>
  <si>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</si>
  <si>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</si>
  <si>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</si>
  <si>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</si>
  <si>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</si>
  <si>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</si>
  <si>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</si>
  <si>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</si>
  <si>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</si>
  <si>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</si>
  <si>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</si>
  <si>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</si>
  <si>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</si>
  <si>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</si>
  <si>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</si>
  <si>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</si>
  <si>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</si>
  <si>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</si>
  <si>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</si>
  <si>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</si>
  <si>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</si>
  <si>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</si>
  <si>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</si>
  <si>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</si>
  <si>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</si>
  <si>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</si>
  <si>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</si>
  <si>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</si>
  <si>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</si>
  <si>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</si>
  <si>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</si>
  <si>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</si>
  <si>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</si>
  <si>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</si>
  <si>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</si>
  <si>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</si>
  <si>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</si>
  <si>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</si>
  <si>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</si>
  <si>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</si>
  <si>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</si>
  <si>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</si>
  <si>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</si>
  <si>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</si>
  <si>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</si>
  <si>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</si>
  <si>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</si>
  <si>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</si>
  <si>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</si>
  <si>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</si>
  <si>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</si>
  <si>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</si>
  <si>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</si>
  <si>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</si>
  <si>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</si>
  <si>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</si>
  <si>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</si>
  <si>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</si>
  <si>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</si>
  <si>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</si>
  <si>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</si>
  <si>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</si>
  <si>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</si>
  <si>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</si>
  <si>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</si>
  <si>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</si>
  <si>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</si>
  <si>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</si>
  <si>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</si>
  <si>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</si>
  <si>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</si>
  <si>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</si>
  <si>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</si>
  <si>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</si>
  <si>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</si>
  <si>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</si>
  <si>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</si>
  <si>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</si>
  <si>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</si>
  <si>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</si>
  <si>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</si>
  <si>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</si>
  <si>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</si>
  <si>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</si>
  <si>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</si>
  <si>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</si>
  <si>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</si>
  <si>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</si>
  <si>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</si>
  <si>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</si>
  <si>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</si>
  <si>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</si>
  <si>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</si>
  <si>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</si>
  <si>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</si>
  <si>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</si>
  <si>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</si>
  <si>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</si>
  <si>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</si>
  <si>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</si>
  <si>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</si>
  <si>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</si>
  <si>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</si>
  <si>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</si>
  <si>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</si>
  <si>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</si>
  <si>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</si>
  <si>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</si>
  <si>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</si>
  <si>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</si>
  <si>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</si>
  <si>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</si>
  <si>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</si>
  <si>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</si>
  <si>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</si>
  <si>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</si>
  <si>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</si>
  <si>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</si>
  <si>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</si>
  <si>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</si>
  <si>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</si>
  <si>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</si>
  <si>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</si>
  <si>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</si>
  <si>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</si>
  <si>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</si>
  <si>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</si>
  <si>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</si>
  <si>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</si>
  <si>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</si>
  <si>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</si>
  <si>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</si>
  <si>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</si>
  <si>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</si>
  <si>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</si>
  <si>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</si>
  <si>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</si>
  <si>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</si>
  <si>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</si>
  <si>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</si>
  <si>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</si>
  <si>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</si>
  <si>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</si>
  <si>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</si>
  <si>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</si>
  <si>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</si>
  <si>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</si>
  <si>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</si>
  <si>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</si>
  <si>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</si>
  <si>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</si>
  <si>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</si>
  <si>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</si>
  <si>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</si>
  <si>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</si>
  <si>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</si>
  <si>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</si>
  <si>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</si>
  <si>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</si>
  <si>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</si>
  <si>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</si>
  <si>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</si>
  <si>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</si>
  <si>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</si>
  <si>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</si>
  <si>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</si>
  <si>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</si>
  <si>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</si>
  <si>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</si>
  <si>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</si>
  <si>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</si>
  <si>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</si>
  <si>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</si>
  <si>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</si>
  <si>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</si>
  <si>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</si>
  <si>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</si>
  <si>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</si>
  <si>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</si>
  <si>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</si>
  <si>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</si>
  <si>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</si>
  <si>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</si>
  <si>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</si>
  <si>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</si>
  <si>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</si>
  <si>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</si>
  <si>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</si>
  <si>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</si>
  <si>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</si>
  <si>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</si>
  <si>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</si>
  <si>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</si>
  <si>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</si>
  <si>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</si>
  <si>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</si>
  <si>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</si>
  <si>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</si>
  <si>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</si>
  <si>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</si>
  <si>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</si>
  <si>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</si>
  <si>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</si>
  <si>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</si>
  <si>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</si>
  <si>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</si>
  <si>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</si>
  <si>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</si>
  <si>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</si>
  <si>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</si>
  <si>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</si>
  <si>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</si>
  <si>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</si>
  <si>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</si>
  <si>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</si>
  <si>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</si>
  <si>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</si>
  <si>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</si>
  <si>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</si>
  <si>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</si>
  <si>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</si>
  <si>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</si>
  <si>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</si>
  <si>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</si>
  <si>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</si>
  <si>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</si>
  <si>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</si>
  <si>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</si>
  <si>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</si>
  <si>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</si>
  <si>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</si>
  <si>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</si>
  <si>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</si>
  <si>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</si>
  <si>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</si>
  <si>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</si>
  <si>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</si>
  <si>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</si>
  <si>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</si>
  <si>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</si>
  <si>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</si>
  <si>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</si>
  <si>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</si>
  <si>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</si>
  <si>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</si>
  <si>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</si>
  <si>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</si>
  <si>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</si>
  <si>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</si>
  <si>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</si>
  <si>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</si>
  <si>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</si>
  <si>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</si>
  <si>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</si>
  <si>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</si>
  <si>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</si>
  <si>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</si>
  <si>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</si>
  <si>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</si>
  <si>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</si>
  <si>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</si>
  <si>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</si>
  <si>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</si>
  <si>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</si>
  <si>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</si>
  <si>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</si>
  <si>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</si>
  <si>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</si>
  <si>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</si>
  <si>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</si>
  <si>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</si>
  <si>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</si>
  <si>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</si>
  <si>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</si>
  <si>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</si>
  <si>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</si>
  <si>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</si>
  <si>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</si>
  <si>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</si>
  <si>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</si>
  <si>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</si>
  <si>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</si>
  <si>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</si>
  <si>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</si>
  <si>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</si>
  <si>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</si>
  <si>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</si>
  <si>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</si>
  <si>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</si>
  <si>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</si>
  <si>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</si>
  <si>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</si>
  <si>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</si>
  <si>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</si>
  <si>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</si>
  <si>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</si>
  <si>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</si>
  <si>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</si>
  <si>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</si>
  <si>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</si>
  <si>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</si>
  <si>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</si>
  <si>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</si>
  <si>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</si>
  <si>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</si>
  <si>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</si>
  <si>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</si>
  <si>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</si>
  <si>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</si>
  <si>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</si>
  <si>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</si>
  <si>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</si>
  <si>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</si>
  <si>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</si>
  <si>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</si>
  <si>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</si>
  <si>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</si>
  <si>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</si>
  <si>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</si>
  <si>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</si>
  <si>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</si>
  <si>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</si>
  <si>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</si>
  <si>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</si>
  <si>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</si>
  <si>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</si>
  <si>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</si>
  <si>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</si>
  <si>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</si>
  <si>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</si>
  <si>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</si>
  <si>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</si>
  <si>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</si>
  <si>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</si>
  <si>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</si>
  <si>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</si>
  <si>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</si>
  <si>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</si>
  <si>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</si>
  <si>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</si>
  <si>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</si>
  <si>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</si>
  <si>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</si>
  <si>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</si>
  <si>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</si>
  <si>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</si>
  <si>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</si>
  <si>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</si>
  <si>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</si>
  <si>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</si>
  <si>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</si>
  <si>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</si>
  <si>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</si>
  <si>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</si>
  <si>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</si>
  <si>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</si>
  <si>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</si>
  <si>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</si>
  <si>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</si>
  <si>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</si>
  <si>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</si>
  <si>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</si>
  <si>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</si>
  <si>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</si>
  <si>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</si>
  <si>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</si>
  <si>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</si>
  <si>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</si>
  <si>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</si>
  <si>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</si>
  <si>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</si>
  <si>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</si>
  <si>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</si>
  <si>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</si>
  <si>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</si>
  <si>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</si>
  <si>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</si>
  <si>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</si>
  <si>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</si>
  <si>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</si>
  <si>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</si>
  <si>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</si>
  <si>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</si>
  <si>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</si>
  <si>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</si>
  <si>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</si>
  <si>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</si>
  <si>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</si>
  <si>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</si>
  <si>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</si>
  <si>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</si>
  <si>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</si>
  <si>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</si>
  <si>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</si>
  <si>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</si>
  <si>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</si>
  <si>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</si>
  <si>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</si>
  <si>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</si>
  <si>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</si>
  <si>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</si>
  <si>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</si>
  <si>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</si>
  <si>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</si>
  <si>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</si>
  <si>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</si>
  <si>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</si>
  <si>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</si>
  <si>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</si>
  <si>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</si>
  <si>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</si>
  <si>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</si>
  <si>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</si>
  <si>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</si>
  <si>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</si>
  <si>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</si>
  <si>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</si>
  <si>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</si>
  <si>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</si>
  <si>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</si>
  <si>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</si>
  <si>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</si>
  <si>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</si>
  <si>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</si>
  <si>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</si>
  <si>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</si>
  <si>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</si>
  <si>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</si>
  <si>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</si>
  <si>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</si>
  <si>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</si>
  <si>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</si>
  <si>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</si>
  <si>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</si>
  <si>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</si>
  <si>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</si>
  <si>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</si>
  <si>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</si>
  <si>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</si>
  <si>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</si>
  <si>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</si>
  <si>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</si>
  <si>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</si>
  <si>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</si>
  <si>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</si>
  <si>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</si>
  <si>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</si>
  <si>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</si>
  <si>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</si>
  <si>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</si>
  <si>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</si>
  <si>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</si>
  <si>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</si>
  <si>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</si>
  <si>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</si>
  <si>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</si>
  <si>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</si>
  <si>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</si>
  <si>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</si>
  <si>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</si>
  <si>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</si>
  <si>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</si>
  <si>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</si>
  <si>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</si>
  <si>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</si>
  <si>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</si>
  <si>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</si>
  <si>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</si>
  <si>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</si>
  <si>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</si>
  <si>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</si>
  <si>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</si>
  <si>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</si>
  <si>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</si>
  <si>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</si>
  <si>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</si>
  <si>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</si>
  <si>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</si>
  <si>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</si>
  <si>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</si>
  <si>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</si>
  <si>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</si>
  <si>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</si>
  <si>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</si>
  <si>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</si>
  <si>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</si>
  <si>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</si>
  <si>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</si>
  <si>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</si>
  <si>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</si>
  <si>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</si>
  <si>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</si>
  <si>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</si>
  <si>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</si>
  <si>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</si>
  <si>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</si>
  <si>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</si>
  <si>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</si>
  <si>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</si>
  <si>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</si>
  <si>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</si>
  <si>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</si>
  <si>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</si>
  <si>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</si>
  <si>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</si>
  <si>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</si>
  <si>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</si>
  <si>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</si>
  <si>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</si>
  <si>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</si>
  <si>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</si>
  <si>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</si>
  <si>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</si>
  <si>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</si>
  <si>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</si>
  <si>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</si>
  <si>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</si>
  <si>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</si>
  <si>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</si>
  <si>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</si>
  <si>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</si>
  <si>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</si>
  <si>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</si>
  <si>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</si>
  <si>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</si>
  <si>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</si>
  <si>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</si>
  <si>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</si>
  <si>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</si>
  <si>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</si>
  <si>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</si>
  <si>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</si>
  <si>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</si>
  <si>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</si>
  <si>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</si>
  <si>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</si>
  <si>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</si>
  <si>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</si>
  <si>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</si>
  <si>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</si>
  <si>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</si>
  <si>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</si>
  <si>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</si>
  <si>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</si>
  <si>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</si>
  <si>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</si>
  <si>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</si>
  <si>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</si>
  <si>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</si>
  <si>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</si>
  <si>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</si>
  <si>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</si>
  <si>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</si>
  <si>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</si>
  <si>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</si>
  <si>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</si>
  <si>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</si>
  <si>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</si>
  <si>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</si>
  <si>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</si>
  <si>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</si>
  <si>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</si>
  <si>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</si>
  <si>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</si>
  <si>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</si>
  <si>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</si>
  <si>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</si>
  <si>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</si>
  <si>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</si>
  <si>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</si>
  <si>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</si>
  <si>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</si>
  <si>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</si>
  <si>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</si>
  <si>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</si>
  <si>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</si>
  <si>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</si>
  <si>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</si>
  <si>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</si>
  <si>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</si>
  <si>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</si>
  <si>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</si>
  <si>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</si>
  <si>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</si>
  <si>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</si>
  <si>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</si>
  <si>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</si>
  <si>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</si>
  <si>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</si>
  <si>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</si>
  <si>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</si>
  <si>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</si>
  <si>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</si>
  <si>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</si>
  <si>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</si>
  <si>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</si>
  <si>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</si>
  <si>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</si>
  <si>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</si>
  <si>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</si>
  <si>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</si>
  <si>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</si>
  <si>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</si>
  <si>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</si>
  <si>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</si>
  <si>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</si>
  <si>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</si>
  <si>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</si>
  <si>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</si>
  <si>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</si>
  <si>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</si>
  <si>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</si>
  <si>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</si>
  <si>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</si>
  <si>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</si>
  <si>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</si>
  <si>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</si>
  <si>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</si>
  <si>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</si>
  <si>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</si>
  <si>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</si>
  <si>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</si>
  <si>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</si>
  <si>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</si>
  <si>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</si>
  <si>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</si>
  <si>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</si>
  <si>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</si>
  <si>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</si>
  <si>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</si>
  <si>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</si>
  <si>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</si>
  <si>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</si>
  <si>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</si>
  <si>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</si>
  <si>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</si>
  <si>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</si>
  <si>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</si>
  <si>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</si>
  <si>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</si>
  <si>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</si>
  <si>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</si>
  <si>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</si>
  <si>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</si>
  <si>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</si>
  <si>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</si>
  <si>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</si>
  <si>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</si>
  <si>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</si>
  <si>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</si>
  <si>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</si>
  <si>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</si>
  <si>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</si>
  <si>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</si>
  <si>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</si>
  <si>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</si>
  <si>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</si>
  <si>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</si>
  <si>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</si>
  <si>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</si>
  <si>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</si>
  <si>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</si>
  <si>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</si>
  <si>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</si>
  <si>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</si>
  <si>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</si>
  <si>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</si>
  <si>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</si>
  <si>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</si>
  <si>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</si>
  <si>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</si>
  <si>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</si>
  <si>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</si>
  <si>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</si>
  <si>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</si>
  <si>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</si>
  <si>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</si>
  <si>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</si>
  <si>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</si>
  <si>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</si>
  <si>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</si>
  <si>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</si>
  <si>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</si>
  <si>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</si>
  <si>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</si>
  <si>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</si>
  <si>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</si>
  <si>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</si>
  <si>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</si>
  <si>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</si>
  <si>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</si>
  <si>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</si>
  <si>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</si>
  <si>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</si>
  <si>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</si>
  <si>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</si>
  <si>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</si>
  <si>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</si>
  <si>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</si>
  <si>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</si>
  <si>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</si>
  <si>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</si>
  <si>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</si>
  <si>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</si>
  <si>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</si>
  <si>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</si>
  <si>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</si>
  <si>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</si>
  <si>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</si>
  <si>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</si>
  <si>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</si>
  <si>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</si>
  <si>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</si>
  <si>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</si>
  <si>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</si>
  <si>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</si>
  <si>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</si>
  <si>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</si>
  <si>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</si>
  <si>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</si>
  <si>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</si>
  <si>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</si>
  <si>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</si>
  <si>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</si>
  <si>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</si>
  <si>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</si>
  <si>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</si>
  <si>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</si>
  <si>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</si>
  <si>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</si>
  <si>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</si>
  <si>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</si>
  <si>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</si>
  <si>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</si>
  <si>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</si>
  <si>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</si>
  <si>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</si>
  <si>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</si>
  <si>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</si>
  <si>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</si>
  <si>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</si>
  <si>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</si>
  <si>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</si>
  <si>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</si>
  <si>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</si>
  <si>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</si>
  <si>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</si>
  <si>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</si>
  <si>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</si>
  <si>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</si>
  <si>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</si>
  <si>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</si>
  <si>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</si>
  <si>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</si>
  <si>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</si>
  <si>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</si>
  <si>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</si>
  <si>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</si>
  <si>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</si>
  <si>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</si>
  <si>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</si>
  <si>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</si>
  <si>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</si>
  <si>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</si>
  <si>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</si>
  <si>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</si>
  <si>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</si>
  <si>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</si>
  <si>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</si>
  <si>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</si>
  <si>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</si>
  <si>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</si>
  <si>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</si>
  <si>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</si>
  <si>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</si>
  <si>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</si>
  <si>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</si>
  <si>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</si>
  <si>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</si>
  <si>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</si>
  <si>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</si>
  <si>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</si>
  <si>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</si>
  <si>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</si>
  <si>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</si>
  <si>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</si>
  <si>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</si>
  <si>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</si>
  <si>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</si>
  <si>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</si>
  <si>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</si>
  <si>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</si>
  <si>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</si>
  <si>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</si>
  <si>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</si>
  <si>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</si>
  <si>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</si>
  <si>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</si>
  <si>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</si>
  <si>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</si>
  <si>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</si>
  <si>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</si>
  <si>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</si>
  <si>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</si>
  <si>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</si>
  <si>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</si>
  <si>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</si>
  <si>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</si>
  <si>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</si>
  <si>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</si>
  <si>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</si>
  <si>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</si>
  <si>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</si>
  <si>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</si>
  <si>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</si>
  <si>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</si>
  <si>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</si>
  <si>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</si>
  <si>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</si>
  <si>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</si>
  <si>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</si>
  <si>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</si>
  <si>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</si>
  <si>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</si>
  <si>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</si>
  <si>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</si>
  <si>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</si>
  <si>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</si>
  <si>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</si>
  <si>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</si>
  <si>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</si>
  <si>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</si>
  <si>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</si>
  <si>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</si>
  <si>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</si>
  <si>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</si>
  <si>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</si>
  <si>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</si>
  <si>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</si>
  <si>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</si>
  <si>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</si>
  <si>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</si>
  <si>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</si>
  <si>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</si>
  <si>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</si>
  <si>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</si>
  <si>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</si>
  <si>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</si>
  <si>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</si>
  <si>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</si>
  <si>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</si>
  <si>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</si>
  <si>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</si>
  <si>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</si>
  <si>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</si>
  <si>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</si>
  <si>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</si>
  <si>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</si>
  <si>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</si>
  <si>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</si>
  <si>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</si>
  <si>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</si>
  <si>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</si>
  <si>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</si>
  <si>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</si>
  <si>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</si>
  <si>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</si>
  <si>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</si>
  <si>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</si>
  <si>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</si>
  <si>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</si>
  <si>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</si>
  <si>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</si>
  <si>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</si>
  <si>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</si>
  <si>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</si>
  <si>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</si>
  <si>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</si>
  <si>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</si>
  <si>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</si>
  <si>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</si>
  <si>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</si>
  <si>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</si>
  <si>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</si>
  <si>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</si>
  <si>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</si>
  <si>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</si>
  <si>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</si>
  <si>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</si>
  <si>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</si>
  <si>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</si>
  <si>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</si>
  <si>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</si>
  <si>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</si>
  <si>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</si>
  <si>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</si>
  <si>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</si>
  <si>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</si>
  <si>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</si>
  <si>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</si>
  <si>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</si>
  <si>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</si>
  <si>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</si>
  <si>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</si>
  <si>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</si>
  <si>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</si>
  <si>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</si>
  <si>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</si>
  <si>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</si>
  <si>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</si>
  <si>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</si>
  <si>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</si>
  <si>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</si>
  <si>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</si>
  <si>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</si>
  <si>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</si>
  <si>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</si>
  <si>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</si>
  <si>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</si>
  <si>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</si>
  <si>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</si>
  <si>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</si>
  <si>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</si>
  <si>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</si>
  <si>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</si>
  <si>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</si>
  <si>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</si>
  <si>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</si>
  <si>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</si>
  <si>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</si>
  <si>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</si>
  <si>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</si>
  <si>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</si>
  <si>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</si>
  <si>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</si>
  <si>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</si>
  <si>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</si>
  <si>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</si>
  <si>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</si>
  <si>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</si>
  <si>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</si>
  <si>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</si>
  <si>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</si>
  <si>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</si>
  <si>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</si>
  <si>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</si>
  <si>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</si>
  <si>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</si>
  <si>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</si>
  <si>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</si>
  <si>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</si>
  <si>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</si>
  <si>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</si>
  <si>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</si>
  <si>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</si>
  <si>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</si>
  <si>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</si>
  <si>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</si>
  <si>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</si>
  <si>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</si>
  <si>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</si>
  <si>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</si>
  <si>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</si>
  <si>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</si>
  <si>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</si>
  <si>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</si>
  <si>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</si>
  <si>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</si>
  <si>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</si>
  <si>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</si>
  <si>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</si>
  <si>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</si>
  <si>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</si>
  <si>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</si>
  <si>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</si>
  <si>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</si>
  <si>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</si>
  <si>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</si>
  <si>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</si>
  <si>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</si>
  <si>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</si>
  <si>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</si>
  <si>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</si>
  <si>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</si>
  <si>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</si>
  <si>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</si>
  <si>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</si>
  <si>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</si>
  <si>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</si>
  <si>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</si>
  <si>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</si>
  <si>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</si>
  <si>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</si>
  <si>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</si>
  <si>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</si>
  <si>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</si>
  <si>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</si>
  <si>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</si>
  <si>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</si>
  <si>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</si>
  <si>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</si>
  <si>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</si>
  <si>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</si>
  <si>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</si>
  <si>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</si>
  <si>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</si>
  <si>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</si>
  <si>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</si>
  <si>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</si>
  <si>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</si>
  <si>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</si>
  <si>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</si>
  <si>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</si>
  <si>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</si>
  <si>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</si>
  <si>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</si>
  <si>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</si>
  <si>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</si>
  <si>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</si>
  <si>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</si>
  <si>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</si>
  <si>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</si>
  <si>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</si>
  <si>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</si>
  <si>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</si>
  <si>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</si>
  <si>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</si>
  <si>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</si>
  <si>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</si>
  <si>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</si>
  <si>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</si>
  <si>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</si>
  <si>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</si>
  <si>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</si>
  <si>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</si>
  <si>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</si>
  <si>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</si>
  <si>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</si>
  <si>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</si>
  <si>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</si>
  <si>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</si>
  <si>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</si>
  <si>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</si>
  <si>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</si>
  <si>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</si>
  <si>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</si>
  <si>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</si>
  <si>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</si>
  <si>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</si>
  <si>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</si>
  <si>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</si>
  <si>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</si>
  <si>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</si>
  <si>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</si>
  <si>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</si>
  <si>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</si>
  <si>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</si>
  <si>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</si>
  <si>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</si>
  <si>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</si>
  <si>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</si>
  <si>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</si>
  <si>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</si>
  <si>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</si>
  <si>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</si>
  <si>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</si>
  <si>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</si>
  <si>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</si>
  <si>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</si>
  <si>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</si>
  <si>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</si>
  <si>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</si>
  <si>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</si>
  <si>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</si>
  <si>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</si>
  <si>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</si>
  <si>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</si>
  <si>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</si>
  <si>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</si>
  <si>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</si>
  <si>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</si>
  <si>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</si>
  <si>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</si>
  <si>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</si>
  <si>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</si>
  <si>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</si>
  <si>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</si>
  <si>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</si>
  <si>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</si>
  <si>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</si>
  <si>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</si>
  <si>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</si>
  <si>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</si>
  <si>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</si>
  <si>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</si>
  <si>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</si>
  <si>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</si>
  <si>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</si>
  <si>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</si>
  <si>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</si>
  <si>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</si>
  <si>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</si>
  <si>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</si>
  <si>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</si>
  <si>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</si>
  <si>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</si>
  <si>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</si>
  <si>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</si>
  <si>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</si>
  <si>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</si>
  <si>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</si>
  <si>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</si>
  <si>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</si>
  <si>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</si>
  <si>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</si>
  <si>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</si>
  <si>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</si>
  <si>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</si>
  <si>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</si>
  <si>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</si>
  <si>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</si>
  <si>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</si>
  <si>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</si>
  <si>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</si>
  <si>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</si>
  <si>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</si>
  <si>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</si>
  <si>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</si>
  <si>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</si>
  <si>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</si>
  <si>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</si>
  <si>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</si>
  <si>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</si>
  <si>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</si>
  <si>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</si>
  <si>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</si>
  <si>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</si>
  <si>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</si>
  <si>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</si>
  <si>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</si>
  <si>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</si>
  <si>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</si>
  <si>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</si>
  <si>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</si>
  <si>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</si>
  <si>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</si>
  <si>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</si>
  <si>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</si>
  <si>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</si>
  <si>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</si>
  <si>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</si>
  <si>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</si>
  <si>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</si>
  <si>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</si>
  <si>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</si>
  <si>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</si>
  <si>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</si>
  <si>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</si>
  <si>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</si>
  <si>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</si>
  <si>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</si>
  <si>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</si>
  <si>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</si>
  <si>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</si>
  <si>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</si>
  <si>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</si>
  <si>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</si>
  <si>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</si>
  <si>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</si>
  <si>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</si>
  <si>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</si>
  <si>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</si>
  <si>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</si>
  <si>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</si>
  <si>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</si>
  <si>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</si>
  <si>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</si>
  <si>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</si>
  <si>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</si>
  <si>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</si>
  <si>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</si>
  <si>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</si>
  <si>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</si>
  <si>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</si>
  <si>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</si>
  <si>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</si>
  <si>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</si>
  <si>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</si>
  <si>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</si>
  <si>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</si>
  <si>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</si>
  <si>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</si>
  <si>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</si>
  <si>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</si>
  <si>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</si>
  <si>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</si>
  <si>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</si>
  <si>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</si>
  <si>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</si>
  <si>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</si>
  <si>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</si>
  <si>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</si>
  <si>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</si>
  <si>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</si>
  <si>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</si>
  <si>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</si>
  <si>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</si>
  <si>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</si>
  <si>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</si>
  <si>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</si>
  <si>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</si>
  <si>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</si>
  <si>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</si>
  <si>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</si>
  <si>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</si>
  <si>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</si>
  <si>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</si>
  <si>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</si>
  <si>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</si>
  <si>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</si>
  <si>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</si>
  <si>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</si>
  <si>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</si>
  <si>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</si>
  <si>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</si>
  <si>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</si>
  <si>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</si>
  <si>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</si>
  <si>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</si>
  <si>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</si>
  <si>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</si>
  <si>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</si>
  <si>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</si>
  <si>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</si>
  <si>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</si>
  <si>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</si>
  <si>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</si>
  <si>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</si>
  <si>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</si>
  <si>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</si>
  <si>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</si>
  <si>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</si>
  <si>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</si>
  <si>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</si>
  <si>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</si>
  <si>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</si>
  <si>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</si>
  <si>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</si>
  <si>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</si>
  <si>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</si>
  <si>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</si>
  <si>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</si>
  <si>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</si>
  <si>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</si>
  <si>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</si>
  <si>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</si>
  <si>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</si>
  <si>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</si>
  <si>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</si>
  <si>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</si>
  <si>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</si>
  <si>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</si>
  <si>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</si>
  <si>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</si>
  <si>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</si>
  <si>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</si>
  <si>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</si>
  <si>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</si>
  <si>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</si>
  <si>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</si>
  <si>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</si>
  <si>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</si>
  <si>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</si>
  <si>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</si>
  <si>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</si>
  <si>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</si>
  <si>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</si>
  <si>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</si>
  <si>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</si>
  <si>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</si>
  <si>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</si>
  <si>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</si>
  <si>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</si>
  <si>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</si>
  <si>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</si>
  <si>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</si>
  <si>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</si>
  <si>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</si>
  <si>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</si>
  <si>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</si>
  <si>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</si>
  <si>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</si>
  <si>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</si>
  <si>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</si>
  <si>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</si>
  <si>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</si>
  <si>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</si>
  <si>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</si>
  <si>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</si>
  <si>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</si>
  <si>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</si>
  <si>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</si>
  <si>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</si>
  <si>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</si>
  <si>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</si>
  <si>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</si>
  <si>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</si>
  <si>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</si>
  <si>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</si>
  <si>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</si>
  <si>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</si>
  <si>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</si>
  <si>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</si>
  <si>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</si>
  <si>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</si>
  <si>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</si>
  <si>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</si>
  <si>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</si>
  <si>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</si>
  <si>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</si>
  <si>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</si>
  <si>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</si>
  <si>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</si>
  <si>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</si>
  <si>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</si>
  <si>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</si>
  <si>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</si>
  <si>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</si>
  <si>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</si>
  <si>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</si>
  <si>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</si>
  <si>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</si>
  <si>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</si>
  <si>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</si>
  <si>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</si>
  <si>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</si>
  <si>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</si>
  <si>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</si>
  <si>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</si>
  <si>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</si>
  <si>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</si>
  <si>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</si>
  <si>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</si>
  <si>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</si>
  <si>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</si>
  <si>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</si>
  <si>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</si>
  <si>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</si>
  <si>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</si>
  <si>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</si>
  <si>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</si>
  <si>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</si>
  <si>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</si>
  <si>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</si>
  <si>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</si>
  <si>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</si>
  <si>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</si>
  <si>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</si>
  <si>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</si>
  <si>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</si>
  <si>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</si>
  <si>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</si>
  <si>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</si>
  <si>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</si>
  <si>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</si>
  <si>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</si>
  <si>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</si>
  <si>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</si>
  <si>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</si>
  <si>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</si>
  <si>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</si>
  <si>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</si>
  <si>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</si>
  <si>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</si>
  <si>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</si>
  <si>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</si>
  <si>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</si>
  <si>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</si>
  <si>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</si>
  <si>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</si>
  <si>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</si>
  <si>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</si>
  <si>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</si>
  <si>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</si>
  <si>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</si>
  <si>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</si>
  <si>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</si>
  <si>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</si>
  <si>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</si>
  <si>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</si>
  <si>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</si>
  <si>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</si>
  <si>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</si>
  <si>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</si>
  <si>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</si>
  <si>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</si>
  <si>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</si>
  <si>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</si>
  <si>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</si>
  <si>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</si>
  <si>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</si>
  <si>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</si>
  <si>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</si>
  <si>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</si>
  <si>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</si>
  <si>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</si>
  <si>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</si>
  <si>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</si>
  <si>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</si>
  <si>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</si>
  <si>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</si>
  <si>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</si>
  <si>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</si>
  <si>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</si>
  <si>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</si>
  <si>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</si>
  <si>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</si>
  <si>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</si>
  <si>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</si>
  <si>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</si>
  <si>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</si>
  <si>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</si>
  <si>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</si>
  <si>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</si>
  <si>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</si>
  <si>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</si>
  <si>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</si>
  <si>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</si>
  <si>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</si>
  <si>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</si>
  <si>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</si>
  <si>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</si>
  <si>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</si>
  <si>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</si>
  <si>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</si>
  <si>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</si>
  <si>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</si>
  <si>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</si>
  <si>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</si>
  <si>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</si>
  <si>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</si>
  <si>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</si>
  <si>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</si>
  <si>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</si>
  <si>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</si>
  <si>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</si>
  <si>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</si>
  <si>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</si>
  <si>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</si>
  <si>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</si>
  <si>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</si>
  <si>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</si>
  <si>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</si>
  <si>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</si>
  <si>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</si>
  <si>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</si>
  <si>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</si>
  <si>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</si>
  <si>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</si>
  <si>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</si>
  <si>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</si>
  <si>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</si>
  <si>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</si>
  <si>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</si>
  <si>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</si>
  <si>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</si>
  <si>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</si>
  <si>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</si>
  <si>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</si>
  <si>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</si>
  <si>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</si>
  <si>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</si>
  <si>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</si>
  <si>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</si>
  <si>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</si>
  <si>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</si>
  <si>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</si>
  <si>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</si>
  <si>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</si>
  <si>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</si>
  <si>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</si>
  <si>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</si>
  <si>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</si>
  <si>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</si>
  <si>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</si>
  <si>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</si>
  <si>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</si>
  <si>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</si>
  <si>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</si>
  <si>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</si>
  <si>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</si>
  <si>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</si>
  <si>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</si>
  <si>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</si>
  <si>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</si>
  <si>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</si>
  <si>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</si>
  <si>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</si>
  <si>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</si>
  <si>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</si>
  <si>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</si>
  <si>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</si>
  <si>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</si>
  <si>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</si>
  <si>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</si>
  <si>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</si>
  <si>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</si>
  <si>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</si>
  <si>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</si>
  <si>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</si>
  <si>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</si>
  <si>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</si>
  <si>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</si>
  <si>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</si>
  <si>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</si>
  <si>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</si>
  <si>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</si>
  <si>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</si>
  <si>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</si>
  <si>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</si>
  <si>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</si>
  <si>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</si>
  <si>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</si>
  <si>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</si>
  <si>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</si>
  <si>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</si>
  <si>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</si>
  <si>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</si>
  <si>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</si>
  <si>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</si>
  <si>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</si>
  <si>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</si>
  <si>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</si>
  <si>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</si>
  <si>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</si>
  <si>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</si>
  <si>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</si>
  <si>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</si>
  <si>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</si>
  <si>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</si>
  <si>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</si>
  <si>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</si>
  <si>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</si>
  <si>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</si>
  <si>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</si>
  <si>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</si>
  <si>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</si>
  <si>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</si>
  <si>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</si>
  <si>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</si>
  <si>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</si>
  <si>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</si>
  <si>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</si>
  <si>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</si>
  <si>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</si>
  <si>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</si>
  <si>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</si>
  <si>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</si>
  <si>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</si>
  <si>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</si>
  <si>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</si>
  <si>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</si>
  <si>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</si>
  <si>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</si>
  <si>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</si>
  <si>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</si>
  <si>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</si>
  <si>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</si>
  <si>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</si>
  <si>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</si>
  <si>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</si>
  <si>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</si>
  <si>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</si>
  <si>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</si>
  <si>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</si>
  <si>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</si>
  <si>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</si>
  <si>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</si>
  <si>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</si>
  <si>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</si>
  <si>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</si>
  <si>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</si>
  <si>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</si>
  <si>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</si>
  <si>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</si>
  <si>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</si>
  <si>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</si>
  <si>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</si>
  <si>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</si>
  <si>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</si>
  <si>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</si>
  <si>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</si>
  <si>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</si>
  <si>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</si>
  <si>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</si>
  <si>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</si>
  <si>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</si>
  <si>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</si>
  <si>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</si>
  <si>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</si>
  <si>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</si>
  <si>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</si>
  <si>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</si>
  <si>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</si>
  <si>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</si>
  <si>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</si>
  <si>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</si>
  <si>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</si>
  <si>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</si>
  <si>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</si>
  <si>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</si>
  <si>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</si>
  <si>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</si>
  <si>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</si>
  <si>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</si>
  <si>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</si>
  <si>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</si>
  <si>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</si>
  <si>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</si>
  <si>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</si>
  <si>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</si>
  <si>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</si>
  <si>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</si>
  <si>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</si>
  <si>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</si>
  <si>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</si>
  <si>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</si>
  <si>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</si>
  <si>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</si>
  <si>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</si>
  <si>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</si>
  <si>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</si>
  <si>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</si>
  <si>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</si>
  <si>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</si>
  <si>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</si>
  <si>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</si>
  <si>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</si>
  <si>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</si>
  <si>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</si>
  <si>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</si>
  <si>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</si>
  <si>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</si>
  <si>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</si>
  <si>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</si>
  <si>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</si>
  <si>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</si>
  <si>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</si>
  <si>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</si>
  <si>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</si>
  <si>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</si>
  <si>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</si>
  <si>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</si>
  <si>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</si>
  <si>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</si>
  <si>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</si>
  <si>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</si>
  <si>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</si>
  <si>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</si>
  <si>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</si>
  <si>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</si>
  <si>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</si>
  <si>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</si>
  <si>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</si>
  <si>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</si>
  <si>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</si>
  <si>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</si>
  <si>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</si>
  <si>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</si>
  <si>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</si>
  <si>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</si>
  <si>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</si>
  <si>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</si>
  <si>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</si>
  <si>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</si>
  <si>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</si>
  <si>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</si>
  <si>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</si>
  <si>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</si>
  <si>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</si>
  <si>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</si>
  <si>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</si>
  <si>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</si>
  <si>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</si>
  <si>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</si>
  <si>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</si>
  <si>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</si>
  <si>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</si>
  <si>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</si>
  <si>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</si>
  <si>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</si>
  <si>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</si>
  <si>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</si>
  <si>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</si>
  <si>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</si>
  <si>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</si>
  <si>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</si>
  <si>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</si>
  <si>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</si>
  <si>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</si>
  <si>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</si>
  <si>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</si>
  <si>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</si>
  <si>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</si>
  <si>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</si>
  <si>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</si>
  <si>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</si>
  <si>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</si>
  <si>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</si>
  <si>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</si>
  <si>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</si>
  <si>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</si>
  <si>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</si>
  <si>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</si>
  <si>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</si>
  <si>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</si>
  <si>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</si>
  <si>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</si>
  <si>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</si>
  <si>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</si>
  <si>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</si>
  <si>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</si>
  <si>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</si>
  <si>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</si>
  <si>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</si>
  <si>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</si>
  <si>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</si>
  <si>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</si>
  <si>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</si>
  <si>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</si>
  <si>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</si>
  <si>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</si>
  <si>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</si>
  <si>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</si>
  <si>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</si>
  <si>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</si>
  <si>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</si>
  <si>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</si>
  <si>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</si>
  <si>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</si>
  <si>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</si>
  <si>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</si>
  <si>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</si>
  <si>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</si>
  <si>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</si>
  <si>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</si>
  <si>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</si>
  <si>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</si>
  <si>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</si>
  <si>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</si>
  <si>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</si>
  <si>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</si>
  <si>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</si>
  <si>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</si>
  <si>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</si>
  <si>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</si>
  <si>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</si>
  <si>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</si>
  <si>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</si>
  <si>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</si>
  <si>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</si>
  <si>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</si>
  <si>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</si>
  <si>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</si>
  <si>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</si>
  <si>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</si>
  <si>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</si>
  <si>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</si>
  <si>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</si>
  <si>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</si>
  <si>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</si>
  <si>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</si>
  <si>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</si>
  <si>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</si>
  <si>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</si>
  <si>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</si>
  <si>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</si>
  <si>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</si>
  <si>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</si>
  <si>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</si>
  <si>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</si>
  <si>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</si>
  <si>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</si>
  <si>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</si>
  <si>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</si>
  <si>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</si>
  <si>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</si>
  <si>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</si>
  <si>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</si>
  <si>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</si>
  <si>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</si>
  <si>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</si>
  <si>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</si>
  <si>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</si>
  <si>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</si>
  <si>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</si>
  <si>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</si>
  <si>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</si>
  <si>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</si>
  <si>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</si>
  <si>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</si>
  <si>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</si>
  <si>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</si>
  <si>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</si>
  <si>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</si>
  <si>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</si>
  <si>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</si>
  <si>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</si>
  <si>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</si>
  <si>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</si>
  <si>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</si>
  <si>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</si>
  <si>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</si>
  <si>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</si>
  <si>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</si>
  <si>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</si>
  <si>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</si>
  <si>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</si>
  <si>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</si>
  <si>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</si>
  <si>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</si>
  <si>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</si>
  <si>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</si>
  <si>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</si>
  <si>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</si>
  <si>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</si>
  <si>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</si>
  <si>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</si>
  <si>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</si>
  <si>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</si>
  <si>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</si>
  <si>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</si>
  <si>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</si>
  <si>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</si>
  <si>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</si>
  <si>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</si>
  <si>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</si>
  <si>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</si>
  <si>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</si>
  <si>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</si>
  <si>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</si>
  <si>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</si>
  <si>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</si>
  <si>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</si>
  <si>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</si>
  <si>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</si>
  <si>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</si>
  <si>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</si>
  <si>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</si>
  <si>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</si>
  <si>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</si>
  <si>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</si>
  <si>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</si>
  <si>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</si>
  <si>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</si>
  <si>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</si>
  <si>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</si>
  <si>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</si>
  <si>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</si>
  <si>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</si>
  <si>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</si>
  <si>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</si>
  <si>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</si>
  <si>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</si>
  <si>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</si>
  <si>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</si>
  <si>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</si>
  <si>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</si>
  <si>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</si>
  <si>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</si>
  <si>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</si>
  <si>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</si>
  <si>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</si>
  <si>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</si>
  <si>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</si>
  <si>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</si>
  <si>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</si>
  <si>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</si>
  <si>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</si>
  <si>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</si>
  <si>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</si>
  <si>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</si>
  <si>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</si>
  <si>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</si>
  <si>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</si>
  <si>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</si>
  <si>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</si>
  <si>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</si>
  <si>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</si>
  <si>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</si>
  <si>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</si>
  <si>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</si>
  <si>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</si>
  <si>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</si>
  <si>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</si>
  <si>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</si>
  <si>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</si>
  <si>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</si>
  <si>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</si>
  <si>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</si>
  <si>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</si>
  <si>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</si>
  <si>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</si>
  <si>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</si>
  <si>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</si>
  <si>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</si>
  <si>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</si>
  <si>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</si>
  <si>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</si>
  <si>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</si>
  <si>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</si>
  <si>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</si>
  <si>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</si>
  <si>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</si>
  <si>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</si>
  <si>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</si>
  <si>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</si>
  <si>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</si>
  <si>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</si>
  <si>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</si>
  <si>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</si>
  <si>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</si>
  <si>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</si>
  <si>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</si>
  <si>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</si>
  <si>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</si>
  <si>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</si>
  <si>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</si>
  <si>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</si>
  <si>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</si>
  <si>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</si>
  <si>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</si>
  <si>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</si>
  <si>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</si>
  <si>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</si>
  <si>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</si>
  <si>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</si>
  <si>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</si>
  <si>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</si>
  <si>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</si>
  <si>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</si>
  <si>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</si>
  <si>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</si>
  <si>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</si>
  <si>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</si>
  <si>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</si>
  <si>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</si>
  <si>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</si>
  <si>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</si>
  <si>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</si>
  <si>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</si>
  <si>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</si>
  <si>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</si>
  <si>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</si>
  <si>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</si>
  <si>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</si>
  <si>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</si>
  <si>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</si>
  <si>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</si>
  <si>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</si>
  <si>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</si>
  <si>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</si>
  <si>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</si>
  <si>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</si>
  <si>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</si>
  <si>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</si>
  <si>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</si>
  <si>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</si>
  <si>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</si>
  <si>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</si>
  <si>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</si>
  <si>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</si>
  <si>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</si>
  <si>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</si>
  <si>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</si>
  <si>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</si>
  <si>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</si>
  <si>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</si>
  <si>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</si>
  <si>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</si>
  <si>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</si>
  <si>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</si>
  <si>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</si>
  <si>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</si>
  <si>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</si>
  <si>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</si>
  <si>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</si>
  <si>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</si>
  <si>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</si>
  <si>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</si>
  <si>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</si>
  <si>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</si>
  <si>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</si>
  <si>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</si>
  <si>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</si>
  <si>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</si>
  <si>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</si>
  <si>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</si>
  <si>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</si>
  <si>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</si>
  <si>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</si>
  <si>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</si>
  <si>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</si>
  <si>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</si>
  <si>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</si>
  <si>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</si>
  <si>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</si>
  <si>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</si>
  <si>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</si>
  <si>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</si>
  <si>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</si>
  <si>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</si>
  <si>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</si>
  <si>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</si>
  <si>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</si>
  <si>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</si>
  <si>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</si>
  <si>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</si>
  <si>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</si>
  <si>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</si>
  <si>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</si>
  <si>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</si>
  <si>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</si>
  <si>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</si>
  <si>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</si>
  <si>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</si>
  <si>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</si>
  <si>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</si>
  <si>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</si>
  <si>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</si>
  <si>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</si>
  <si>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</si>
  <si>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</si>
  <si>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</si>
  <si>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</si>
  <si>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</si>
  <si>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</si>
  <si>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</si>
  <si>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</si>
  <si>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</si>
  <si>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</si>
  <si>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</si>
  <si>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</si>
  <si>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</si>
  <si>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</si>
  <si>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</si>
  <si>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</si>
  <si>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</si>
  <si>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</si>
  <si>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</si>
  <si>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</si>
  <si>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</si>
  <si>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</si>
  <si>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</si>
  <si>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</si>
  <si>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</si>
  <si>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</si>
  <si>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</si>
  <si>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</si>
  <si>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</si>
  <si>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</si>
  <si>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</si>
  <si>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</si>
  <si>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</si>
  <si>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</si>
  <si>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</si>
  <si>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</si>
  <si>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</si>
  <si>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</si>
  <si>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</si>
  <si>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</si>
  <si>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</si>
  <si>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</si>
  <si>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</si>
  <si>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</si>
  <si>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</si>
  <si>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</si>
  <si>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</si>
  <si>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</si>
  <si>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</si>
  <si>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</si>
  <si>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</si>
  <si>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</si>
  <si>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</si>
  <si>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</si>
  <si>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</si>
  <si>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</si>
  <si>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</si>
  <si>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</si>
  <si>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</si>
  <si>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</si>
  <si>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</si>
  <si>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</si>
  <si>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</si>
  <si>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</si>
  <si>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</si>
  <si>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</si>
  <si>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</si>
  <si>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</si>
  <si>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</si>
  <si>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</si>
  <si>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</si>
  <si>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</si>
  <si>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</si>
  <si>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</si>
  <si>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</si>
  <si>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</si>
  <si>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</si>
  <si>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</si>
  <si>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</si>
  <si>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</si>
  <si>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</si>
  <si>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</si>
  <si>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</si>
  <si>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</si>
  <si>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</si>
  <si>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</si>
  <si>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</si>
  <si>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</si>
  <si>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</si>
  <si>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</si>
  <si>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</si>
  <si>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</si>
  <si>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</si>
  <si>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</si>
  <si>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</si>
  <si>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</si>
  <si>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</si>
  <si>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</si>
  <si>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</si>
  <si>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</si>
  <si>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</si>
  <si>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</si>
  <si>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</si>
  <si>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</si>
  <si>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</si>
  <si>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</si>
  <si>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</si>
  <si>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</si>
  <si>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</si>
  <si>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</si>
  <si>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</si>
  <si>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</si>
  <si>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</si>
  <si>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</si>
  <si>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</si>
  <si>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</si>
  <si>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</si>
  <si>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</si>
  <si>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</si>
  <si>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</si>
  <si>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</si>
  <si>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</si>
  <si>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</si>
  <si>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</si>
  <si>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</si>
  <si>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</si>
  <si>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</si>
  <si>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</si>
  <si>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</si>
  <si>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</si>
  <si>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</si>
  <si>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</si>
  <si>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</si>
  <si>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</si>
  <si>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</si>
  <si>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</si>
  <si>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</si>
  <si>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</si>
  <si>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</si>
  <si>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</si>
  <si>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</si>
  <si>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</si>
  <si>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</si>
  <si>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</si>
  <si>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</si>
  <si>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</si>
  <si>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</si>
  <si>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</si>
  <si>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</si>
  <si>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</si>
  <si>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</si>
  <si>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</si>
  <si>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</si>
  <si>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</si>
  <si>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</si>
  <si>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</si>
  <si>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</si>
  <si>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</si>
  <si>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</si>
  <si>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</si>
  <si>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</si>
  <si>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</si>
  <si>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</si>
  <si>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</si>
  <si>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</si>
  <si>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</si>
  <si>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</si>
  <si>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</si>
  <si>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</si>
  <si>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</si>
  <si>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</si>
  <si>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</si>
  <si>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</si>
  <si>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</si>
  <si>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</si>
  <si>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</si>
  <si>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</si>
  <si>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</si>
  <si>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</si>
  <si>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</si>
  <si>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</si>
  <si>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</si>
  <si>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</si>
  <si>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</si>
  <si>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</si>
  <si>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</si>
  <si>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</si>
  <si>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</si>
  <si>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</si>
  <si>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</si>
  <si>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</si>
  <si>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</si>
  <si>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</si>
  <si>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</si>
  <si>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</si>
  <si>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</si>
  <si>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</si>
  <si>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</si>
  <si>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</si>
  <si>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</si>
  <si>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</si>
  <si>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</si>
  <si>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</si>
  <si>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</si>
  <si>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</si>
  <si>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</si>
  <si>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</si>
  <si>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</si>
  <si>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</si>
  <si>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</si>
  <si>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</si>
  <si>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</si>
  <si>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</si>
  <si>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</si>
  <si>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</si>
  <si>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</si>
  <si>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</si>
  <si>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</si>
  <si>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</si>
  <si>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</si>
  <si>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</si>
  <si>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</si>
  <si>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</si>
  <si>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</si>
  <si>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</si>
  <si>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</si>
  <si>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</si>
  <si>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</si>
  <si>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</si>
  <si>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</si>
  <si>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</si>
  <si>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</si>
  <si>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</si>
  <si>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</si>
  <si>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</si>
  <si>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</si>
  <si>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</si>
  <si>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</si>
  <si>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</si>
  <si>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</si>
  <si>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</si>
  <si>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</si>
  <si>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</si>
  <si>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</si>
  <si>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</si>
  <si>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</si>
  <si>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</si>
  <si>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</si>
  <si>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</si>
  <si>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</si>
  <si>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</si>
  <si>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</si>
  <si>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</si>
  <si>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</si>
  <si>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</si>
  <si>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</si>
  <si>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</si>
  <si>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</si>
  <si>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</si>
  <si>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</si>
  <si>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</si>
  <si>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</si>
  <si>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</si>
  <si>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</si>
  <si>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</si>
  <si>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</si>
  <si>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</si>
  <si>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</si>
  <si>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</si>
  <si>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</si>
  <si>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</si>
  <si>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</si>
  <si>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</si>
  <si>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</si>
  <si>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</si>
  <si>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</si>
  <si>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</si>
  <si>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</si>
  <si>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</si>
  <si>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</si>
  <si>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</si>
  <si>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</si>
  <si>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</si>
  <si>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</si>
  <si>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</si>
  <si>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</si>
  <si>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</si>
  <si>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</si>
  <si>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</si>
  <si>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</si>
  <si>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</si>
  <si>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</si>
  <si>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</si>
  <si>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</si>
  <si>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</si>
  <si>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</si>
  <si>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</si>
  <si>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</si>
  <si>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</si>
  <si>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</si>
  <si>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</si>
  <si>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</si>
  <si>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</si>
  <si>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</si>
  <si>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</si>
  <si>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</si>
  <si>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</si>
  <si>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</si>
  <si>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</si>
  <si>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</si>
  <si>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</si>
  <si>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</si>
  <si>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</si>
  <si>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</si>
  <si>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</si>
  <si>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</si>
  <si>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</si>
  <si>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</si>
  <si>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</si>
  <si>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</si>
  <si>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</si>
  <si>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</si>
  <si>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</si>
  <si>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</si>
  <si>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</si>
  <si>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</si>
  <si>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</si>
  <si>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</si>
  <si>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</si>
  <si>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</si>
  <si>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</si>
  <si>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</si>
  <si>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</si>
  <si>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</si>
  <si>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</si>
  <si>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</si>
  <si>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</si>
  <si>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</si>
  <si>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</si>
  <si>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</si>
  <si>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</si>
  <si>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</si>
  <si>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</si>
  <si>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</si>
  <si>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</si>
  <si>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</si>
  <si>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</si>
  <si>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</si>
  <si>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</si>
  <si>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</si>
  <si>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</si>
  <si>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</si>
  <si>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</si>
  <si>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</si>
  <si>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</si>
  <si>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</si>
  <si>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</si>
  <si>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</si>
  <si>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</si>
  <si>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</si>
  <si>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</si>
  <si>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</si>
  <si>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</si>
  <si>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</si>
  <si>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</si>
  <si>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</si>
  <si>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</si>
  <si>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</si>
  <si>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</si>
  <si>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</si>
  <si>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</si>
  <si>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</si>
  <si>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</si>
  <si>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</si>
  <si>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</si>
  <si>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</si>
  <si>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</si>
  <si>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</si>
  <si>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</si>
  <si>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</si>
  <si>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</si>
  <si>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</si>
  <si>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</si>
  <si>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</si>
  <si>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</si>
  <si>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</si>
  <si>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</si>
  <si>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</si>
  <si>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</si>
  <si>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</si>
  <si>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</si>
  <si>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</si>
  <si>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</si>
  <si>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</si>
  <si>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</si>
  <si>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</si>
  <si>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</si>
  <si>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</si>
  <si>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</si>
  <si>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</si>
  <si>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</si>
  <si>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</si>
  <si>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</si>
  <si>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</si>
  <si>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</si>
  <si>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</si>
  <si>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</si>
  <si>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</si>
  <si>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</si>
  <si>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</si>
  <si>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</si>
  <si>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</si>
  <si>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</si>
  <si>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</si>
  <si>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</si>
  <si>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</si>
  <si>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</si>
  <si>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</si>
  <si>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</si>
  <si>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</si>
  <si>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</si>
  <si>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</si>
  <si>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</si>
  <si>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</si>
  <si>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</si>
  <si>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</si>
  <si>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</si>
  <si>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</si>
  <si>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</si>
  <si>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</si>
  <si>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</si>
  <si>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</si>
  <si>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</si>
  <si>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</si>
  <si>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</si>
  <si>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</si>
  <si>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</si>
  <si>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</si>
  <si>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</si>
  <si>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</si>
  <si>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</si>
  <si>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</si>
  <si>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</si>
  <si>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</si>
  <si>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</si>
  <si>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</si>
  <si>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</si>
  <si>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</si>
  <si>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</si>
  <si>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</si>
  <si>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</si>
  <si>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</si>
  <si>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</si>
  <si>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</si>
  <si>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</si>
  <si>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</si>
  <si>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</si>
  <si>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</si>
  <si>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</si>
  <si>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</si>
  <si>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</si>
  <si>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</si>
  <si>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</si>
  <si>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</si>
  <si>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</si>
  <si>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</si>
  <si>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</si>
  <si>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</si>
  <si>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</si>
  <si>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</si>
  <si>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</si>
  <si>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</si>
  <si>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</si>
  <si>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</si>
  <si>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</si>
  <si>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</si>
  <si>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</si>
  <si>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</si>
  <si>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</si>
  <si>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</si>
  <si>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</si>
  <si>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</si>
  <si>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</si>
  <si>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</si>
  <si>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</si>
  <si>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</si>
  <si>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</si>
  <si>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</si>
  <si>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</si>
  <si>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</si>
  <si>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</si>
  <si>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</si>
  <si>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</si>
  <si>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</si>
  <si>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</si>
  <si>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</si>
  <si>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</si>
  <si>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</si>
  <si>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</si>
  <si>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</si>
  <si>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</si>
  <si>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</si>
  <si>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</si>
  <si>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</si>
  <si>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</si>
  <si>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</si>
  <si>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</si>
  <si>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</si>
  <si>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</si>
  <si>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</si>
  <si>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</si>
  <si>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</si>
  <si>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</si>
  <si>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</si>
  <si>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</si>
  <si>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</si>
  <si>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</si>
  <si>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</si>
  <si>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</si>
  <si>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</si>
  <si>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</si>
  <si>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</si>
  <si>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</si>
  <si>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</si>
  <si>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</si>
  <si>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</si>
  <si>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</si>
  <si>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</si>
  <si>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</si>
  <si>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</si>
  <si>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</si>
  <si>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</si>
  <si>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</si>
  <si>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</si>
  <si>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</si>
  <si>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</si>
  <si>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</si>
  <si>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</si>
  <si>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</si>
  <si>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</si>
  <si>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</si>
  <si>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</si>
  <si>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</si>
  <si>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</si>
  <si>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</si>
  <si>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</si>
  <si>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</si>
  <si>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</si>
  <si>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</si>
  <si>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</si>
  <si>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</si>
  <si>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</si>
  <si>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</si>
  <si>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</si>
  <si>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</si>
  <si>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</si>
  <si>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</si>
  <si>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</si>
  <si>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</si>
  <si>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</si>
  <si>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</si>
  <si>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</si>
  <si>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</si>
  <si>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</si>
  <si>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</si>
  <si>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</si>
  <si>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</si>
  <si>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</si>
  <si>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</si>
  <si>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</si>
  <si>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</si>
  <si>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</si>
  <si>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</si>
  <si>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</si>
  <si>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</si>
  <si>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</si>
  <si>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</si>
  <si>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</si>
  <si>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</si>
  <si>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</si>
  <si>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</si>
  <si>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</si>
  <si>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</si>
  <si>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</si>
  <si>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</si>
  <si>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</si>
  <si>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</si>
  <si>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</si>
  <si>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</si>
  <si>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</si>
  <si>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</si>
  <si>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</si>
  <si>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</si>
  <si>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</si>
  <si>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</si>
  <si>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</si>
  <si>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</si>
  <si>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</si>
  <si>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</si>
  <si>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</si>
  <si>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</si>
  <si>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</si>
  <si>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</si>
  <si>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</si>
  <si>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</si>
  <si>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</si>
  <si>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</si>
  <si>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</si>
  <si>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</si>
  <si>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</si>
  <si>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</si>
  <si>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</si>
  <si>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</si>
  <si>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</si>
  <si>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</si>
  <si>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</si>
  <si>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</si>
  <si>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</si>
  <si>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</si>
  <si>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</si>
  <si>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</si>
  <si>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</si>
  <si>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</si>
  <si>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</si>
  <si>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</si>
  <si>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</si>
  <si>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</si>
  <si>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</si>
  <si>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</si>
  <si>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</si>
  <si>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</si>
  <si>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</si>
  <si>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</si>
  <si>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</si>
  <si>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</si>
  <si>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</si>
  <si>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</si>
  <si>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</si>
  <si>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</si>
  <si>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</si>
  <si>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</si>
  <si>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</si>
  <si>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</si>
  <si>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</si>
  <si>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</si>
  <si>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</si>
  <si>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</si>
  <si>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</si>
  <si>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</si>
  <si>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</si>
  <si>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</si>
  <si>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</si>
  <si>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</si>
  <si>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</si>
  <si>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</si>
  <si>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</si>
  <si>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</si>
  <si>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</si>
  <si>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</si>
  <si>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</si>
  <si>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</si>
  <si>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</si>
  <si>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</si>
  <si>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</si>
  <si>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</si>
  <si>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</si>
  <si>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</si>
  <si>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</si>
  <si>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</si>
  <si>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</si>
  <si>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</si>
  <si>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</si>
  <si>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</si>
  <si>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</si>
  <si>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</si>
  <si>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</si>
  <si>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</si>
  <si>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</si>
  <si>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</si>
  <si>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</si>
  <si>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</si>
  <si>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</si>
  <si>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</si>
  <si>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</si>
  <si>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</si>
  <si>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</si>
  <si>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</si>
  <si>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</si>
  <si>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</si>
  <si>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</si>
  <si>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</si>
  <si>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</si>
  <si>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</si>
  <si>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</si>
  <si>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</si>
  <si>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</si>
  <si>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</si>
  <si>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</si>
  <si>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</si>
  <si>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</si>
  <si>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</si>
  <si>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</si>
  <si>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</si>
  <si>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</si>
  <si>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</si>
  <si>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</si>
  <si>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</si>
  <si>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</si>
  <si>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</si>
  <si>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</si>
  <si>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</si>
  <si>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</si>
  <si>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</si>
  <si>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</si>
  <si>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</si>
  <si>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</si>
  <si>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</si>
  <si>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</si>
  <si>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</si>
  <si>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</si>
  <si>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</si>
  <si>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</si>
  <si>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</si>
  <si>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</si>
  <si>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</si>
  <si>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</si>
  <si>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</si>
  <si>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</si>
  <si>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</si>
  <si>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</si>
  <si>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</si>
  <si>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</si>
  <si>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</si>
  <si>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</si>
  <si>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</si>
  <si>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</si>
  <si>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</si>
  <si>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</si>
  <si>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</si>
  <si>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</si>
  <si>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</si>
  <si>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</si>
  <si>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</si>
  <si>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</si>
  <si>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</si>
  <si>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</si>
  <si>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</si>
  <si>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</si>
  <si>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</si>
  <si>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</si>
  <si>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</si>
  <si>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</si>
  <si>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</si>
  <si>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</si>
  <si>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</si>
  <si>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</si>
  <si>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</si>
  <si>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</si>
  <si>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</si>
  <si>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</si>
  <si>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</si>
  <si>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</si>
  <si>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</si>
  <si>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</si>
  <si>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</si>
  <si>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</si>
  <si>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</si>
  <si>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</si>
  <si>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</si>
  <si>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</si>
  <si>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</si>
  <si>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</si>
  <si>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</si>
  <si>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</si>
  <si>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</si>
  <si>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</si>
  <si>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</si>
  <si>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</si>
  <si>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</si>
  <si>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</si>
  <si>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</si>
  <si>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</si>
  <si>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</si>
  <si>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</si>
  <si>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</si>
  <si>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</si>
  <si>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</si>
  <si>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</si>
  <si>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</si>
  <si>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</si>
  <si>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</si>
  <si>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</si>
  <si>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</si>
  <si>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</si>
  <si>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</si>
  <si>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</si>
  <si>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</si>
  <si>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</si>
  <si>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</si>
  <si>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</si>
  <si>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</si>
  <si>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</si>
  <si>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</si>
  <si>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</si>
  <si>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</si>
  <si>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</si>
  <si>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</si>
  <si>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</si>
  <si>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</si>
  <si>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</si>
  <si>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</si>
  <si>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</si>
  <si>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</si>
  <si>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</si>
  <si>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</si>
  <si>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</si>
  <si>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</si>
  <si>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</si>
  <si>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</si>
  <si>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</si>
  <si>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</si>
  <si>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</si>
  <si>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</si>
  <si>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</si>
  <si>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</si>
  <si>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</si>
  <si>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</si>
  <si>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</si>
  <si>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</si>
  <si>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</si>
  <si>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</si>
  <si>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</si>
  <si>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</si>
  <si>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</si>
  <si>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</si>
  <si>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</si>
  <si>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</si>
  <si>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</si>
  <si>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</si>
  <si>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</si>
  <si>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</si>
  <si>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</si>
  <si>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</si>
  <si>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</si>
  <si>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</si>
  <si>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</si>
  <si>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</si>
  <si>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</si>
  <si>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</si>
  <si>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</si>
  <si>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</si>
  <si>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</si>
  <si>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</si>
  <si>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</si>
  <si>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</si>
  <si>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</si>
  <si>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</si>
  <si>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</si>
  <si>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</si>
  <si>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</si>
  <si>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</si>
  <si>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</si>
  <si>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</si>
  <si>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</si>
  <si>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</si>
  <si>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</si>
  <si>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</si>
  <si>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</si>
  <si>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</si>
  <si>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</si>
  <si>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</si>
  <si>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</si>
  <si>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</si>
  <si>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</si>
  <si>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</si>
  <si>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</si>
  <si>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</si>
  <si>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</si>
  <si>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</si>
  <si>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</si>
  <si>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</si>
  <si>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</si>
  <si>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</si>
  <si>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</si>
  <si>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</si>
  <si>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</si>
  <si>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</si>
  <si>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</si>
  <si>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</si>
  <si>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</si>
  <si>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</si>
  <si>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</si>
  <si>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</si>
  <si>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</si>
  <si>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</si>
  <si>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</si>
  <si>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</si>
  <si>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</si>
  <si>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</si>
  <si>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</si>
  <si>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</si>
  <si>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</si>
  <si>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</si>
  <si>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</si>
  <si>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</si>
  <si>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</si>
  <si>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</si>
  <si>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</si>
  <si>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</si>
  <si>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</si>
  <si>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</si>
  <si>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</si>
  <si>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</si>
  <si>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</si>
  <si>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</si>
  <si>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</si>
  <si>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</si>
  <si>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</si>
  <si>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</si>
  <si>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</si>
  <si>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</si>
  <si>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</si>
  <si>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</si>
  <si>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</si>
  <si>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</si>
  <si>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</si>
  <si>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</si>
  <si>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</si>
  <si>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</si>
  <si>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</si>
  <si>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</si>
  <si>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</si>
  <si>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</si>
  <si>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</si>
  <si>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</si>
  <si>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</si>
  <si>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</si>
  <si>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</si>
  <si>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</si>
  <si>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</si>
  <si>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</si>
  <si>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</si>
  <si>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</si>
  <si>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</si>
  <si>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</si>
  <si>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</si>
  <si>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</si>
  <si>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</si>
  <si>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</si>
  <si>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</si>
  <si>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</si>
  <si>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</si>
  <si>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</si>
  <si>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</si>
  <si>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</si>
  <si>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</si>
  <si>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</si>
  <si>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</si>
  <si>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</si>
  <si>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</si>
  <si>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</si>
  <si>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</si>
  <si>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</si>
  <si>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</si>
  <si>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</si>
  <si>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</si>
  <si>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</si>
  <si>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</si>
  <si>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</si>
  <si>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</si>
  <si>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</si>
  <si>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</si>
  <si>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</si>
  <si>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</si>
  <si>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</si>
  <si>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</si>
  <si>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</si>
  <si>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</si>
  <si>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</si>
  <si>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</si>
  <si>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</si>
  <si>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</si>
  <si>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</si>
  <si>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</si>
  <si>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</si>
  <si>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</si>
  <si>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</si>
  <si>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</si>
  <si>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</si>
  <si>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</si>
  <si>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</si>
  <si>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</si>
  <si>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</si>
  <si>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</si>
  <si>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</si>
  <si>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</si>
  <si>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</si>
  <si>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</si>
  <si>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</si>
  <si>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</si>
  <si>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</si>
  <si>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</si>
  <si>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</si>
  <si>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</si>
  <si>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</si>
  <si>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</si>
  <si>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</si>
  <si>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</si>
  <si>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</si>
  <si>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</si>
  <si>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</si>
  <si>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</si>
  <si>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</si>
  <si>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</si>
  <si>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</si>
  <si>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</si>
  <si>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</si>
  <si>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</si>
  <si>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</si>
  <si>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</si>
  <si>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</si>
  <si>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</si>
  <si>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</si>
  <si>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</si>
  <si>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</si>
  <si>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</si>
  <si>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</si>
  <si>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</si>
  <si>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</si>
  <si>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</si>
  <si>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</si>
  <si>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</si>
  <si>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</si>
  <si>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</si>
  <si>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</si>
  <si>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</si>
  <si>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</si>
  <si>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</si>
  <si>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</si>
  <si>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</si>
  <si>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</si>
  <si>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</si>
  <si>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</si>
  <si>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</si>
  <si>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</si>
  <si>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</si>
  <si>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</si>
  <si>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</si>
  <si>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</si>
  <si>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</si>
  <si>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</si>
  <si>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</si>
  <si>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</si>
  <si>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</si>
  <si>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</si>
  <si>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</si>
  <si>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</si>
  <si>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</si>
  <si>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</si>
  <si>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</si>
  <si>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</si>
  <si>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</si>
  <si>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</si>
  <si>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</si>
  <si>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</si>
  <si>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</si>
  <si>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</si>
  <si>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</si>
  <si>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</si>
  <si>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</si>
  <si>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</si>
  <si>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</si>
  <si>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</si>
  <si>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</si>
  <si>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</si>
  <si>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</si>
  <si>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</si>
  <si>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</si>
  <si>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</si>
  <si>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</si>
  <si>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</si>
  <si>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</si>
  <si>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</si>
  <si>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</si>
  <si>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</si>
  <si>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</si>
  <si>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</si>
  <si>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</si>
  <si>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</si>
  <si>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</si>
  <si>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</si>
  <si>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</si>
  <si>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</si>
  <si>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</si>
  <si>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</si>
  <si>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</si>
  <si>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</si>
  <si>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</si>
  <si>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</si>
  <si>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</si>
  <si>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</si>
  <si>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</si>
  <si>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</si>
  <si>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</si>
  <si>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</si>
  <si>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</si>
  <si>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</si>
  <si>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</si>
  <si>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</si>
  <si>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</si>
  <si>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</si>
  <si>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</si>
  <si>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</si>
  <si>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</si>
  <si>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</si>
  <si>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</si>
  <si>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</si>
  <si>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</si>
  <si>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</si>
  <si>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</si>
  <si>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</si>
  <si>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</si>
  <si>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</si>
  <si>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</si>
  <si>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</si>
  <si>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</si>
  <si>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</si>
  <si>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</si>
  <si>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</si>
  <si>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</si>
  <si>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</si>
  <si>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</si>
  <si>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</si>
  <si>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</si>
  <si>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</si>
  <si>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</si>
  <si>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</si>
  <si>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</si>
  <si>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</si>
  <si>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</si>
  <si>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</si>
  <si>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</si>
  <si>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</si>
  <si>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</si>
  <si>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</si>
  <si>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</si>
  <si>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</si>
  <si>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</si>
  <si>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</si>
  <si>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</si>
  <si>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</si>
  <si>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</si>
  <si>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</si>
  <si>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</si>
  <si>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</si>
  <si>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</si>
  <si>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</si>
  <si>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</si>
  <si>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</si>
  <si>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</si>
  <si>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</si>
  <si>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</si>
  <si>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</si>
  <si>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</si>
  <si>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</si>
  <si>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</si>
  <si>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</si>
  <si>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</si>
  <si>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</si>
  <si>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</si>
  <si>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</si>
  <si>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</si>
  <si>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</si>
  <si>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</si>
  <si>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</si>
  <si>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</si>
  <si>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</si>
  <si>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</si>
  <si>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</si>
  <si>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</si>
  <si>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</si>
  <si>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</si>
  <si>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</si>
  <si>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</si>
  <si>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</si>
  <si>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</si>
  <si>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</si>
  <si>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</si>
  <si>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</si>
  <si>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</si>
  <si>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</si>
  <si>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</si>
  <si>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</si>
  <si>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</si>
  <si>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</si>
  <si>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</si>
  <si>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</si>
  <si>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</si>
  <si>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</si>
  <si>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</si>
  <si>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</si>
  <si>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</si>
  <si>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</si>
  <si>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</si>
  <si>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</si>
  <si>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</si>
  <si>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</si>
  <si>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</si>
  <si>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</si>
  <si>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</si>
  <si>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</si>
  <si>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</si>
  <si>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</si>
  <si>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</si>
  <si>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</si>
  <si>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</si>
  <si>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</si>
  <si>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</si>
  <si>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</si>
  <si>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</si>
  <si>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</si>
  <si>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</si>
  <si>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</si>
  <si>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</si>
  <si>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</si>
  <si>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</si>
  <si>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</si>
  <si>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</si>
  <si>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</si>
  <si>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</si>
  <si>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</si>
  <si>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</si>
  <si>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</si>
  <si>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</si>
  <si>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</si>
  <si>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</si>
  <si>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</si>
  <si>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</si>
  <si>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</si>
  <si>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</si>
  <si>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</si>
  <si>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</si>
  <si>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</si>
  <si>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</si>
  <si>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</si>
  <si>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</si>
  <si>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</si>
  <si>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</si>
  <si>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</si>
  <si>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</si>
  <si>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</si>
  <si>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</si>
  <si>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</si>
  <si>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</si>
  <si>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</si>
  <si>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</si>
  <si>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</si>
  <si>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</si>
  <si>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</si>
  <si>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</si>
  <si>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</si>
  <si>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</si>
  <si>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</si>
  <si>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</si>
  <si>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</si>
  <si>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</si>
  <si>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</si>
  <si>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</si>
  <si>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</si>
  <si>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</si>
  <si>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</si>
  <si>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</si>
  <si>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</si>
  <si>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</si>
  <si>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</si>
  <si>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</si>
  <si>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</si>
  <si>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</si>
  <si>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</si>
  <si>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</si>
  <si>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</si>
  <si>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</si>
  <si>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</si>
  <si>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</si>
  <si>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</si>
  <si>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</si>
  <si>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</si>
  <si>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</si>
  <si>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</si>
  <si>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</si>
  <si>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</si>
  <si>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</si>
  <si>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</si>
  <si>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</si>
  <si>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</si>
  <si>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</si>
  <si>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</si>
  <si>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</si>
  <si>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</si>
  <si>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</si>
  <si>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</si>
  <si>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</si>
  <si>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</si>
  <si>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</si>
  <si>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</si>
  <si>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</si>
  <si>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</si>
  <si>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</si>
  <si>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</si>
  <si>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</si>
  <si>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</si>
  <si>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</si>
  <si>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</si>
  <si>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</si>
  <si>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</si>
  <si>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</si>
  <si>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</si>
  <si>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</si>
  <si>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</si>
  <si>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</si>
  <si>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</si>
  <si>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</si>
  <si>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</si>
  <si>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</si>
  <si>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</si>
  <si>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</si>
  <si>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</si>
  <si>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</si>
  <si>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</si>
  <si>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</si>
  <si>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</si>
  <si>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</si>
  <si>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</si>
  <si>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</si>
  <si>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</si>
  <si>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</si>
  <si>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</si>
  <si>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</si>
  <si>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</si>
  <si>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</si>
  <si>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</si>
  <si>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</si>
  <si>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</si>
  <si>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</si>
  <si>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</si>
  <si>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</si>
  <si>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</si>
  <si>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</si>
  <si>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</si>
  <si>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</si>
  <si>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</si>
  <si>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</si>
  <si>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</si>
  <si>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</si>
  <si>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</si>
  <si>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</si>
  <si>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</si>
  <si>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</si>
  <si>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</si>
  <si>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</si>
  <si>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</si>
  <si>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</si>
  <si>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</si>
  <si>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</si>
  <si>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</si>
  <si>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</si>
  <si>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</si>
  <si>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</si>
  <si>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</si>
  <si>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</si>
  <si>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</si>
  <si>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</si>
  <si>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</si>
  <si>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</si>
  <si>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</si>
  <si>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</si>
  <si>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</si>
  <si>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</si>
  <si>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</si>
  <si>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</si>
  <si>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</si>
  <si>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</si>
  <si>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</si>
  <si>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</si>
  <si>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</si>
  <si>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</si>
  <si>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</si>
  <si>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</si>
  <si>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</si>
  <si>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</si>
  <si>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</si>
  <si>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</si>
  <si>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</si>
  <si>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</si>
  <si>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</si>
  <si>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</si>
  <si>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</si>
  <si>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</si>
  <si>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</si>
  <si>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</si>
  <si>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</si>
  <si>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</si>
  <si>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</si>
  <si>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</si>
  <si>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</si>
  <si>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</si>
  <si>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</si>
  <si>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</si>
  <si>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</si>
  <si>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</si>
  <si>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</si>
  <si>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</si>
  <si>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</si>
  <si>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</si>
  <si>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</si>
  <si>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</si>
  <si>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</si>
  <si>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</si>
  <si>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</si>
  <si>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</si>
  <si>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</si>
  <si>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</si>
  <si>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</si>
  <si>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</si>
  <si>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</si>
  <si>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</si>
  <si>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</si>
  <si>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</si>
  <si>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</si>
  <si>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</si>
  <si>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</si>
  <si>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</si>
  <si>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</si>
  <si>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</si>
  <si>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</si>
  <si>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</si>
  <si>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</si>
  <si>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</si>
  <si>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</si>
  <si>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</si>
  <si>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</si>
  <si>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</si>
  <si>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</si>
  <si>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</si>
  <si>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</si>
  <si>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</si>
  <si>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</si>
  <si>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</si>
  <si>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</si>
  <si>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</si>
  <si>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</si>
  <si>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</si>
  <si>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</si>
  <si>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</si>
  <si>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</si>
  <si>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</si>
  <si>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</si>
  <si>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</si>
  <si>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</si>
  <si>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</si>
  <si>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</si>
  <si>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</si>
  <si>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</si>
  <si>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</si>
  <si>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</si>
  <si>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</si>
  <si>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</si>
  <si>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</si>
  <si>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</si>
  <si>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</si>
  <si>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</si>
  <si>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</si>
  <si>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</si>
  <si>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</si>
  <si>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</si>
  <si>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</si>
  <si>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</si>
  <si>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</si>
  <si>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</si>
  <si>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</si>
  <si>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</si>
  <si>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</si>
  <si>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</si>
  <si>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</si>
  <si>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</si>
  <si>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</si>
  <si>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</si>
  <si>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</si>
  <si>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</si>
  <si>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</si>
  <si>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</si>
  <si>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</si>
  <si>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</si>
  <si>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</si>
  <si>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</si>
  <si>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</si>
  <si>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</si>
  <si>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</si>
  <si>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</si>
  <si>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</si>
  <si>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</si>
  <si>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</si>
  <si>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</si>
  <si>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</si>
  <si>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</si>
  <si>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</si>
  <si>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</si>
  <si>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</si>
  <si>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</si>
  <si>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</si>
  <si>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</si>
  <si>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</si>
  <si>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</si>
  <si>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</si>
  <si>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</si>
  <si>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</si>
  <si>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</si>
  <si>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</si>
  <si>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</si>
  <si>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</si>
  <si>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</si>
  <si>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</si>
  <si>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</si>
  <si>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</si>
  <si>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</si>
  <si>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</si>
  <si>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</si>
  <si>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</si>
  <si>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</si>
  <si>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</si>
  <si>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</si>
  <si>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</si>
  <si>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</si>
  <si>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</si>
  <si>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</si>
  <si>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</si>
  <si>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</si>
  <si>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</si>
  <si>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</si>
  <si>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</si>
  <si>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</si>
  <si>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</si>
  <si>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</si>
  <si>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</si>
  <si>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</si>
  <si>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</si>
  <si>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</si>
  <si>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</si>
  <si>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</si>
  <si>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</si>
  <si>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</si>
  <si>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</si>
  <si>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</si>
  <si>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</si>
  <si>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</si>
  <si>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</si>
  <si>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</si>
  <si>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</si>
  <si>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</si>
  <si>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</si>
  <si>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</si>
  <si>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</si>
  <si>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</si>
  <si>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</si>
  <si>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</si>
  <si>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</si>
  <si>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</si>
  <si>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</si>
  <si>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</si>
  <si>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</si>
  <si>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</si>
  <si>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</si>
  <si>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</si>
  <si>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</si>
  <si>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</si>
  <si>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</si>
  <si>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</si>
  <si>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</si>
  <si>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</si>
  <si>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</si>
  <si>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</si>
  <si>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</si>
  <si>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</si>
  <si>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</si>
  <si>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</si>
  <si>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</si>
  <si>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</si>
  <si>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</si>
  <si>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</si>
  <si>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</si>
  <si>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</si>
  <si>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</si>
  <si>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</si>
  <si>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</si>
  <si>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</si>
  <si>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</si>
  <si>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</si>
  <si>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</si>
  <si>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</si>
  <si>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</si>
  <si>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</si>
  <si>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</si>
  <si>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</si>
  <si>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</si>
  <si>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</si>
  <si>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</si>
  <si>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</si>
  <si>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</si>
  <si>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</si>
  <si>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</si>
  <si>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</si>
  <si>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</si>
  <si>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</si>
  <si>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</si>
  <si>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</si>
  <si>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</si>
  <si>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</si>
  <si>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</si>
  <si>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</si>
  <si>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</si>
  <si>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</si>
  <si>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</si>
  <si>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</si>
  <si>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</si>
  <si>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</si>
  <si>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</si>
  <si>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</si>
  <si>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</si>
  <si>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</si>
  <si>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</si>
  <si>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</si>
  <si>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</si>
  <si>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</si>
  <si>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</si>
  <si>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</si>
  <si>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</si>
  <si>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</si>
  <si>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</si>
  <si>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</si>
  <si>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</si>
  <si>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</si>
  <si>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</si>
  <si>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</si>
  <si>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</si>
  <si>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</si>
  <si>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</si>
  <si>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</si>
  <si>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</si>
  <si>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</si>
  <si>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</si>
  <si>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</si>
  <si>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</si>
  <si>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</si>
  <si>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</si>
  <si>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</si>
  <si>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</si>
  <si>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</si>
  <si>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</si>
  <si>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</si>
  <si>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</si>
  <si>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</si>
  <si>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</si>
  <si>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</si>
  <si>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</si>
  <si>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</si>
  <si>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</si>
  <si>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</si>
  <si>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</si>
  <si>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</si>
  <si>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</si>
  <si>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</si>
  <si>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</si>
  <si>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</si>
  <si>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</si>
  <si>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</si>
  <si>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</si>
  <si>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</si>
  <si>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</si>
  <si>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</si>
  <si>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</si>
  <si>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</si>
  <si>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</si>
  <si>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</si>
  <si>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</si>
  <si>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</si>
  <si>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</si>
  <si>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</si>
  <si>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</si>
  <si>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</si>
  <si>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</si>
  <si>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</si>
  <si>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</si>
  <si>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</si>
  <si>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</si>
  <si>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</si>
  <si>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</si>
  <si>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</si>
  <si>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</si>
  <si>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</si>
  <si>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</si>
  <si>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</si>
  <si>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</si>
  <si>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</si>
  <si>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</si>
  <si>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</si>
  <si>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</si>
  <si>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</si>
  <si>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</si>
  <si>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</si>
  <si>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</si>
  <si>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</si>
  <si>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</si>
  <si>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</si>
  <si>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</si>
  <si>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</si>
  <si>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</si>
  <si>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</si>
  <si>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</si>
  <si>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</si>
  <si>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</si>
  <si>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</si>
  <si>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</si>
  <si>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</si>
  <si>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</si>
  <si>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</si>
  <si>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</si>
  <si>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</si>
  <si>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</si>
  <si>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</si>
  <si>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</si>
  <si>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</si>
  <si>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</si>
  <si>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</si>
  <si>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</si>
  <si>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</si>
  <si>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</si>
  <si>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</si>
  <si>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</si>
  <si>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</si>
  <si>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</si>
  <si>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</si>
  <si>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</si>
  <si>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</si>
  <si>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</si>
  <si>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</si>
  <si>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</si>
  <si>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</si>
  <si>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</si>
  <si>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</si>
  <si>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</si>
  <si>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</si>
  <si>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</si>
  <si>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</si>
  <si>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</si>
  <si>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</si>
  <si>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</si>
  <si>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</si>
  <si>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</si>
  <si>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</si>
  <si>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</si>
  <si>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</si>
  <si>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</si>
  <si>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</si>
  <si>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</si>
  <si>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</si>
  <si>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</si>
  <si>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</si>
  <si>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</si>
  <si>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</si>
  <si>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</si>
  <si>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</si>
  <si>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</si>
  <si>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</si>
  <si>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</si>
  <si>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</si>
  <si>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</si>
  <si>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</si>
  <si>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</si>
  <si>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</si>
  <si>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</si>
  <si>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</si>
  <si>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</si>
  <si>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</si>
  <si>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</si>
  <si>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</si>
  <si>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</si>
  <si>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</si>
  <si>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</si>
  <si>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</si>
  <si>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</si>
  <si>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</si>
  <si>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</si>
  <si>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</si>
  <si>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</si>
  <si>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</si>
  <si>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</si>
  <si>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</si>
  <si>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</si>
  <si>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</si>
  <si>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</si>
  <si>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</si>
  <si>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</si>
  <si>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</si>
  <si>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</si>
  <si>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</si>
  <si>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</si>
  <si>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</si>
  <si>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</si>
  <si>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</si>
  <si>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</si>
  <si>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</si>
  <si>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</si>
  <si>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</si>
  <si>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</si>
  <si>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</si>
  <si>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</si>
  <si>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</si>
  <si>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</si>
  <si>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</si>
  <si>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</si>
  <si>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</si>
  <si>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</si>
  <si>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</si>
  <si>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</si>
  <si>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</si>
  <si>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</si>
  <si>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</si>
  <si>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</si>
  <si>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</si>
  <si>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</si>
  <si>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</si>
  <si>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</si>
  <si>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</si>
  <si>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</si>
  <si>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</si>
  <si>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</si>
  <si>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</si>
  <si>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</si>
  <si>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</si>
  <si>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</si>
  <si>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</si>
  <si>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</si>
  <si>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</si>
  <si>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</si>
  <si>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</si>
  <si>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</si>
  <si>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</si>
  <si>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</si>
  <si>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</si>
  <si>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</si>
  <si>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</si>
  <si>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</si>
  <si>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</si>
  <si>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</si>
  <si>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</si>
  <si>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</si>
  <si>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</si>
  <si>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</si>
  <si>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</si>
  <si>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</si>
  <si>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</si>
  <si>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</si>
  <si>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</si>
  <si>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</si>
  <si>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</si>
  <si>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</si>
  <si>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</si>
  <si>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</si>
  <si>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</si>
  <si>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</si>
  <si>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</si>
  <si>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</si>
  <si>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</si>
  <si>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</si>
  <si>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</si>
  <si>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</si>
  <si>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</si>
  <si>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</si>
  <si>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</si>
  <si>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</si>
  <si>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</si>
  <si>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</si>
  <si>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</si>
  <si>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</si>
  <si>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</si>
  <si>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</si>
  <si>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</si>
  <si>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</si>
  <si>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</si>
  <si>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</si>
  <si>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</si>
  <si>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</si>
  <si>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</si>
  <si>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</si>
  <si>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</si>
  <si>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</si>
  <si>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</si>
  <si>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</si>
  <si>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</si>
  <si>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</si>
  <si>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</si>
  <si>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</si>
  <si>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</si>
  <si>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</si>
  <si>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</si>
  <si>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</si>
  <si>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</si>
  <si>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</si>
  <si>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</si>
  <si>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</si>
  <si>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</si>
  <si>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</si>
  <si>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</si>
  <si>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</si>
  <si>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</si>
  <si>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</si>
  <si>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</si>
  <si>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</si>
  <si>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</si>
  <si>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</si>
  <si>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</si>
  <si>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</si>
  <si>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</si>
  <si>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</si>
  <si>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</si>
  <si>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</si>
  <si>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</si>
  <si>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</si>
  <si>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</si>
  <si>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</si>
  <si>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</si>
  <si>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</si>
  <si>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</si>
  <si>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</si>
  <si>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</si>
  <si>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</si>
  <si>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</si>
  <si>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</si>
  <si>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</si>
  <si>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</si>
  <si>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</si>
  <si>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</si>
  <si>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</si>
  <si>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</si>
  <si>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</si>
  <si>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</si>
  <si>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</si>
  <si>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</si>
  <si>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</si>
  <si>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</si>
  <si>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</si>
  <si>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</si>
  <si>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</si>
  <si>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</si>
  <si>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</si>
  <si>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</si>
  <si>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</si>
  <si>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</si>
  <si>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</si>
  <si>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</si>
  <si>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</si>
  <si>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</si>
  <si>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</si>
  <si>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</si>
  <si>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</si>
  <si>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</si>
  <si>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</si>
  <si>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</si>
  <si>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</si>
  <si>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</si>
  <si>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</si>
  <si>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</si>
  <si>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</si>
  <si>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</si>
  <si>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</si>
  <si>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</si>
  <si>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</si>
  <si>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</si>
  <si>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</si>
  <si>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</si>
  <si>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</si>
  <si>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</si>
  <si>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</si>
  <si>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</si>
  <si>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</si>
  <si>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</si>
  <si>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</si>
  <si>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</si>
  <si>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</si>
  <si>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</si>
  <si>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</si>
  <si>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</si>
  <si>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</si>
  <si>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</si>
  <si>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</si>
  <si>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</si>
  <si>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</si>
  <si>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</si>
  <si>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</si>
  <si>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</si>
  <si>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</si>
  <si>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</si>
  <si>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</si>
  <si>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</si>
  <si>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</si>
  <si>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</si>
  <si>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</si>
  <si>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</si>
  <si>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</si>
  <si>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</si>
  <si>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</si>
  <si>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</si>
  <si>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</si>
  <si>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</si>
  <si>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</si>
  <si>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</si>
  <si>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</si>
  <si>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</si>
  <si>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</si>
  <si>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</si>
  <si>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</si>
  <si>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</si>
  <si>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</si>
  <si>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</si>
  <si>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</si>
  <si>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</si>
  <si>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</si>
  <si>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</si>
  <si>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</si>
  <si>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</si>
  <si>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</si>
  <si>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</si>
  <si>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</si>
  <si>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</si>
  <si>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</si>
  <si>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</si>
  <si>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</si>
  <si>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</si>
  <si>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</si>
  <si>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</si>
  <si>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</si>
  <si>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</si>
  <si>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</si>
  <si>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</si>
  <si>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</si>
  <si>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</si>
  <si>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</si>
  <si>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</si>
  <si>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</si>
  <si>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</si>
  <si>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</si>
  <si>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</si>
  <si>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</si>
  <si>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</si>
  <si>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</si>
  <si>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</si>
  <si>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</si>
  <si>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</si>
  <si>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</si>
  <si>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</si>
  <si>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</si>
  <si>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</si>
  <si>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</si>
  <si>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</si>
  <si>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</si>
  <si>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</si>
  <si>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</si>
  <si>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</si>
  <si>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</si>
  <si>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</si>
  <si>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</si>
  <si>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</si>
  <si>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</si>
  <si>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</si>
  <si>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</si>
  <si>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</si>
  <si>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</si>
  <si>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</si>
  <si>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</si>
  <si>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</si>
  <si>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</si>
  <si>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</si>
  <si>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</si>
  <si>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</si>
  <si>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</si>
  <si>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</si>
  <si>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</si>
  <si>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</si>
  <si>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</si>
  <si>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</si>
  <si>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</si>
  <si>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</si>
  <si>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</si>
  <si>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</si>
  <si>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</si>
  <si>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</si>
  <si>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</si>
  <si>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</si>
  <si>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</si>
  <si>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</si>
  <si>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</si>
  <si>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</si>
  <si>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</si>
  <si>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</si>
  <si>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</si>
  <si>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</si>
  <si>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</si>
  <si>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</si>
  <si>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</si>
  <si>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</si>
  <si>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</si>
  <si>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</si>
  <si>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</si>
  <si>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</si>
  <si>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</si>
  <si>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</si>
  <si>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</si>
  <si>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</si>
  <si>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</si>
  <si>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</si>
  <si>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</si>
  <si>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</si>
  <si>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</si>
  <si>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</si>
  <si>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</si>
  <si>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</si>
  <si>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</si>
  <si>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</si>
  <si>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</si>
  <si>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</si>
  <si>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</si>
  <si>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</si>
  <si>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</si>
  <si>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</si>
  <si>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</si>
  <si>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</si>
  <si>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</si>
  <si>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</si>
  <si>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</si>
  <si>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</si>
  <si>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</si>
  <si>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</si>
  <si>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</si>
  <si>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</si>
  <si>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</si>
  <si>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</si>
  <si>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</si>
  <si>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</si>
  <si>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</si>
  <si>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</si>
  <si>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</si>
  <si>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</si>
  <si>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</si>
  <si>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</si>
  <si>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</si>
  <si>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</si>
  <si>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</si>
  <si>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</si>
  <si>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</si>
  <si>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</si>
  <si>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</si>
  <si>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</si>
  <si>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</si>
  <si>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</si>
  <si>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</si>
  <si>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</si>
  <si>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</si>
  <si>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</si>
  <si>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</si>
  <si>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</si>
  <si>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</si>
  <si>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</si>
  <si>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</si>
  <si>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</si>
  <si>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</si>
  <si>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</si>
  <si>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</si>
  <si>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</si>
  <si>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</si>
  <si>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</si>
  <si>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</si>
  <si>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</si>
  <si>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</si>
  <si>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</si>
  <si>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</si>
  <si>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</si>
  <si>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</si>
  <si>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</si>
  <si>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</si>
  <si>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</si>
  <si>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</si>
  <si>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</si>
  <si>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</si>
  <si>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</si>
  <si>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</si>
  <si>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</si>
  <si>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</si>
  <si>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</si>
  <si>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</si>
  <si>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</si>
  <si>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</si>
  <si>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</si>
  <si>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</si>
  <si>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</si>
  <si>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</si>
  <si>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</si>
  <si>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</si>
  <si>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</si>
  <si>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</si>
  <si>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</si>
  <si>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</si>
  <si>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</si>
  <si>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</si>
  <si>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</si>
  <si>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</si>
  <si>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</si>
  <si>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</si>
  <si>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</si>
  <si>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</si>
  <si>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</si>
  <si>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</si>
  <si>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</si>
  <si>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</si>
  <si>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</si>
  <si>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</si>
  <si>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</si>
  <si>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</si>
  <si>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</si>
  <si>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</si>
  <si>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</si>
  <si>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</si>
  <si>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</si>
  <si>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</si>
  <si>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</si>
  <si>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</si>
  <si>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</si>
  <si>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</si>
  <si>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</si>
  <si>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</si>
  <si>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</si>
  <si>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</si>
  <si>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</si>
  <si>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</si>
  <si>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</si>
  <si>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</si>
  <si>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</si>
  <si>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</si>
  <si>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</si>
  <si>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</si>
  <si>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</si>
  <si>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</si>
  <si>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</si>
  <si>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</si>
  <si>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</si>
  <si>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</si>
  <si>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</si>
  <si>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</si>
  <si>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</si>
  <si>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</si>
  <si>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</si>
  <si>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</si>
  <si>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</si>
  <si>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</si>
  <si>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</si>
  <si>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</si>
  <si>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</si>
  <si>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</si>
  <si>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</si>
  <si>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</si>
  <si>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</si>
  <si>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</si>
  <si>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</si>
  <si>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</si>
  <si>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</si>
  <si>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</si>
  <si>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</si>
  <si>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</si>
  <si>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</si>
  <si>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</si>
  <si>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</si>
  <si>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</si>
  <si>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</si>
  <si>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</si>
  <si>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</si>
  <si>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</si>
  <si>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</si>
  <si>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</si>
  <si>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</si>
  <si>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</si>
  <si>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</si>
  <si>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</si>
  <si>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</si>
  <si>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</si>
  <si>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</si>
  <si>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</si>
  <si>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</si>
  <si>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</si>
  <si>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</si>
  <si>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</si>
  <si>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</si>
  <si>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</si>
  <si>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</si>
  <si>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</si>
  <si>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</si>
  <si>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</si>
  <si>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</si>
  <si>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</si>
  <si>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</si>
  <si>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</si>
  <si>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</si>
  <si>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</si>
  <si>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</si>
  <si>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</si>
  <si>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</si>
  <si>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</si>
  <si>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</si>
  <si>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</si>
  <si>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</si>
  <si>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</si>
  <si>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</si>
  <si>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</si>
  <si>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</si>
  <si>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</si>
  <si>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</si>
  <si>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</si>
  <si>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</si>
  <si>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</si>
  <si>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</si>
  <si>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</si>
  <si>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</si>
  <si>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</si>
  <si>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</si>
  <si>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</si>
  <si>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</si>
  <si>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</si>
  <si>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</si>
  <si>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</si>
  <si>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</si>
  <si>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</si>
  <si>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</si>
  <si>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</si>
  <si>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</si>
  <si>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</si>
  <si>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</si>
  <si>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</si>
  <si>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</si>
  <si>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</si>
  <si>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</si>
  <si>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</si>
  <si>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</si>
  <si>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</si>
  <si>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</si>
  <si>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</si>
  <si>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</si>
  <si>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</si>
  <si>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</si>
  <si>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</si>
  <si>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</si>
  <si>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</si>
  <si>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</si>
  <si>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</si>
  <si>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</si>
  <si>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</si>
  <si>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</si>
  <si>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</si>
  <si>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</si>
  <si>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</si>
  <si>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</si>
  <si>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</si>
  <si>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</si>
  <si>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</si>
  <si>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</si>
  <si>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</si>
  <si>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</si>
  <si>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</si>
  <si>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</si>
  <si>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</si>
  <si>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</si>
  <si>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</si>
  <si>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</si>
  <si>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</si>
  <si>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</si>
  <si>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</si>
  <si>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</si>
  <si>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</si>
  <si>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</si>
  <si>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</si>
  <si>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</si>
  <si>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</si>
  <si>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</si>
  <si>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</si>
  <si>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</si>
  <si>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</si>
  <si>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</si>
  <si>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</si>
  <si>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</si>
  <si>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</si>
  <si>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</si>
  <si>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</si>
  <si>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</si>
  <si>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</si>
  <si>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</si>
  <si>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</si>
  <si>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</si>
  <si>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</si>
  <si>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</si>
  <si>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</si>
  <si>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</si>
  <si>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</si>
  <si>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</si>
  <si>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</si>
  <si>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</si>
  <si>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</si>
  <si>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</si>
  <si>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</si>
  <si>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</si>
  <si>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</si>
  <si>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</si>
  <si>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</si>
  <si>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</si>
  <si>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</si>
  <si>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</si>
  <si>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</si>
  <si>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</si>
  <si>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</si>
  <si>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</si>
  <si>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</si>
  <si>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</si>
  <si>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</si>
  <si>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</si>
  <si>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</si>
  <si>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</si>
  <si>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</si>
  <si>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</si>
  <si>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</si>
  <si>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</si>
  <si>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</si>
  <si>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</si>
  <si>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</si>
  <si>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</si>
  <si>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</si>
  <si>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</si>
  <si>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</si>
  <si>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</si>
  <si>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</si>
  <si>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</si>
  <si>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</si>
  <si>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</si>
  <si>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</si>
  <si>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</si>
  <si>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</si>
  <si>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</si>
  <si>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</si>
  <si>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</si>
  <si>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</si>
  <si>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</si>
  <si>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</si>
  <si>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</si>
  <si>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</si>
  <si>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</si>
  <si>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</si>
  <si>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</si>
  <si>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</si>
  <si>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</si>
  <si>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</si>
  <si>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</si>
  <si>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</si>
  <si>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</si>
  <si>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</si>
  <si>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</si>
  <si>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</si>
  <si>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</si>
  <si>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</si>
  <si>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</si>
  <si>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</si>
  <si>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</si>
  <si>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</si>
  <si>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</si>
  <si>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</si>
  <si>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</si>
  <si>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</si>
  <si>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</si>
  <si>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</si>
  <si>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</si>
  <si>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</si>
  <si>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</si>
  <si>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</si>
  <si>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</si>
  <si>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</si>
  <si>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</si>
  <si>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</si>
  <si>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</si>
  <si>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</si>
  <si>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</si>
  <si>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</si>
  <si>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</si>
  <si>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</si>
  <si>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</si>
  <si>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</si>
  <si>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</si>
  <si>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</si>
  <si>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</si>
  <si>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</si>
  <si>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</si>
  <si>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</si>
  <si>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</si>
  <si>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</si>
  <si>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</si>
  <si>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</si>
  <si>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</si>
  <si>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</si>
  <si>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</si>
  <si>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</si>
  <si>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</si>
  <si>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</si>
  <si>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</si>
  <si>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</si>
  <si>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</si>
  <si>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</si>
  <si>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</si>
  <si>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</si>
  <si>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</si>
  <si>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</si>
  <si>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</si>
  <si>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</si>
  <si>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</si>
  <si>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</si>
  <si>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</si>
  <si>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</si>
  <si>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</si>
  <si>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</si>
  <si>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</si>
  <si>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</si>
  <si>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</si>
  <si>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</si>
  <si>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</si>
  <si>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</si>
  <si>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</si>
  <si>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</si>
  <si>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</si>
  <si>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</si>
  <si>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</si>
  <si>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</si>
  <si>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</si>
  <si>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</si>
  <si>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</si>
  <si>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</si>
  <si>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</si>
  <si>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</si>
  <si>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</si>
  <si>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</si>
  <si>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</si>
  <si>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</si>
  <si>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</si>
  <si>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</si>
  <si>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</si>
  <si>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</si>
  <si>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</si>
  <si>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</si>
  <si>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</si>
  <si>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</si>
  <si>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</si>
  <si>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</si>
  <si>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</si>
  <si>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</si>
  <si>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</si>
  <si>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</si>
  <si>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</si>
  <si>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</si>
  <si>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</si>
  <si>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</si>
  <si>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</si>
  <si>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</si>
  <si>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</si>
  <si>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</si>
  <si>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</si>
  <si>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</si>
  <si>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</si>
  <si>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</si>
  <si>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</si>
  <si>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</si>
  <si>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</si>
  <si>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</si>
  <si>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</si>
  <si>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</si>
  <si>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</si>
  <si>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</si>
  <si>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</si>
  <si>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</si>
  <si>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</si>
  <si>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</si>
  <si>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</si>
  <si>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</si>
  <si>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</si>
  <si>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</si>
  <si>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</si>
  <si>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</si>
  <si>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</si>
  <si>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</si>
  <si>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</si>
  <si>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</si>
  <si>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</si>
  <si>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</si>
  <si>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</si>
  <si>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</si>
  <si>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</si>
  <si>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</si>
  <si>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</si>
  <si>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</si>
  <si>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</si>
  <si>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</si>
  <si>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</si>
  <si>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</si>
  <si>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</si>
  <si>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</si>
  <si>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</si>
  <si>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</si>
  <si>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</si>
  <si>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</si>
  <si>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</si>
  <si>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</si>
  <si>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</si>
  <si>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</si>
  <si>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</si>
  <si>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</si>
  <si>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</si>
  <si>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</si>
  <si>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</si>
  <si>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</si>
  <si>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</si>
  <si>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</si>
  <si>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</si>
  <si>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</si>
  <si>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</si>
  <si>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</si>
  <si>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</si>
  <si>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</si>
  <si>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</si>
  <si>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</si>
  <si>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</si>
  <si>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</si>
  <si>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</si>
  <si>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</si>
  <si>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</si>
  <si>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</si>
  <si>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</si>
  <si>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</si>
  <si>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</si>
  <si>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</si>
  <si>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</si>
  <si>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</si>
  <si>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</si>
  <si>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</si>
  <si>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</si>
  <si>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</si>
  <si>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</si>
  <si>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</si>
  <si>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</si>
  <si>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</si>
  <si>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</si>
  <si>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</si>
  <si>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</si>
  <si>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</si>
  <si>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</si>
  <si>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</si>
  <si>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</si>
  <si>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</si>
  <si>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</si>
  <si>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</si>
  <si>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</si>
  <si>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</si>
  <si>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</si>
  <si>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</si>
  <si>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</si>
  <si>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</si>
  <si>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</si>
  <si>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</si>
  <si>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</si>
  <si>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</si>
  <si>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</si>
  <si>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</si>
  <si>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</si>
  <si>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</si>
  <si>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</si>
  <si>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</si>
  <si>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</si>
  <si>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</si>
  <si>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</si>
  <si>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</si>
  <si>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</si>
  <si>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</si>
  <si>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</si>
  <si>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</si>
  <si>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</si>
  <si>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</si>
  <si>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</si>
  <si>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</si>
  <si>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</si>
  <si>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</si>
  <si>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</si>
  <si>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</si>
  <si>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</si>
  <si>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</si>
  <si>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</si>
  <si>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</si>
  <si>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</si>
  <si>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</si>
  <si>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</si>
  <si>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</si>
  <si>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</si>
  <si>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</si>
  <si>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</si>
  <si>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</si>
  <si>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</si>
  <si>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</si>
  <si>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</si>
  <si>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</si>
  <si>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</si>
  <si>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</si>
  <si>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</si>
  <si>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</si>
  <si>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</si>
  <si>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</si>
  <si>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</si>
  <si>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</si>
  <si>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</si>
  <si>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</si>
  <si>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</si>
  <si>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</si>
  <si>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</si>
  <si>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</si>
  <si>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</si>
  <si>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</si>
  <si>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</si>
  <si>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</si>
  <si>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</si>
  <si>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</si>
  <si>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</si>
  <si>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</si>
  <si>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</si>
  <si>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</si>
  <si>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</si>
  <si>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</si>
  <si>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</si>
  <si>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</si>
  <si>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</si>
  <si>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</si>
  <si>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</si>
  <si>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</si>
  <si>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</si>
  <si>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</si>
  <si>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</si>
  <si>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</si>
  <si>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</si>
  <si>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</si>
  <si>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</si>
  <si>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</si>
  <si>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</si>
  <si>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</si>
  <si>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</si>
  <si>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</si>
  <si>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</si>
  <si>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</si>
  <si>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</si>
  <si>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</si>
  <si>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</si>
  <si>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</si>
  <si>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</si>
  <si>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</si>
  <si>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</si>
  <si>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</si>
  <si>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</si>
  <si>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</si>
  <si>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</si>
  <si>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</si>
  <si>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</si>
  <si>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</si>
  <si>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</si>
  <si>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</si>
  <si>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</si>
  <si>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</si>
  <si>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</si>
  <si>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</si>
  <si>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</si>
  <si>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</si>
  <si>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</si>
  <si>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</si>
  <si>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</si>
  <si>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</si>
  <si>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</si>
  <si>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</si>
  <si>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</si>
  <si>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</si>
  <si>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</si>
  <si>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</si>
  <si>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</si>
  <si>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</si>
  <si>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</si>
  <si>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</si>
  <si>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</si>
  <si>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</si>
  <si>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</si>
  <si>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</si>
  <si>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</si>
  <si>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</si>
  <si>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</si>
  <si>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</si>
  <si>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</si>
  <si>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</si>
  <si>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</si>
  <si>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</si>
  <si>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</si>
  <si>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</si>
  <si>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</si>
  <si>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</si>
  <si>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</si>
  <si>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</si>
  <si>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</si>
  <si>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</si>
  <si>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</si>
  <si>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</si>
  <si>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</si>
  <si>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</si>
  <si>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</si>
  <si>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</si>
  <si>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</si>
  <si>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</si>
  <si>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</si>
  <si>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</si>
  <si>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</si>
  <si>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</si>
  <si>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</si>
  <si>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</si>
  <si>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</si>
  <si>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</si>
  <si>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</si>
  <si>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</si>
  <si>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</si>
  <si>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</si>
  <si>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</si>
  <si>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</si>
  <si>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</si>
  <si>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</si>
  <si>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</si>
  <si>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</si>
  <si>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</si>
  <si>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</si>
  <si>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</si>
  <si>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</si>
  <si>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</si>
  <si>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</si>
  <si>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</si>
  <si>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</si>
  <si>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</si>
  <si>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</si>
  <si>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</si>
  <si>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</si>
  <si>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</si>
  <si>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</si>
  <si>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</si>
  <si>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</si>
  <si>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</si>
  <si>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</si>
  <si>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</si>
  <si>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</si>
  <si>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</si>
  <si>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</si>
  <si>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</si>
  <si>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</si>
  <si>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</si>
  <si>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</si>
  <si>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</si>
  <si>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</si>
  <si>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</si>
  <si>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</si>
  <si>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</si>
  <si>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</si>
  <si>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</si>
  <si>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</si>
  <si>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</si>
  <si>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</si>
  <si>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</si>
  <si>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</si>
  <si>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</si>
  <si>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</si>
  <si>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</si>
  <si>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</si>
  <si>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</si>
  <si>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</si>
  <si>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</si>
  <si>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</si>
  <si>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</si>
  <si>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</si>
  <si>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</si>
  <si>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</si>
  <si>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</si>
  <si>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</si>
  <si>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</si>
  <si>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</si>
  <si>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</si>
  <si>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</si>
  <si>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</si>
  <si>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</si>
  <si>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</si>
  <si>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</si>
  <si>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</si>
  <si>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</si>
  <si>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</si>
  <si>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</si>
  <si>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</si>
  <si>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</si>
  <si>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</si>
  <si>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</si>
  <si>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</si>
  <si>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</si>
  <si>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</si>
  <si>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</si>
  <si>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</si>
  <si>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</si>
  <si>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</si>
  <si>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</si>
  <si>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</si>
  <si>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</si>
  <si>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</si>
  <si>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</si>
  <si>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</si>
  <si>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</si>
  <si>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</si>
  <si>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</si>
  <si>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</si>
  <si>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</si>
  <si>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</si>
  <si>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</si>
  <si>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</si>
  <si>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</si>
  <si>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</si>
  <si>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</si>
  <si>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</si>
  <si>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</si>
  <si>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</si>
  <si>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</si>
  <si>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</si>
  <si>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</si>
  <si>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</si>
  <si>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</si>
  <si>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</si>
  <si>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</si>
  <si>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</si>
  <si>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</si>
  <si>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</si>
  <si>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</si>
  <si>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</si>
  <si>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</si>
  <si>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</si>
  <si>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</si>
  <si>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</si>
  <si>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</si>
  <si>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</si>
  <si>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</si>
  <si>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</si>
  <si>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</si>
  <si>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</si>
  <si>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</si>
  <si>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</si>
  <si>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</si>
  <si>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</si>
  <si>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</si>
  <si>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</si>
  <si>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</si>
  <si>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</si>
  <si>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</si>
  <si>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</si>
  <si>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</si>
  <si>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</si>
  <si>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</si>
  <si>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</si>
  <si>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</si>
  <si>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</si>
  <si>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</si>
  <si>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</si>
  <si>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</si>
  <si>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</si>
  <si>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</si>
  <si>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</si>
  <si>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</si>
  <si>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</si>
  <si>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</si>
  <si>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</si>
  <si>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</si>
  <si>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</si>
  <si>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</si>
  <si>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</si>
  <si>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</si>
  <si>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</si>
  <si>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</si>
  <si>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</si>
  <si>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</si>
  <si>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</si>
  <si>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</si>
  <si>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</si>
  <si>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</si>
  <si>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</si>
  <si>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</si>
  <si>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</si>
  <si>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</si>
  <si>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</si>
  <si>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</si>
  <si>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</si>
  <si>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</si>
  <si>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</si>
  <si>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</si>
  <si>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</si>
  <si>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</si>
  <si>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</si>
  <si>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</si>
  <si>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</si>
  <si>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</si>
  <si>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</si>
  <si>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</si>
  <si>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</si>
  <si>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</si>
  <si>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</si>
  <si>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</si>
  <si>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</si>
  <si>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</si>
  <si>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</si>
  <si>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</si>
  <si>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</si>
  <si>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</si>
  <si>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</si>
  <si>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</si>
  <si>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</si>
  <si>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</si>
  <si>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</si>
  <si>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</si>
  <si>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</si>
  <si>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</si>
  <si>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</si>
  <si>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</si>
  <si>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</si>
  <si>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</si>
  <si>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</si>
  <si>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</si>
  <si>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</si>
  <si>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</si>
  <si>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</si>
  <si>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</si>
  <si>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</si>
  <si>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</si>
  <si>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</si>
  <si>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</si>
  <si>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</si>
  <si>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</si>
  <si>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</si>
  <si>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</si>
  <si>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</si>
  <si>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</si>
  <si>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</si>
  <si>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</si>
  <si>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</si>
  <si>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</si>
  <si>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</si>
  <si>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</si>
  <si>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</si>
  <si>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</si>
  <si>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</si>
  <si>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</si>
  <si>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</si>
  <si>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</si>
  <si>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</si>
  <si>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</si>
  <si>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</si>
  <si>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</si>
  <si>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</si>
  <si>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</si>
  <si>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</si>
  <si>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</si>
  <si>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</si>
  <si>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</si>
  <si>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</si>
  <si>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</si>
  <si>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</si>
  <si>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</si>
  <si>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</si>
  <si>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</si>
  <si>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</si>
  <si>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</si>
  <si>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</si>
  <si>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</si>
  <si>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</si>
  <si>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</si>
  <si>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</si>
  <si>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</si>
  <si>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</si>
  <si>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</si>
  <si>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</si>
  <si>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</si>
  <si>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</si>
  <si>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</si>
  <si>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</si>
  <si>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</si>
  <si>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</si>
  <si>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</si>
  <si>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</si>
  <si>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</si>
  <si>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</si>
  <si>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</si>
  <si>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</si>
  <si>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</si>
  <si>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</si>
  <si>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</si>
  <si>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</si>
  <si>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</si>
  <si>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</si>
  <si>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</si>
  <si>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</si>
  <si>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</si>
  <si>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</si>
  <si>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</si>
  <si>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</si>
  <si>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</si>
  <si>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</si>
  <si>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</si>
  <si>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</si>
  <si>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</si>
  <si>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</si>
  <si>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</si>
  <si>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</si>
  <si>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</si>
  <si>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</si>
  <si>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</si>
  <si>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</si>
  <si>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</si>
  <si>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</si>
  <si>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</si>
  <si>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</si>
  <si>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</si>
  <si>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</si>
  <si>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</si>
  <si>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</si>
  <si>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</si>
  <si>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</si>
  <si>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</si>
  <si>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</si>
  <si>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</si>
  <si>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</si>
  <si>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</si>
  <si>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</si>
  <si>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</si>
  <si>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</si>
  <si>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</si>
  <si>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</si>
  <si>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</si>
  <si>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</si>
  <si>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</si>
  <si>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</si>
  <si>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</si>
  <si>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</si>
  <si>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</si>
  <si>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</si>
  <si>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</si>
  <si>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</si>
  <si>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</si>
  <si>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</si>
  <si>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</si>
  <si>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</si>
  <si>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</si>
  <si>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</si>
  <si>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</si>
  <si>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</si>
  <si>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</si>
  <si>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</si>
  <si>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</si>
  <si>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</si>
  <si>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</si>
  <si>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</si>
  <si>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</si>
  <si>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</si>
  <si>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</si>
  <si>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</si>
  <si>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</si>
  <si>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</si>
  <si>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</si>
  <si>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</si>
  <si>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</si>
  <si>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</si>
  <si>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</si>
  <si>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</si>
  <si>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</si>
  <si>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</si>
  <si>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</si>
  <si>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</si>
  <si>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</si>
  <si>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</si>
  <si>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</si>
  <si>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</si>
  <si>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</si>
  <si>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</si>
  <si>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</si>
  <si>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</si>
  <si>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</si>
  <si>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</si>
  <si>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</si>
  <si>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</si>
  <si>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</si>
  <si>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</si>
  <si>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</si>
  <si>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</si>
  <si>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</si>
  <si>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</si>
  <si>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</si>
  <si>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</si>
  <si>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</si>
  <si>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</si>
  <si>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</si>
  <si>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</si>
  <si>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</si>
  <si>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</si>
  <si>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</si>
  <si>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</si>
  <si>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</si>
  <si>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</si>
  <si>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</si>
  <si>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</si>
  <si>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</si>
  <si>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</si>
  <si>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</si>
  <si>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</si>
  <si>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</si>
  <si>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</si>
  <si>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</si>
  <si>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</si>
  <si>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</si>
  <si>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</si>
  <si>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</si>
  <si>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</si>
  <si>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</si>
  <si>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</si>
  <si>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</si>
  <si>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</si>
  <si>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</si>
  <si>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</si>
  <si>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</si>
  <si>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</si>
  <si>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</si>
  <si>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</si>
  <si>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</si>
  <si>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</si>
  <si>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</si>
  <si>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</si>
  <si>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</si>
  <si>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</si>
  <si>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</si>
  <si>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</si>
  <si>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</si>
  <si>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</si>
  <si>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</si>
  <si>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</si>
  <si>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</si>
  <si>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</si>
  <si>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</si>
  <si>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</si>
  <si>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</si>
  <si>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</si>
  <si>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</si>
  <si>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</si>
  <si>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</si>
  <si>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</si>
  <si>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</si>
  <si>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</si>
  <si>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</si>
  <si>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</si>
  <si>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</si>
  <si>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</si>
  <si>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</si>
  <si>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</si>
  <si>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</si>
  <si>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</si>
  <si>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</si>
  <si>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</si>
  <si>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</si>
  <si>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</si>
  <si>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</si>
  <si>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</si>
  <si>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</si>
  <si>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</si>
  <si>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</si>
  <si>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</si>
  <si>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</si>
  <si>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</si>
  <si>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</si>
  <si>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</si>
  <si>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</si>
  <si>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</si>
  <si>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</si>
  <si>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</si>
  <si>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</si>
  <si>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</si>
  <si>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</si>
  <si>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</si>
  <si>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</si>
  <si>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</si>
  <si>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</si>
  <si>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</si>
  <si>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</si>
  <si>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</si>
  <si>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</si>
  <si>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</si>
  <si>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</si>
  <si>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</si>
  <si>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</si>
  <si>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</si>
  <si>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</si>
  <si>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</si>
  <si>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</si>
  <si>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</si>
  <si>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</si>
  <si>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</si>
  <si>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</si>
  <si>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</si>
  <si>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</si>
  <si>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</si>
  <si>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</si>
  <si>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</si>
  <si>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</si>
  <si>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</si>
  <si>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</si>
  <si>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</si>
  <si>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</si>
  <si>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</si>
  <si>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</si>
  <si>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</si>
  <si>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</si>
  <si>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</si>
  <si>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</si>
  <si>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</si>
  <si>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</si>
  <si>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</si>
  <si>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</si>
  <si>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</si>
  <si>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</si>
  <si>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</si>
  <si>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</si>
  <si>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</si>
  <si>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</si>
  <si>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</si>
  <si>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</si>
  <si>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</si>
  <si>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</si>
  <si>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</si>
  <si>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</si>
  <si>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</si>
  <si>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</si>
  <si>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</si>
  <si>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</si>
  <si>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</si>
  <si>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</si>
  <si>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</si>
  <si>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</si>
  <si>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</si>
  <si>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</si>
  <si>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</si>
  <si>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</si>
  <si>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</si>
  <si>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</si>
  <si>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</si>
  <si>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</si>
  <si>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</si>
  <si>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</si>
  <si>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</si>
  <si>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</si>
  <si>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</si>
  <si>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</si>
  <si>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</si>
  <si>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</si>
  <si>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</si>
  <si>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</si>
  <si>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</si>
  <si>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</si>
  <si>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</si>
  <si>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</si>
  <si>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</si>
  <si>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</si>
  <si>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</si>
  <si>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</si>
  <si>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</si>
  <si>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</si>
  <si>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</si>
  <si>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</si>
  <si>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</si>
  <si>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</si>
  <si>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</si>
  <si>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</si>
  <si>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</si>
  <si>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</si>
  <si>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</si>
  <si>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</si>
  <si>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</si>
  <si>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</si>
  <si>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</si>
  <si>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</si>
  <si>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</si>
  <si>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</si>
  <si>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</si>
  <si>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</si>
  <si>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</si>
  <si>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</si>
  <si>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</si>
  <si>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</si>
  <si>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</si>
  <si>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</si>
  <si>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</si>
  <si>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</si>
  <si>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</si>
  <si>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</si>
  <si>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</si>
  <si>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</si>
  <si>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</si>
  <si>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</si>
  <si>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</si>
  <si>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</si>
  <si>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</si>
  <si>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</si>
  <si>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</si>
  <si>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</si>
  <si>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</si>
  <si>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</si>
  <si>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</si>
  <si>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</si>
  <si>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</si>
  <si>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</si>
  <si>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</si>
  <si>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</si>
  <si>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</si>
  <si>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</si>
  <si>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</si>
  <si>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</si>
  <si>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</si>
  <si>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</si>
  <si>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</si>
  <si>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</si>
  <si>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</si>
  <si>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</si>
  <si>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</si>
  <si>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</si>
  <si>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</si>
  <si>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</si>
  <si>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</si>
  <si>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</si>
  <si>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</si>
  <si>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</si>
  <si>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</si>
  <si>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</si>
  <si>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</si>
  <si>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</si>
  <si>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</si>
  <si>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</si>
  <si>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</si>
  <si>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</si>
  <si>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</si>
  <si>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</si>
  <si>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</si>
  <si>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</si>
  <si>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</si>
  <si>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</si>
  <si>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</si>
  <si>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</si>
  <si>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</si>
  <si>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</si>
  <si>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</si>
  <si>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</si>
  <si>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</si>
  <si>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</si>
  <si>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</si>
  <si>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</si>
  <si>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</si>
  <si>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</si>
  <si>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</si>
  <si>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</si>
  <si>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</si>
  <si>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</si>
  <si>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</si>
  <si>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</si>
  <si>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</si>
  <si>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</si>
  <si>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</si>
  <si>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</si>
  <si>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</si>
  <si>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</si>
  <si>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</si>
  <si>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</si>
  <si>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</si>
  <si>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</si>
  <si>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</si>
  <si>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</si>
  <si>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</si>
  <si>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</si>
  <si>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</si>
  <si>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</si>
  <si>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</si>
  <si>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</si>
  <si>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</si>
  <si>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</si>
  <si>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</si>
  <si>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</si>
  <si>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</si>
  <si>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</si>
  <si>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</si>
  <si>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</si>
  <si>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</si>
  <si>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</si>
  <si>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</si>
  <si>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</si>
  <si>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</si>
  <si>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</si>
  <si>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</si>
  <si>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</si>
  <si>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</si>
  <si>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</si>
  <si>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</si>
  <si>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</si>
  <si>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</si>
  <si>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</si>
  <si>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</si>
  <si>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</si>
  <si>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</si>
  <si>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</si>
  <si>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</si>
  <si>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</si>
  <si>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</si>
  <si>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</si>
  <si>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</si>
  <si>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</si>
  <si>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</si>
  <si>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</si>
  <si>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</si>
  <si>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</si>
  <si>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</si>
  <si>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</si>
  <si>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</si>
  <si>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</si>
  <si>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</si>
  <si>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</si>
  <si>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</si>
  <si>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</si>
  <si>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</si>
  <si>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</si>
  <si>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</si>
  <si>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</si>
  <si>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</si>
  <si>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</si>
  <si>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</si>
  <si>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</si>
  <si>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</si>
  <si>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</si>
  <si>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</si>
  <si>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</si>
  <si>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</si>
  <si>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</si>
  <si>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</si>
  <si>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</si>
  <si>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</si>
  <si>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</si>
  <si>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</si>
  <si>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</si>
  <si>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</si>
  <si>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</si>
  <si>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</si>
  <si>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</si>
  <si>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</si>
  <si>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</si>
  <si>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</si>
  <si>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</si>
  <si>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</si>
  <si>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</si>
  <si>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</si>
  <si>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</si>
  <si>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</si>
  <si>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</si>
  <si>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</si>
  <si>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</si>
  <si>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</si>
  <si>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</si>
  <si>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</si>
  <si>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</si>
  <si>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</si>
  <si>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</si>
  <si>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</si>
  <si>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</si>
  <si>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</si>
  <si>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</si>
  <si>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</si>
  <si>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</si>
  <si>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</si>
  <si>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</si>
  <si>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</si>
  <si>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</si>
  <si>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</si>
  <si>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</si>
  <si>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</si>
  <si>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</si>
  <si>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</si>
  <si>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</si>
  <si>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</si>
  <si>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</si>
  <si>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</si>
  <si>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</si>
  <si>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</si>
  <si>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</si>
  <si>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</si>
  <si>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</si>
  <si>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</si>
  <si>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</si>
  <si>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</si>
  <si>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</si>
  <si>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</si>
  <si>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</si>
  <si>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</si>
  <si>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</si>
  <si>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</si>
  <si>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</si>
  <si>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</si>
  <si>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</si>
  <si>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</si>
  <si>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</si>
  <si>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</si>
  <si>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</si>
  <si>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</si>
  <si>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</si>
  <si>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</si>
  <si>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</si>
  <si>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</si>
  <si>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</si>
  <si>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</si>
  <si>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</si>
  <si>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</si>
  <si>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</si>
  <si>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</si>
  <si>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</si>
  <si>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</si>
  <si>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</si>
  <si>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</si>
  <si>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</si>
  <si>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</si>
  <si>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</si>
  <si>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</si>
  <si>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</si>
  <si>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</si>
  <si>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</si>
  <si>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</si>
  <si>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</si>
  <si>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</si>
  <si>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</si>
  <si>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</si>
  <si>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</si>
  <si>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</si>
  <si>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</si>
  <si>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</si>
  <si>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</si>
  <si>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</si>
  <si>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</si>
  <si>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</si>
  <si>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</si>
  <si>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</si>
  <si>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</si>
  <si>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</si>
  <si>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</si>
  <si>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</si>
  <si>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</si>
  <si>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</si>
  <si>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</si>
  <si>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</si>
  <si>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</si>
  <si>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</si>
  <si>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</si>
  <si>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</si>
  <si>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</si>
  <si>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</si>
  <si>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</si>
  <si>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</si>
  <si>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</si>
  <si>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</si>
  <si>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</si>
  <si>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</si>
  <si>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</si>
  <si>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</si>
  <si>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</si>
  <si>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</si>
  <si>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</si>
  <si>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</si>
  <si>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</si>
  <si>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</si>
  <si>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</si>
  <si>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</si>
  <si>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</si>
  <si>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</si>
  <si>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</si>
  <si>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</si>
  <si>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</si>
  <si>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</si>
  <si>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</si>
  <si>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</si>
  <si>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</si>
  <si>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</si>
  <si>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</si>
  <si>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</si>
  <si>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</si>
  <si>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</si>
  <si>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</si>
  <si>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</si>
  <si>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</si>
  <si>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</si>
  <si>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</si>
  <si>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</si>
  <si>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</si>
  <si>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</si>
  <si>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</si>
  <si>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</si>
  <si>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</si>
  <si>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</si>
  <si>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</si>
  <si>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</si>
  <si>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</si>
  <si>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</si>
  <si>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</si>
  <si>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</si>
  <si>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</si>
  <si>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</si>
  <si>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</si>
  <si>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</si>
  <si>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</si>
  <si>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</si>
  <si>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</si>
  <si>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</si>
  <si>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</si>
  <si>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</si>
  <si>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</si>
  <si>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</si>
  <si>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</si>
  <si>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</si>
  <si>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</si>
  <si>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</si>
  <si>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</si>
  <si>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</si>
  <si>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</si>
  <si>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</si>
  <si>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</si>
  <si>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</si>
  <si>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</si>
  <si>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</si>
  <si>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</si>
  <si>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</si>
  <si>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</si>
  <si>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</si>
  <si>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</si>
  <si>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</si>
  <si>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</si>
  <si>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</si>
  <si>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</si>
  <si>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</si>
  <si>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</si>
  <si>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</si>
  <si>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</si>
  <si>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</si>
  <si>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</si>
  <si>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</si>
  <si>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</si>
  <si>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</si>
  <si>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</si>
  <si>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</si>
  <si>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</si>
  <si>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</si>
  <si>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</si>
  <si>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</si>
  <si>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</si>
  <si>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</si>
  <si>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</si>
  <si>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</si>
  <si>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</si>
  <si>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</si>
  <si>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</si>
  <si>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</si>
  <si>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</si>
  <si>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</si>
  <si>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</si>
  <si>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</si>
  <si>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</si>
  <si>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</si>
  <si>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</si>
  <si>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</si>
  <si>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</si>
  <si>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</si>
  <si>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</si>
  <si>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</si>
  <si>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</si>
  <si>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</si>
  <si>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</si>
  <si>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</si>
  <si>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</si>
  <si>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</si>
  <si>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</si>
  <si>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</si>
  <si>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</si>
  <si>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</si>
  <si>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</si>
  <si>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</si>
  <si>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</si>
  <si>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</si>
  <si>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</si>
  <si>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</si>
  <si>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</si>
  <si>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</si>
  <si>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</si>
  <si>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</si>
  <si>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</si>
  <si>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</si>
  <si>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</si>
  <si>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</si>
  <si>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</si>
  <si>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</si>
  <si>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</si>
  <si>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</si>
  <si>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</si>
  <si>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</si>
  <si>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</si>
  <si>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</si>
  <si>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</si>
  <si>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</si>
  <si>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</si>
  <si>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</si>
  <si>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</si>
  <si>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</si>
  <si>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</si>
  <si>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</si>
  <si>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</si>
  <si>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</si>
  <si>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</si>
  <si>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</si>
  <si>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</si>
  <si>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</si>
  <si>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</si>
  <si>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</si>
  <si>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</si>
  <si>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</si>
  <si>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</si>
  <si>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</si>
  <si>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</si>
  <si>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</si>
  <si>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</si>
  <si>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</si>
  <si>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</si>
  <si>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</si>
  <si>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</si>
  <si>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</si>
  <si>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</si>
  <si>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</si>
  <si>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</si>
  <si>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</si>
  <si>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</si>
  <si>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</si>
  <si>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</si>
  <si>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</si>
  <si>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</si>
  <si>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</si>
  <si>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</si>
  <si>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</si>
  <si>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</si>
  <si>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</si>
  <si>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</si>
  <si>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</si>
  <si>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</si>
  <si>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</si>
  <si>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</si>
  <si>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</si>
  <si>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</si>
  <si>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</si>
  <si>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</si>
  <si>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</si>
  <si>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</si>
  <si>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</si>
  <si>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</si>
  <si>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</si>
  <si>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</si>
  <si>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</si>
  <si>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</si>
  <si>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</si>
  <si>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</si>
  <si>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</si>
  <si>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</si>
  <si>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</si>
  <si>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</si>
  <si>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</si>
  <si>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</si>
  <si>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</si>
  <si>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</si>
  <si>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</si>
  <si>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</si>
  <si>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</si>
  <si>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</si>
  <si>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</si>
  <si>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</si>
  <si>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</si>
  <si>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</si>
  <si>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</si>
  <si>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</si>
  <si>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</si>
  <si>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</si>
  <si>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</si>
  <si>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</si>
  <si>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</si>
  <si>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</si>
  <si>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</si>
  <si>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</si>
  <si>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</si>
  <si>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</si>
  <si>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</si>
  <si>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</si>
  <si>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</si>
  <si>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</si>
  <si>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</si>
  <si>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</si>
  <si>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</si>
  <si>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</si>
  <si>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</si>
  <si>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</si>
  <si>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</si>
  <si>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</si>
  <si>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</si>
  <si>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</si>
  <si>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</si>
  <si>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</si>
  <si>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</si>
  <si>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</si>
  <si>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</si>
  <si>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</si>
  <si>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</si>
  <si>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</si>
  <si>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</si>
  <si>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</si>
  <si>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</si>
  <si>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</si>
  <si>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</si>
  <si>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</si>
  <si>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</si>
  <si>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</si>
  <si>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</si>
  <si>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</si>
  <si>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</si>
  <si>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</si>
  <si>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</si>
  <si>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</si>
  <si>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</si>
  <si>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</si>
  <si>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</si>
  <si>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</si>
  <si>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</si>
  <si>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</si>
  <si>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</si>
  <si>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</si>
  <si>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</si>
  <si>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</si>
  <si>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</si>
  <si>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</si>
  <si>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</si>
  <si>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</si>
  <si>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</si>
  <si>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</si>
  <si>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</si>
  <si>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</si>
  <si>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</si>
  <si>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</si>
  <si>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</si>
  <si>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</si>
  <si>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</si>
  <si>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</si>
  <si>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</si>
  <si>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</si>
  <si>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</si>
  <si>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</si>
  <si>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</si>
  <si>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</si>
  <si>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</si>
  <si>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</si>
  <si>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</si>
  <si>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</si>
  <si>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</si>
  <si>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</si>
  <si>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</si>
  <si>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</si>
  <si>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</si>
  <si>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</si>
  <si>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</si>
  <si>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</si>
  <si>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</si>
  <si>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</si>
  <si>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</si>
  <si>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</si>
  <si>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</si>
  <si>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</si>
  <si>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</si>
  <si>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</si>
  <si>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</si>
  <si>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</si>
  <si>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</si>
  <si>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</si>
  <si>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</si>
  <si>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</si>
  <si>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</si>
  <si>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</si>
  <si>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</si>
  <si>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</si>
  <si>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</si>
  <si>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</si>
  <si>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</si>
  <si>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</si>
  <si>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</si>
  <si>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</si>
  <si>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</si>
  <si>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</si>
  <si>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</si>
  <si>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</si>
  <si>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</si>
  <si>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</si>
  <si>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</si>
  <si>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</si>
  <si>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</si>
  <si>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</si>
  <si>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</si>
  <si>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</si>
  <si>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</si>
  <si>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</si>
  <si>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</si>
  <si>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</si>
  <si>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</si>
  <si>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</si>
  <si>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</si>
  <si>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</si>
  <si>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</si>
  <si>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</si>
  <si>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</si>
  <si>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</si>
  <si>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</si>
  <si>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</si>
  <si>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</si>
  <si>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</si>
  <si>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</si>
  <si>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</si>
  <si>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</si>
  <si>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</si>
  <si>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</si>
  <si>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</si>
  <si>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</si>
  <si>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</si>
  <si>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</si>
  <si>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</si>
  <si>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</si>
  <si>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</si>
  <si>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</si>
  <si>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</si>
  <si>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</si>
  <si>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</si>
  <si>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</si>
  <si>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</si>
  <si>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</si>
  <si>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</si>
  <si>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</si>
  <si>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</si>
  <si>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</si>
  <si>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</si>
  <si>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</si>
  <si>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</si>
  <si>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</si>
  <si>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</si>
  <si>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 xml:space="preserve">G000001272 </t>
  </si>
  <si>
    <t>DFLTPGCOH_BF-C6_001022 Merck spol. s r.o., Slovakia</t>
  </si>
  <si>
    <t>CSCALA_1022$ITR</t>
  </si>
  <si>
    <t>FR7943141</t>
  </si>
  <si>
    <t>DFLTGCOH_BF-C8_001022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</si>
  <si>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</si>
  <si>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</si>
  <si>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</si>
  <si>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</si>
  <si>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</si>
  <si>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</si>
  <si>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</si>
  <si>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</si>
  <si>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</si>
  <si>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</si>
  <si>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</si>
  <si>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</si>
  <si>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</si>
  <si>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</si>
  <si>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</si>
  <si>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</si>
  <si>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</si>
  <si>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</si>
  <si>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</si>
  <si>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</si>
  <si>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</si>
  <si>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</si>
  <si>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</si>
  <si>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</si>
  <si>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</si>
  <si>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</si>
  <si>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</si>
  <si>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</si>
  <si>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</si>
  <si>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</si>
  <si>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</si>
  <si>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</si>
  <si>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</si>
  <si>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</si>
  <si>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</si>
  <si>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</si>
  <si>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</si>
  <si>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</si>
  <si>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</si>
  <si>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</si>
  <si>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</si>
  <si>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</si>
  <si>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</si>
  <si>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</si>
  <si>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</si>
  <si>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</si>
  <si>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</si>
  <si>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</si>
  <si>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</si>
  <si>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</si>
  <si>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</si>
  <si>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</si>
  <si>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</si>
  <si>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</si>
  <si>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</si>
  <si>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</si>
  <si>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</si>
  <si>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</si>
  <si>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</si>
  <si>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</si>
  <si>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</si>
  <si>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</si>
  <si>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</si>
  <si>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</si>
  <si>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</si>
  <si>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</si>
  <si>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</si>
  <si>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</si>
  <si>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</si>
  <si>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</si>
  <si>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</si>
  <si>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</si>
  <si>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</si>
  <si>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</si>
  <si>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</si>
  <si>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</si>
  <si>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</si>
  <si>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H000002265 Cardiovascular</t>
  </si>
  <si>
    <t>H000002264 Diabetes</t>
  </si>
  <si>
    <t>H000002266 Thyroids</t>
  </si>
  <si>
    <t>H000002267 Endocrinology</t>
  </si>
  <si>
    <t>Estela Belda Menendez</t>
  </si>
  <si>
    <t xml:space="preserve">CNOW_7210$$$0000498035 </t>
  </si>
  <si>
    <t>DFLTPGCOH_BF-C8_002108</t>
  </si>
  <si>
    <t>H000000948 Global Strategic Insights - GSI</t>
  </si>
  <si>
    <t>Unmapped</t>
  </si>
  <si>
    <t>FR7967809</t>
  </si>
  <si>
    <t>PLEAN_X310201VN5011200 FD COM Advertising</t>
  </si>
  <si>
    <t>LEAN_X310201VN5011000</t>
  </si>
  <si>
    <t>FR7968675</t>
  </si>
  <si>
    <t>CFLTFLE_1044BPOE BP - Others  ISS</t>
  </si>
  <si>
    <t>DFLTPGCOH_DIV-31_001044</t>
  </si>
  <si>
    <t>FR7968701</t>
  </si>
  <si>
    <t>PLEAN_X310301DE6215305 1401_LK_B4_DIA_PROMO OTH</t>
  </si>
  <si>
    <t>FR7968788</t>
  </si>
  <si>
    <t>H000000417</t>
  </si>
  <si>
    <t>H000001318</t>
  </si>
  <si>
    <t>H000001115 - General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</si>
</sst>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73.791359953706" createdVersion="7" refreshedVersion="7" minRefreshableVersion="3" recordCount="4616" xr:uid="{11839AE3-6158-4318-87AD-2C711D0BF451}">
  <cacheSource type="worksheet">
    <worksheetSource name="Proc"/>
  </cacheSource>
  <cacheFields count="19">
    <cacheField name="App" numFmtId="0">
      <sharedItems containsBlank="1" count="159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8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3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3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0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9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0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0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9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9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9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9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9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8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8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8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6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6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6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6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6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6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6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6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6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6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6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6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6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6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6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6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6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6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6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6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6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6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6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6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6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6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6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6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6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6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6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6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6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6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6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6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6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6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6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6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6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5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5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5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5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5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5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5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5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4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4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4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4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4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4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4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4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4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3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3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3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3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3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3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3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3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3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3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3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3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3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3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3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3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3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3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3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3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3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3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3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1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1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0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13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1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8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6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0"/>
    <n v="5"/>
    <s v="Rayneil Reas"/>
    <m/>
  </r>
  <r>
    <x v="415"/>
    <x v="1"/>
    <x v="5"/>
    <s v="CSCALA_1022$SQR "/>
    <s v="G000001272 "/>
    <s v="DFLTPGCOH_BF-C6_001022 Merck spol. s r.o., Slovakia"/>
    <s v="Non-LFF"/>
    <s v=""/>
    <m/>
    <b v="0"/>
    <x v="0"/>
    <x v="0"/>
    <d v="2025-11-07T00:00:00"/>
    <m/>
    <m/>
    <x v="0"/>
    <n v="3"/>
    <s v="Jojeff Tagnong"/>
    <m/>
  </r>
  <r>
    <x v="416"/>
    <x v="1"/>
    <x v="5"/>
    <s v="CSCALA_1022$ITR"/>
    <s v="G000001238"/>
    <s v="DFLTGCOH_BF-C8_001022"/>
    <s v="Non-LFF"/>
    <s v=""/>
    <m/>
    <b v="0"/>
    <x v="0"/>
    <x v="0"/>
    <d v="2025-11-07T00:00:00"/>
    <m/>
    <m/>
    <x v="0"/>
    <n v="3"/>
    <s v="Jay-R Lizardo"/>
    <m/>
  </r>
  <r>
    <x v="417"/>
    <x v="1"/>
    <x v="5"/>
    <s v="CTEMPEU_1000GB10005256 SRO Costs"/>
    <s v="H000000947"/>
    <m/>
    <s v="Non-LFF"/>
    <s v=""/>
    <m/>
    <b v="0"/>
    <x v="1"/>
    <x v="0"/>
    <d v="2025-11-07T00:00:00"/>
    <m/>
    <m/>
    <x v="0"/>
    <n v="3"/>
    <s v="Henry Ifurung Jr.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00">
        <item m="1" x="984"/>
        <item x="0"/>
        <item m="1" x="1054"/>
        <item m="1" x="1475"/>
        <item m="1" x="637"/>
        <item m="1" x="1492"/>
        <item m="1" x="1014"/>
        <item m="1" x="1104"/>
        <item m="1" x="1525"/>
        <item m="1" x="1319"/>
        <item m="1" x="1007"/>
        <item m="1" x="1591"/>
        <item m="1" x="1337"/>
        <item m="1" x="1581"/>
        <item m="1" x="955"/>
        <item m="1" x="856"/>
        <item m="1" x="560"/>
        <item m="1" x="821"/>
        <item m="1" x="1545"/>
        <item m="1" x="613"/>
        <item m="1" x="921"/>
        <item m="1" x="1289"/>
        <item m="1" x="1004"/>
        <item m="1" x="1097"/>
        <item m="1" x="1393"/>
        <item m="1" x="1578"/>
        <item m="1" x="1039"/>
        <item m="1" x="1061"/>
        <item m="1" x="826"/>
        <item m="1" x="1227"/>
        <item m="1" x="986"/>
        <item m="1" x="1532"/>
        <item m="1" x="1189"/>
        <item m="1" x="622"/>
        <item m="1" x="730"/>
        <item m="1" x="1517"/>
        <item m="1" x="1281"/>
        <item m="1" x="535"/>
        <item m="1" x="1367"/>
        <item m="1" x="1033"/>
        <item m="1" x="1328"/>
        <item m="1" x="914"/>
        <item m="1" x="1266"/>
        <item m="1" x="525"/>
        <item m="1" x="555"/>
        <item m="1" x="1594"/>
        <item m="1" x="1273"/>
        <item m="1" x="1341"/>
        <item m="1" x="1448"/>
        <item m="1" x="1217"/>
        <item m="1" x="1315"/>
        <item m="1" x="1154"/>
        <item m="1" x="609"/>
        <item m="1" x="800"/>
        <item m="1" x="1576"/>
        <item m="1" x="1144"/>
        <item m="1" x="1284"/>
        <item m="1" x="812"/>
        <item m="1" x="773"/>
        <item m="1" x="1065"/>
        <item m="1" x="957"/>
        <item m="1" x="990"/>
        <item m="1" x="549"/>
        <item m="1" x="688"/>
        <item m="1" x="1350"/>
        <item m="1" x="1567"/>
        <item m="1" x="753"/>
        <item m="1" x="1158"/>
        <item m="1" x="1168"/>
        <item m="1" x="1345"/>
        <item m="1" x="1455"/>
        <item m="1" x="1333"/>
        <item m="1" x="628"/>
        <item m="1" x="1476"/>
        <item m="1" x="1206"/>
        <item m="1" x="1193"/>
        <item m="1" x="728"/>
        <item m="1" x="1081"/>
        <item m="1" x="1428"/>
        <item m="1" x="546"/>
        <item m="1" x="1125"/>
        <item m="1" x="1478"/>
        <item m="1" x="1316"/>
        <item m="1" x="1051"/>
        <item m="1" x="1093"/>
        <item m="1" x="974"/>
        <item m="1" x="1209"/>
        <item m="1" x="1021"/>
        <item m="1" x="1253"/>
        <item m="1" x="737"/>
        <item m="1" x="1566"/>
        <item m="1" x="1091"/>
        <item m="1" x="1377"/>
        <item m="1" x="454"/>
        <item m="1" x="1582"/>
        <item m="1" x="1118"/>
        <item m="1" x="1407"/>
        <item m="1" x="1320"/>
        <item m="1" x="1098"/>
        <item m="1" x="608"/>
        <item m="1" x="615"/>
        <item m="1" x="655"/>
        <item m="1" x="837"/>
        <item m="1" x="1261"/>
        <item m="1" x="1022"/>
        <item m="1" x="1138"/>
        <item m="1" x="1201"/>
        <item m="1" x="1348"/>
        <item m="1" x="1431"/>
        <item m="1" x="993"/>
        <item m="1" x="714"/>
        <item m="1" x="557"/>
        <item m="1" x="700"/>
        <item m="1" x="1575"/>
        <item m="1" x="732"/>
        <item m="1" x="1413"/>
        <item m="1" x="1342"/>
        <item m="1" x="960"/>
        <item m="1" x="1032"/>
        <item m="1" x="898"/>
        <item m="1" x="1155"/>
        <item m="1" x="1530"/>
        <item m="1" x="706"/>
        <item m="1" x="654"/>
        <item m="1" x="589"/>
        <item m="1" x="1255"/>
        <item m="1" x="1515"/>
        <item m="1" x="1443"/>
        <item m="1" x="1100"/>
        <item m="1" x="624"/>
        <item m="1" x="1349"/>
        <item m="1" x="801"/>
        <item m="1" x="1055"/>
        <item m="1" x="1230"/>
        <item m="1" x="1338"/>
        <item m="1" x="458"/>
        <item m="1" x="1287"/>
        <item m="1" x="1250"/>
        <item m="1" x="691"/>
        <item m="1" x="1139"/>
        <item m="1" x="1027"/>
        <item m="1" x="980"/>
        <item m="1" x="713"/>
        <item m="1" x="649"/>
        <item m="1" x="889"/>
        <item m="1" x="1076"/>
        <item m="1" x="483"/>
        <item m="1" x="822"/>
        <item m="1" x="681"/>
        <item m="1" x="423"/>
        <item m="1" x="933"/>
        <item m="1" x="1134"/>
        <item m="1" x="1016"/>
        <item m="1" x="1062"/>
        <item m="1" x="1381"/>
        <item m="1" x="963"/>
        <item m="1" x="1489"/>
        <item m="1" x="1213"/>
        <item m="1" x="1152"/>
        <item m="1" x="666"/>
        <item m="1" x="1299"/>
        <item m="1" x="1577"/>
        <item m="1" x="1265"/>
        <item m="1" x="1249"/>
        <item m="1" x="536"/>
        <item m="1" x="584"/>
        <item m="1" x="1119"/>
        <item m="1" x="625"/>
        <item m="1" x="1562"/>
        <item m="1" x="1228"/>
        <item m="1" x="1153"/>
        <item m="1" x="1105"/>
        <item m="1" x="906"/>
        <item m="1" x="534"/>
        <item m="1" x="634"/>
        <item m="1" x="740"/>
        <item m="1" x="1473"/>
        <item m="1" x="1505"/>
        <item m="1" x="1204"/>
        <item m="1" x="931"/>
        <item m="1" x="1019"/>
        <item m="1" x="529"/>
        <item m="1" x="569"/>
        <item m="1" x="908"/>
        <item m="1" x="1133"/>
        <item m="1" x="1046"/>
        <item m="1" x="704"/>
        <item m="1" x="937"/>
        <item m="1" x="651"/>
        <item m="1" x="846"/>
        <item m="1" x="768"/>
        <item m="1" x="603"/>
        <item m="1" x="739"/>
        <item m="1" x="1109"/>
        <item m="1" x="519"/>
        <item m="1" x="758"/>
        <item m="1" x="550"/>
        <item m="1" x="1243"/>
        <item m="1" x="1432"/>
        <item m="1" x="1042"/>
        <item m="1" x="686"/>
        <item m="1" x="1336"/>
        <item m="1" x="1181"/>
        <item m="1" x="698"/>
        <item m="1" x="699"/>
        <item m="1" x="884"/>
        <item m="1" x="574"/>
        <item m="1" x="763"/>
        <item m="1" x="558"/>
        <item m="1" x="744"/>
        <item m="1" x="1312"/>
        <item m="1" x="823"/>
        <item m="1" x="1190"/>
        <item m="1" x="1240"/>
        <item m="1" x="1374"/>
        <item m="1" x="1378"/>
        <item m="1" x="1095"/>
        <item m="1" x="936"/>
        <item m="1" x="975"/>
        <item m="1" x="1542"/>
        <item m="1" x="835"/>
        <item m="1" x="647"/>
        <item m="1" x="1025"/>
        <item m="1" x="482"/>
        <item m="1" x="1546"/>
        <item m="1" x="1009"/>
        <item m="1" x="443"/>
        <item m="1" x="1464"/>
        <item m="1" x="1507"/>
        <item m="1" x="1344"/>
        <item m="1" x="721"/>
        <item m="1" x="460"/>
        <item m="1" x="1394"/>
        <item m="1" x="785"/>
        <item m="1" x="421"/>
        <item m="1" x="1565"/>
        <item m="1" x="809"/>
        <item m="1" x="964"/>
        <item m="1" x="1409"/>
        <item m="1" x="496"/>
        <item m="1" x="1321"/>
        <item m="1" x="1129"/>
        <item m="1" x="994"/>
        <item m="1" x="864"/>
        <item m="1" x="611"/>
        <item m="1" x="1112"/>
        <item m="1" x="814"/>
        <item m="1" x="1352"/>
        <item m="1" x="674"/>
        <item m="1" x="1422"/>
        <item m="1" x="1429"/>
        <item m="1" x="1113"/>
        <item m="1" x="1303"/>
        <item m="1" x="720"/>
        <item m="1" x="1017"/>
        <item m="1" x="1306"/>
        <item m="1" x="890"/>
        <item m="1" x="1180"/>
        <item m="1" x="819"/>
        <item m="1" x="604"/>
        <item m="1" x="808"/>
        <item m="1" x="1574"/>
        <item m="1" x="1516"/>
        <item m="1" x="661"/>
        <item m="1" x="1462"/>
        <item m="1" x="468"/>
        <item m="1" x="1484"/>
        <item m="1" x="503"/>
        <item m="1" x="805"/>
        <item m="1" x="903"/>
        <item m="1" x="850"/>
        <item m="1" x="1457"/>
        <item m="1" x="1360"/>
        <item m="1" x="601"/>
        <item m="1" x="1171"/>
        <item m="1" x="1379"/>
        <item m="1" x="1513"/>
        <item m="1" x="1420"/>
        <item m="1" x="506"/>
        <item m="1" x="1586"/>
        <item m="1" x="657"/>
        <item m="1" x="938"/>
        <item m="1" x="1382"/>
        <item m="1" x="505"/>
        <item m="1" x="1441"/>
        <item m="1" x="670"/>
        <item m="1" x="1314"/>
        <item m="1" x="1178"/>
        <item m="1" x="1156"/>
        <item m="1" x="735"/>
        <item m="1" x="697"/>
        <item m="1" x="1509"/>
        <item m="1" x="450"/>
        <item m="1" x="632"/>
        <item m="1" x="1291"/>
        <item m="1" x="1402"/>
        <item m="1" x="1329"/>
        <item m="1" x="1533"/>
        <item m="1" x="1037"/>
        <item m="1" x="664"/>
        <item m="1" x="784"/>
        <item m="1" x="1103"/>
        <item m="1" x="845"/>
        <item m="1" x="1173"/>
        <item m="1" x="786"/>
        <item m="1" x="588"/>
        <item m="1" x="1241"/>
        <item m="1" x="643"/>
        <item m="1" x="523"/>
        <item m="1" x="1375"/>
        <item m="1" x="1522"/>
        <item m="1" x="1223"/>
        <item m="1" x="488"/>
        <item m="1" x="1414"/>
        <item m="1" x="1212"/>
        <item m="1" x="1322"/>
        <item m="1" x="1461"/>
        <item m="1" x="689"/>
        <item m="1" x="881"/>
        <item m="1" x="719"/>
        <item m="1" x="987"/>
        <item m="1" x="911"/>
        <item m="1" x="941"/>
        <item m="1" x="1477"/>
        <item m="1" x="923"/>
        <item m="1" x="1126"/>
        <item m="1" x="658"/>
        <item m="1" x="857"/>
        <item m="1" x="831"/>
        <item m="1" x="1174"/>
        <item m="1" x="1077"/>
        <item m="1" x="1305"/>
        <item m="1" x="827"/>
        <item m="1" x="1463"/>
        <item m="1" x="665"/>
        <item m="1" x="591"/>
        <item m="1" x="847"/>
        <item m="1" x="1388"/>
        <item m="1" x="498"/>
        <item m="1" x="499"/>
        <item m="1" x="795"/>
        <item m="1" x="1468"/>
        <item m="1" x="862"/>
        <item m="1" x="507"/>
        <item m="1" x="667"/>
        <item m="1" x="909"/>
        <item m="1" x="1220"/>
        <item m="1" x="1192"/>
        <item m="1" x="863"/>
        <item m="1" x="444"/>
        <item m="1" x="582"/>
        <item m="1" x="794"/>
        <item m="1" x="682"/>
        <item m="1" x="439"/>
        <item m="1" x="1392"/>
        <item m="1" x="1521"/>
        <item m="1" x="991"/>
        <item m="1" x="1421"/>
        <item m="1" x="1481"/>
        <item m="1" x="504"/>
        <item m="1" x="1519"/>
        <item m="1" x="1257"/>
        <item m="1" x="680"/>
        <item m="1" x="866"/>
        <item m="1" x="770"/>
        <item m="1" x="1132"/>
        <item m="1" x="703"/>
        <item m="1" x="919"/>
        <item m="1" x="1214"/>
        <item m="1" x="1339"/>
        <item m="1" x="842"/>
        <item m="1" x="970"/>
        <item m="1" x="782"/>
        <item m="1" x="708"/>
        <item m="1" x="1219"/>
        <item m="1" x="1334"/>
        <item m="1" x="1496"/>
        <item m="1" x="538"/>
        <item m="1" x="742"/>
        <item m="1" x="1182"/>
        <item m="1" x="583"/>
        <item m="1" x="870"/>
        <item m="1" x="1251"/>
        <item m="1" x="516"/>
        <item m="1" x="726"/>
        <item m="1" x="836"/>
        <item m="1" x="1442"/>
        <item m="1" x="675"/>
        <item m="1" x="945"/>
        <item m="1" x="1498"/>
        <item m="1" x="626"/>
        <item m="1" x="815"/>
        <item m="1" x="1003"/>
        <item m="1" x="1340"/>
        <item m="1" x="638"/>
        <item m="1" x="894"/>
        <item m="1" x="736"/>
        <item m="1" x="1232"/>
        <item m="1" x="1418"/>
        <item m="1" x="544"/>
        <item m="1" x="764"/>
        <item m="1" x="1500"/>
        <item m="1" x="1465"/>
        <item m="1" x="565"/>
        <item m="1" x="882"/>
        <item m="1" x="1406"/>
        <item m="1" x="1537"/>
        <item m="1" x="1408"/>
        <item m="1" x="1383"/>
        <item m="1" x="514"/>
        <item m="1" x="690"/>
        <item m="1" x="772"/>
        <item m="1" x="761"/>
        <item m="1" x="988"/>
        <item m="1" x="476"/>
        <item m="1" x="1175"/>
        <item m="1" x="1246"/>
        <item m="1" x="428"/>
        <item m="1" x="1506"/>
        <item m="1" x="1368"/>
        <item m="1" x="1497"/>
        <item m="1" x="1527"/>
        <item m="1" x="1563"/>
        <item m="1" x="1501"/>
        <item m="1" x="865"/>
        <item m="1" x="1225"/>
        <item m="1" x="832"/>
        <item m="1" x="1238"/>
        <item m="1" x="1203"/>
        <item m="1" x="641"/>
        <item m="1" x="679"/>
        <item m="1" x="817"/>
        <item m="1" x="1282"/>
        <item m="1" x="802"/>
        <item m="1" x="548"/>
        <item m="1" x="1547"/>
        <item m="1" x="1297"/>
        <item m="1" x="1130"/>
        <item m="1" x="1162"/>
        <item m="1" x="1211"/>
        <item m="1" x="636"/>
        <item m="1" x="978"/>
        <item m="1" x="1323"/>
        <item m="1" x="474"/>
        <item m="1" x="717"/>
        <item m="1" x="617"/>
        <item m="1" x="614"/>
        <item m="1" x="618"/>
        <item m="1" x="419"/>
        <item m="1" x="640"/>
        <item m="1" x="1437"/>
        <item m="1" x="441"/>
        <item m="1" x="1087"/>
        <item m="1" x="1524"/>
        <item m="1" x="1335"/>
        <item m="1" x="595"/>
        <item m="1" x="1595"/>
        <item m="1" x="524"/>
        <item m="1" x="891"/>
        <item m="1" x="1114"/>
        <item m="1" x="570"/>
        <item m="1" x="1023"/>
        <item m="1" x="1183"/>
        <item m="1" x="1451"/>
        <item m="1" x="1353"/>
        <item m="1" x="432"/>
        <item m="1" x="1115"/>
        <item m="1" x="515"/>
        <item m="1" x="751"/>
        <item m="1" x="723"/>
        <item m="1" x="485"/>
        <item m="1" x="1078"/>
        <item m="1" x="1085"/>
        <item m="1" x="1185"/>
        <item m="1" x="934"/>
        <item m="1" x="1434"/>
        <item m="1" x="843"/>
        <item m="1" x="1553"/>
        <item m="1" x="1188"/>
        <item m="1" x="1079"/>
        <item m="1" x="743"/>
        <item m="1" x="1151"/>
        <item m="1" x="1449"/>
        <item m="1" x="1514"/>
        <item m="1" x="1493"/>
        <item m="1" x="1423"/>
        <item m="1" x="1172"/>
        <item m="1" x="1285"/>
        <item m="1" x="798"/>
        <item m="1" x="1247"/>
        <item m="1" x="1072"/>
        <item m="1" x="1031"/>
        <item m="1" x="1029"/>
        <item m="1" x="1030"/>
        <item m="1" x="727"/>
        <item m="1" x="771"/>
        <item m="1" x="1384"/>
        <item m="1" x="949"/>
        <item m="1" x="791"/>
        <item m="1" x="833"/>
        <item m="1" x="879"/>
        <item m="1" x="1131"/>
        <item m="1" x="1469"/>
        <item m="1" x="1558"/>
        <item m="1" x="676"/>
        <item m="1" x="627"/>
        <item m="1" x="464"/>
        <item m="1" x="486"/>
        <item m="1" x="783"/>
        <item m="1" x="571"/>
        <item m="1" x="899"/>
        <item m="1" x="1435"/>
        <item m="1" x="776"/>
        <item m="1" x="568"/>
        <item m="1" x="1327"/>
        <item m="1" x="445"/>
        <item m="1" x="1453"/>
        <item m="1" x="1528"/>
        <item m="1" x="1592"/>
        <item m="1" x="1467"/>
        <item m="1" x="710"/>
        <item m="1" x="487"/>
        <item m="1" x="951"/>
        <item m="1" x="1035"/>
        <item m="1" x="1231"/>
        <item m="1" x="1199"/>
        <item m="1" x="1235"/>
        <item m="1" x="1012"/>
        <item m="1" x="1050"/>
        <item m="1" x="1491"/>
        <item m="1" x="1254"/>
        <item m="1" x="1224"/>
        <item m="1" x="1163"/>
        <item m="1" x="1236"/>
        <item m="1" x="437"/>
        <item m="1" x="442"/>
        <item m="1" x="1045"/>
        <item m="1" x="1430"/>
        <item m="1" x="1000"/>
        <item m="1" x="1570"/>
        <item m="1" x="969"/>
        <item m="1" x="1145"/>
        <item m="1" x="1216"/>
        <item m="1" x="830"/>
        <item m="1" x="662"/>
        <item m="1" x="1038"/>
        <item m="1" x="724"/>
        <item m="1" x="1579"/>
        <item m="1" x="1494"/>
        <item m="1" x="1307"/>
        <item m="1" x="564"/>
        <item m="1" x="491"/>
        <item m="1" x="1064"/>
        <item m="1" x="1308"/>
        <item m="1" x="1597"/>
        <item m="1" x="943"/>
        <item m="1" x="1544"/>
        <item m="1" x="478"/>
        <item m="1" x="592"/>
        <item m="1" x="904"/>
        <item m="1" x="995"/>
        <item m="1" x="1424"/>
        <item m="1" x="748"/>
        <item m="1" x="1427"/>
        <item m="1" x="844"/>
        <item m="1" x="1416"/>
        <item m="1" x="1580"/>
        <item m="1" x="508"/>
        <item m="1" x="1564"/>
        <item m="1" x="455"/>
        <item m="1" x="1317"/>
        <item m="1" x="935"/>
        <item m="1" x="766"/>
        <item m="1" x="729"/>
        <item m="1" x="873"/>
        <item m="1" x="472"/>
        <item m="1" x="1557"/>
        <item m="1" x="556"/>
        <item m="1" x="577"/>
        <item m="1" x="1450"/>
        <item m="1" x="1529"/>
        <item m="1" x="1043"/>
        <item m="1" x="1184"/>
        <item m="1" x="885"/>
        <item m="1" x="998"/>
        <item m="1" x="1147"/>
        <item m="1" x="1264"/>
        <item m="1" x="851"/>
        <item m="1" x="1127"/>
        <item m="1" x="946"/>
        <item m="1" x="1583"/>
        <item m="1" x="436"/>
        <item m="1" x="875"/>
        <item m="1" x="816"/>
        <item m="1" x="777"/>
        <item m="1" x="1571"/>
        <item m="1" x="1389"/>
        <item m="1" x="1520"/>
        <item m="1" x="533"/>
        <item m="1" x="1531"/>
        <item m="1" x="1518"/>
        <item m="1" x="1395"/>
        <item m="1" x="630"/>
        <item m="1" x="999"/>
        <item m="1" x="1092"/>
        <item m="1" x="838"/>
        <item m="1" x="1436"/>
        <item m="1" x="1222"/>
        <item m="1" x="1242"/>
        <item m="1" x="1136"/>
        <item m="1" x="479"/>
        <item m="1" x="1309"/>
        <item m="1" x="1471"/>
        <item m="1" x="876"/>
        <item m="1" x="1590"/>
        <item m="1" x="1084"/>
        <item m="1" x="671"/>
        <item m="1" x="804"/>
        <item m="1" x="840"/>
        <item m="1" x="1499"/>
        <item m="1" x="1483"/>
        <item m="1" x="543"/>
        <item m="1" x="545"/>
        <item m="1" x="459"/>
        <item m="1" x="1419"/>
        <item m="1" x="461"/>
        <item m="1" x="878"/>
        <item m="1" x="778"/>
        <item m="1" x="1234"/>
        <item m="1" x="1177"/>
        <item m="1" x="1526"/>
        <item m="1" x="1458"/>
        <item m="1" x="950"/>
        <item m="1" x="1164"/>
        <item m="1" x="1399"/>
        <item m="1" x="512"/>
        <item m="1" x="944"/>
        <item m="1" x="874"/>
        <item m="1" x="1568"/>
        <item m="1" x="1535"/>
        <item m="1" x="966"/>
        <item m="1" x="572"/>
        <item m="1" x="867"/>
        <item m="1" x="1040"/>
        <item m="1" x="494"/>
        <item m="1" x="1330"/>
        <item m="1" x="924"/>
        <item m="1" x="734"/>
        <item m="1" x="828"/>
        <item m="1" x="1274"/>
        <item m="1" x="1573"/>
        <item m="1" x="652"/>
        <item m="1" x="1425"/>
        <item m="1" x="646"/>
        <item m="1" x="1210"/>
        <item m="1" x="982"/>
        <item m="1" x="913"/>
        <item m="1" x="635"/>
        <item m="1" x="702"/>
        <item m="1" x="490"/>
        <item m="1" x="1290"/>
        <item m="1" x="803"/>
        <item m="1" x="527"/>
        <item m="1" x="1141"/>
        <item m="1" x="1456"/>
        <item m="1" x="996"/>
        <item m="1" x="954"/>
        <item m="1" x="425"/>
        <item m="1" x="1561"/>
        <item m="1" x="811"/>
        <item m="1" x="871"/>
        <item m="1" x="1278"/>
        <item m="1" x="1555"/>
        <item m="1" x="1480"/>
        <item m="1" x="1331"/>
        <item m="1" x="1446"/>
        <item m="1" x="607"/>
        <item m="1" x="806"/>
        <item m="1" x="639"/>
        <item m="1" x="431"/>
        <item m="1" x="1044"/>
        <item m="1" x="493"/>
        <item m="1" x="715"/>
        <item m="1" x="659"/>
        <item m="1" x="605"/>
        <item m="1" x="1560"/>
        <item m="1" x="656"/>
        <item m="1" x="1258"/>
        <item m="1" x="1470"/>
        <item m="1" x="596"/>
        <item m="1" x="500"/>
        <item m="1" x="1293"/>
        <item m="1" x="1269"/>
        <item m="1" x="1310"/>
        <item m="1" x="1229"/>
        <item m="1" x="573"/>
        <item m="1" x="929"/>
        <item m="1" x="1197"/>
        <item m="1" x="1447"/>
        <item m="1" x="1041"/>
        <item m="1" x="1159"/>
        <item m="1" x="1503"/>
        <item m="1" x="915"/>
        <item m="1" x="759"/>
        <item m="1" x="992"/>
        <item m="1" x="939"/>
        <item m="1" x="869"/>
        <item m="1" x="1386"/>
        <item m="1" x="1073"/>
        <item m="1" x="1169"/>
        <item m="1" x="420"/>
        <item m="1" x="965"/>
        <item m="1" x="567"/>
        <item m="1" x="834"/>
        <item m="1" x="972"/>
        <item m="1" x="502"/>
        <item m="1" x="619"/>
        <item m="1" x="1074"/>
        <item m="1" x="1271"/>
        <item m="1" x="1541"/>
        <item m="1" x="1584"/>
        <item m="1" x="1194"/>
        <item m="1" x="542"/>
        <item m="1" x="470"/>
        <item m="1" x="1056"/>
        <item m="1" x="678"/>
        <item m="1" x="952"/>
        <item m="1" x="580"/>
        <item m="1" x="683"/>
        <item m="1" x="1110"/>
        <item m="1" x="1466"/>
        <item m="1" x="1397"/>
        <item m="1" x="813"/>
        <item m="1" x="848"/>
        <item m="1" x="1124"/>
        <item m="1" x="1554"/>
        <item m="1" x="1280"/>
        <item m="1" x="446"/>
        <item m="1" x="1508"/>
        <item m="1" x="554"/>
        <item m="1" x="1200"/>
        <item m="1" x="1245"/>
        <item m="1" x="1248"/>
        <item m="1" x="1588"/>
        <item m="1" x="481"/>
        <item m="1" x="1259"/>
        <item m="1" x="1356"/>
        <item m="1" x="1128"/>
        <item m="1" x="1298"/>
        <item m="1" x="540"/>
        <item m="1" x="932"/>
        <item m="1" x="779"/>
        <item m="1" x="1391"/>
        <item m="1" x="1486"/>
        <item m="1" x="1015"/>
        <item m="1" x="1454"/>
        <item m="1" x="1502"/>
        <item m="1" x="855"/>
        <item m="1" x="1358"/>
        <item m="1" x="1221"/>
        <item m="1" x="1504"/>
        <item m="1" x="1548"/>
        <item m="1" x="1286"/>
        <item m="1" x="896"/>
        <item m="1" x="701"/>
        <item m="1" x="1536"/>
        <item m="1" x="1083"/>
        <item m="1" x="1057"/>
        <item m="1" x="1066"/>
        <item m="1" x="1587"/>
        <item m="1" x="1311"/>
        <item m="1" x="1006"/>
        <item m="1" x="1275"/>
        <item m="1" x="1252"/>
        <item m="1" x="868"/>
        <item m="1" x="769"/>
        <item m="1" x="1268"/>
        <item m="1" x="663"/>
        <item m="1" x="620"/>
        <item m="1" x="562"/>
        <item m="1" x="1549"/>
        <item m="1" x="1165"/>
        <item m="1" x="900"/>
        <item m="1" x="981"/>
        <item m="1" x="462"/>
        <item m="1" x="1538"/>
        <item m="1" x="1089"/>
        <item m="1" x="1237"/>
        <item m="1" x="685"/>
        <item m="1" x="1369"/>
        <item m="1" x="872"/>
        <item m="1" x="765"/>
        <item m="1" x="1593"/>
        <item m="1" x="895"/>
        <item m="1" x="1534"/>
        <item m="1" x="1120"/>
        <item m="1" x="796"/>
        <item m="1" x="587"/>
        <item m="1" x="530"/>
        <item m="1" x="824"/>
        <item m="1" x="521"/>
        <item m="1" x="492"/>
        <item m="1" x="509"/>
        <item m="1" x="788"/>
        <item m="1" x="633"/>
        <item m="1" x="940"/>
        <item m="1" x="997"/>
        <item m="1" x="1096"/>
        <item m="1" x="967"/>
        <item m="1" x="1300"/>
        <item m="1" x="1364"/>
        <item m="1" x="576"/>
        <item m="1" x="586"/>
        <item m="1" x="775"/>
        <item m="1" x="917"/>
        <item m="1" x="707"/>
        <item m="1" x="1260"/>
        <item m="1" x="1010"/>
        <item m="1" x="927"/>
        <item m="1" x="1060"/>
        <item m="1" x="1366"/>
        <item m="1" x="1304"/>
        <item m="1" x="1390"/>
        <item m="1" x="1146"/>
        <item m="1" x="566"/>
        <item m="1" x="1572"/>
        <item m="1" x="985"/>
        <item m="1" x="600"/>
        <item m="1" x="424"/>
        <item m="1" x="1569"/>
        <item m="1" x="1053"/>
        <item m="1" x="1020"/>
        <item m="1" x="792"/>
        <item m="1" x="672"/>
        <item m="1" x="756"/>
        <item m="1" x="910"/>
        <item m="1" x="1485"/>
        <item m="1" x="1404"/>
        <item m="1" x="780"/>
        <item m="1" x="853"/>
        <item m="1" x="860"/>
        <item m="1" x="1398"/>
        <item m="1" x="1001"/>
        <item m="1" x="473"/>
        <item m="1" x="1034"/>
        <item m="1" x="1313"/>
        <item m="1" x="1439"/>
        <item m="1" x="1332"/>
        <item m="1" x="1140"/>
        <item m="1" x="1438"/>
        <item m="1" x="452"/>
        <item m="1" x="1355"/>
        <item m="1" x="434"/>
        <item m="1" x="774"/>
        <item m="1" x="438"/>
        <item m="1" x="597"/>
        <item m="1" x="687"/>
        <item m="1" x="693"/>
        <item m="1" x="1111"/>
        <item m="1" x="1365"/>
        <item m="1" x="892"/>
        <item m="1" x="463"/>
        <item m="1" x="669"/>
        <item m="1" x="457"/>
        <item m="1" x="1452"/>
        <item m="1" x="677"/>
        <item m="1" x="1013"/>
        <item m="1" x="1472"/>
        <item m="1" x="799"/>
        <item m="1" x="741"/>
        <item m="1" x="1137"/>
        <item m="1" x="694"/>
        <item m="1" x="1002"/>
        <item m="1" x="1296"/>
        <item m="1" x="435"/>
        <item m="1" x="948"/>
        <item m="1" x="1067"/>
        <item m="1" x="559"/>
        <item m="1" x="901"/>
        <item m="1" x="1036"/>
        <item m="1" x="787"/>
        <item m="1" x="825"/>
        <item m="1" x="552"/>
        <item m="1" x="958"/>
        <item m="1" x="422"/>
        <item m="1" x="1094"/>
        <item m="1" x="1487"/>
        <item m="1" x="1208"/>
        <item m="1" x="1202"/>
        <item m="1" x="1101"/>
        <item m="1" x="427"/>
        <item m="1" x="1233"/>
        <item m="1" x="1276"/>
        <item m="1" x="1082"/>
        <item m="1" x="426"/>
        <item m="1" x="1433"/>
        <item m="1" x="1400"/>
        <item m="1" x="430"/>
        <item m="1" x="709"/>
        <item m="1" x="1099"/>
        <item m="1" x="1354"/>
        <item m="1" x="551"/>
        <item m="1" x="447"/>
        <item m="1" x="606"/>
        <item m="1" x="497"/>
        <item m="1" x="905"/>
        <item m="1" x="718"/>
        <item m="1" x="716"/>
        <item m="1" x="887"/>
        <item m="1" x="989"/>
        <item m="1" x="893"/>
        <item m="1" x="1090"/>
        <item m="1" x="942"/>
        <item m="1" x="807"/>
        <item m="1" x="922"/>
        <item m="1" x="1415"/>
        <item m="1" x="1510"/>
        <item m="1" x="767"/>
        <item m="1" x="1490"/>
        <item m="1" x="532"/>
        <item m="1" x="1479"/>
        <item m="1" x="1176"/>
        <item m="1" x="1347"/>
        <item m="1" x="1426"/>
        <item m="1" x="1106"/>
        <item m="1" x="1318"/>
        <item m="1" x="610"/>
        <item m="1" x="593"/>
        <item m="1" x="1215"/>
        <item m="1" x="1187"/>
        <item m="1" x="749"/>
        <item m="1" x="1585"/>
        <item m="1" x="1157"/>
        <item m="1" x="897"/>
        <item m="1" x="971"/>
        <item m="1" x="930"/>
        <item m="1" x="1440"/>
        <item m="1" x="1444"/>
        <item m="1" x="440"/>
        <item m="1" x="1324"/>
        <item m="1" x="1370"/>
        <item m="1" x="489"/>
        <item m="1" x="861"/>
        <item m="1" x="852"/>
        <item m="1" x="1359"/>
        <item m="1" x="1058"/>
        <item m="1" x="1262"/>
        <item m="1" x="928"/>
        <item m="1" x="1279"/>
        <item m="1" x="467"/>
        <item m="1" x="590"/>
        <item m="1" x="1559"/>
        <item m="1" x="1179"/>
        <item m="1" x="1551"/>
        <item m="1" x="471"/>
        <item m="1" x="731"/>
        <item m="1" x="547"/>
        <item m="1" x="480"/>
        <item m="1" x="495"/>
        <item m="1" x="1047"/>
        <item m="1" x="1080"/>
        <item m="1" x="752"/>
        <item m="1" x="1170"/>
        <item m="1" x="1488"/>
        <item m="1" x="839"/>
        <item m="1" x="918"/>
        <item m="1" x="1068"/>
        <item m="1" x="1556"/>
        <item m="1" x="733"/>
        <item m="1" x="745"/>
        <item m="1" x="755"/>
        <item m="1" x="1376"/>
        <item m="1" x="1512"/>
        <item m="1" x="429"/>
        <item m="1" x="1256"/>
        <item m="1" x="1552"/>
        <item m="1" x="653"/>
        <item m="1" x="968"/>
        <item m="1" x="1589"/>
        <item m="1" x="1495"/>
        <item m="1" x="642"/>
        <item m="1" x="754"/>
        <item m="1" x="841"/>
        <item m="1" x="1166"/>
        <item m="1" x="1363"/>
        <item m="1" x="598"/>
        <item m="1" x="1069"/>
        <item m="1" x="594"/>
        <item m="1" x="563"/>
        <item m="1" x="511"/>
        <item m="1" x="1482"/>
        <item m="1" x="1075"/>
        <item m="1" x="1523"/>
        <item m="1" x="916"/>
        <item m="1" x="1540"/>
        <item m="1" x="1292"/>
        <item m="1" x="581"/>
        <item m="1" x="1396"/>
        <item m="1" x="1410"/>
        <item m="1" x="1070"/>
        <item m="1" x="1445"/>
        <item m="1" x="1283"/>
        <item m="1" x="1148"/>
        <item m="1" x="465"/>
        <item m="1" x="1294"/>
        <item m="1" x="1026"/>
        <item m="1" x="959"/>
        <item m="1" x="1302"/>
        <item m="1" x="886"/>
        <item m="1" x="520"/>
        <item m="1" x="692"/>
        <item m="1" x="469"/>
        <item m="1" x="818"/>
        <item m="1" x="1196"/>
        <item m="1" x="781"/>
        <item m="1" x="644"/>
        <item m="1" x="859"/>
        <item m="1" x="537"/>
        <item m="1" x="789"/>
        <item m="1" x="660"/>
        <item m="1" x="1011"/>
        <item m="1" x="1598"/>
        <item m="1" x="1052"/>
        <item m="1" x="648"/>
        <item m="1" x="925"/>
        <item m="1" x="631"/>
        <item m="1" x="684"/>
        <item m="1" x="976"/>
        <item m="1" x="1244"/>
        <item m="1" x="961"/>
        <item m="1" x="1411"/>
        <item m="1" x="973"/>
        <item m="1" x="1207"/>
        <item m="1" x="522"/>
        <item m="1" x="1005"/>
        <item m="1" x="645"/>
        <item m="1" x="575"/>
        <item m="1" x="1301"/>
        <item m="1" x="616"/>
        <item m="1" x="1325"/>
        <item m="1" x="517"/>
        <item m="1" x="1142"/>
        <item m="1" x="1149"/>
        <item m="1" x="553"/>
        <item m="1" x="1071"/>
        <item m="1" x="449"/>
        <item m="1" x="1272"/>
        <item m="1" x="977"/>
        <item m="1" x="1198"/>
        <item m="1" x="1167"/>
        <item m="1" x="1387"/>
        <item m="1" x="1160"/>
        <item m="1" x="738"/>
        <item m="1" x="1239"/>
        <item m="1" x="1373"/>
        <item m="1" x="1063"/>
        <item m="1" x="1195"/>
        <item m="1" x="528"/>
        <item m="1" x="1361"/>
        <item m="1" x="1018"/>
        <item m="1" x="883"/>
        <item m="1" x="1267"/>
        <item m="1" x="793"/>
        <item m="1" x="1116"/>
        <item m="1" x="650"/>
        <item m="1" x="746"/>
        <item m="1" x="1143"/>
        <item m="1" x="912"/>
        <item m="1" x="456"/>
        <item m="1" x="790"/>
        <item m="1" x="1270"/>
        <item m="1" x="1372"/>
        <item m="1" x="475"/>
        <item m="1" x="760"/>
        <item m="1" x="695"/>
        <item m="1" x="1028"/>
        <item m="1" x="1121"/>
        <item m="1" x="561"/>
        <item m="1" x="1543"/>
        <item m="1" x="526"/>
        <item m="1" x="599"/>
        <item m="1" x="1380"/>
        <item m="1" x="888"/>
        <item m="1" x="902"/>
        <item m="1" x="956"/>
        <item m="1" x="531"/>
        <item m="1" x="810"/>
        <item m="1" x="1205"/>
        <item m="1" x="1117"/>
        <item m="1" x="907"/>
        <item m="1" x="854"/>
        <item m="1" x="484"/>
        <item m="1" x="722"/>
        <item m="1" x="1186"/>
        <item m="1" x="820"/>
        <item m="1" x="983"/>
        <item m="1" x="920"/>
        <item m="1" x="1102"/>
        <item m="1" x="466"/>
        <item m="1" x="947"/>
        <item m="1" x="621"/>
        <item m="1" x="1024"/>
        <item m="1" x="1150"/>
        <item m="1" x="1226"/>
        <item m="1" x="1161"/>
        <item m="1" x="1122"/>
        <item m="1" x="1048"/>
        <item m="1" x="1459"/>
        <item m="1" x="1351"/>
        <item m="1" x="602"/>
        <item m="1" x="1343"/>
        <item m="1" x="797"/>
        <item m="1" x="1107"/>
        <item m="1" x="513"/>
        <item m="1" x="1086"/>
        <item m="1" x="953"/>
        <item m="1" x="1385"/>
        <item m="1" x="539"/>
        <item m="1" x="1596"/>
        <item m="1" x="578"/>
        <item m="1" x="518"/>
        <item m="1" x="1088"/>
        <item m="1" x="1288"/>
        <item m="1" x="1191"/>
        <item m="1" x="477"/>
        <item m="1" x="629"/>
        <item m="1" x="1417"/>
        <item m="1" x="1357"/>
        <item m="1" x="612"/>
        <item m="1" x="585"/>
        <item m="1" x="880"/>
        <item m="1" x="501"/>
        <item m="1" x="1108"/>
        <item m="1" x="541"/>
        <item m="1" x="711"/>
        <item m="1" x="1008"/>
        <item m="1" x="1539"/>
        <item m="1" x="579"/>
        <item m="1" x="849"/>
        <item m="1" x="696"/>
        <item m="1" x="858"/>
        <item m="1" x="1412"/>
        <item m="1" x="1295"/>
        <item m="1" x="757"/>
        <item m="1" x="510"/>
        <item m="1" x="1460"/>
        <item m="1" x="623"/>
        <item m="1" x="1405"/>
        <item m="1" x="962"/>
        <item m="1" x="1346"/>
        <item m="1" x="705"/>
        <item m="1" x="877"/>
        <item m="1" x="1362"/>
        <item m="1" x="1550"/>
        <item m="1" x="1326"/>
        <item m="1" x="725"/>
        <item m="1" x="668"/>
        <item m="1" x="1371"/>
        <item m="1" x="1135"/>
        <item m="1" x="979"/>
        <item m="1" x="1403"/>
        <item m="1" x="451"/>
        <item m="1" x="448"/>
        <item m="1" x="1123"/>
        <item m="1" x="1263"/>
        <item m="1" x="1218"/>
        <item m="1" x="1401"/>
        <item m="1" x="926"/>
        <item m="1" x="673"/>
        <item m="1" x="747"/>
        <item m="1" x="1277"/>
        <item m="1" x="829"/>
        <item m="1" x="1059"/>
        <item m="1" x="1474"/>
        <item m="1" x="712"/>
        <item m="1" x="1049"/>
        <item m="1" x="433"/>
        <item m="1" x="76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m="1" x="750"/>
        <item m="1" x="1511"/>
        <item m="1" x="453"/>
        <item m="1" x="41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591"/>
    </i>
    <i r="2">
      <x v="8"/>
    </i>
    <i r="1">
      <x v="1592"/>
    </i>
    <i r="2">
      <x v="8"/>
    </i>
    <i r="1">
      <x v="1593"/>
    </i>
    <i r="2">
      <x v="8"/>
    </i>
    <i r="1">
      <x v="1594"/>
    </i>
    <i r="2">
      <x v="8"/>
    </i>
    <i>
      <x v="1"/>
    </i>
    <i r="1">
      <x v="1580"/>
    </i>
    <i r="2">
      <x v="13"/>
    </i>
    <i r="1">
      <x v="159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6">
  <autoFilter ref="A1:C1338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687" totalsRowShown="0">
  <autoFilter ref="A1:S4687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191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105</v>
      </c>
    </row>
    <row r="17" spans="1:2">
      <c r="A17" s="111" t="s">
        <v>369</v>
      </c>
      <c r="B17" s="150">
        <v>100</v>
      </c>
    </row>
    <row r="18" spans="1:2">
      <c r="A18" s="111" t="s">
        <v>370</v>
      </c>
      <c r="B18" s="150">
        <v>2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86</v>
      </c>
    </row>
    <row r="22" spans="1:2">
      <c r="A22" s="111" t="s">
        <v>369</v>
      </c>
      <c r="B22" s="150">
        <v>80</v>
      </c>
    </row>
    <row r="23" spans="1:2">
      <c r="A23" s="111" t="s">
        <v>377</v>
      </c>
      <c r="B23" s="150">
        <v>6</v>
      </c>
    </row>
    <row r="24" spans="1:2">
      <c r="A24" s="17" t="s">
        <v>381</v>
      </c>
      <c r="B24" s="150">
        <v>513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3" sqref="D13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4</v>
      </c>
      <c r="C5"/>
      <c r="D5"/>
      <c r="E5"/>
    </row>
    <row r="6" spans="1:6">
      <c r="A6" s="111" t="s">
        <v>6777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6781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6786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6788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4326</v>
      </c>
      <c r="B14" s="150">
        <v>6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692</v>
      </c>
      <c r="B16" s="150">
        <v>2</v>
      </c>
      <c r="C16"/>
      <c r="D16"/>
    </row>
    <row r="17" spans="1:5">
      <c r="A17" s="111" t="s">
        <v>6748</v>
      </c>
      <c r="B17" s="150">
        <v>4</v>
      </c>
      <c r="C17"/>
      <c r="D17" s="124"/>
      <c r="E17" s="124"/>
    </row>
    <row r="18" spans="1:5">
      <c r="A18" s="112" t="s">
        <v>369</v>
      </c>
      <c r="B18" s="150">
        <v>3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7" t="s">
        <v>381</v>
      </c>
      <c r="B20" s="150">
        <v>10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23" workbookViewId="0">
      <selection activeCell="B1344" sqref="B1344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687"/>
  <sheetViews>
    <sheetView tabSelected="1" topLeftCell="A4665" zoomScale="105" zoomScaleNormal="105" workbookViewId="0">
      <selection activeCell="D4683" sqref="D4683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236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211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211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211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211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211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211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211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211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211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211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211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207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204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204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204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204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204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204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204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204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204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204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204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204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204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204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204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204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204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204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204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204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204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204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204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204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204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204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204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204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204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204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204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204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204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204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204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204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204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204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204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204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204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203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203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203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203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203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203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203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203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203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203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203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203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203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203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203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203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203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203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203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203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203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203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203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203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203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203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203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203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203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203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203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203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203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203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203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203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203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203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203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203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203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203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203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203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203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203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203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203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203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203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203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203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203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203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203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203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203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203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203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202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202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202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202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202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201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201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199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199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198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195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195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195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195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195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195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195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195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195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195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195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195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195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195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195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195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195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195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195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195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195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194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194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194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194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194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189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189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189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184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184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184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184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184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184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184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184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184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184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184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184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184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184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184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184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184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184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180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180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180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175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174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174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174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174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174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174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174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174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174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174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174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174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160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160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159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159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159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149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134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134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134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134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134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134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134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134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134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134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134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134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134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134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134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134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134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134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134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134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131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131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131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131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130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130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130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130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130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130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130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130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130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130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130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130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130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130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130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130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130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130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130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130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130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130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130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130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130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130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130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130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130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130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129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129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129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129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129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129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129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129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129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129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129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129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129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129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129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129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129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129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125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125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125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125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125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125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125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125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125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125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125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125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125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125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125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125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125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125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125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125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125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125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125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125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125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125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125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125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125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125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125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125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125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125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125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125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125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125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125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125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125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125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125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125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125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125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125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125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125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125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125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125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125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125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125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125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125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125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125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125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125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125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125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125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125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125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125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125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125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125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125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125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125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125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125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125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125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125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125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125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125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125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125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125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125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125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125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125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125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125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125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125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119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119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114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114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109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109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109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109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109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109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109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109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109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109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109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109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109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109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109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109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109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109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109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109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109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109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109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109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109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109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109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109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109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109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109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109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109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109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109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109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109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109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109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109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109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109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109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109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109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109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109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109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109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109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109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109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109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109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109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109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109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109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109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109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109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109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109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109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109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109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109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109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109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109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109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109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109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109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109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109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109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109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109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109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109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109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109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109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109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109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109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109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109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109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109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109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109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109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109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109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109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109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109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109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109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109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109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109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109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106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106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106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106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107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104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104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99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99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99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99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99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99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99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99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99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99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99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97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97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97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97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97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97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97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97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97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97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97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97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97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97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97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97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97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97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97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97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97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97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97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97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97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97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97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97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97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97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97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97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97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97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97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97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97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97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97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97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97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97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97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97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97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97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97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97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97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97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97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97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97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97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97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97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97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97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97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97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97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97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97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97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97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97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97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97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97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97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97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97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97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97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97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97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97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97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97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97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97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97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97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97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97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97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97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97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97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97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97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97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97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97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97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97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97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97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97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97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97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97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97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97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97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97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97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97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97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97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97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97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97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97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97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97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97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97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97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97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97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97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97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97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97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97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97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97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97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97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97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97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97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97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97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97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97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97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97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97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97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97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97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97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97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97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97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97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97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97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97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97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97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97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97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97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97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97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97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97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97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97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97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97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97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97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97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97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97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97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97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97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97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97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97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97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97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97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97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97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97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97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97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97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97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97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97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97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97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97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97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97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97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97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97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97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97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97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97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97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97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97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97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97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97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97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97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97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97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97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97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97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97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97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97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97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97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97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97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97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97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97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97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97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97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97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97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97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97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97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97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97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97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97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97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97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97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97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97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97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97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97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97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97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97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97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97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97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97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97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97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97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97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97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97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97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97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97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97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97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97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97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97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97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97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97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97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97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97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97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97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97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97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97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97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97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97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97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97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97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97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97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97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97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97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97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97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97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97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97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97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97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97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97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97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97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97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97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97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97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97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97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97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97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97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97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97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97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97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97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97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97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97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97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97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97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97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97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97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97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97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97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97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97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97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97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97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97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97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97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97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97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97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97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97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95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95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95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95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95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95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95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95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95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95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94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94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94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93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93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93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93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93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93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92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92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90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89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89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89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88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88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88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86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86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86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86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86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86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86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83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83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83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83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83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83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83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83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83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83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83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83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83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83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83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83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83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83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83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83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83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83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83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83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83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83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83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83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83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82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82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80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80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80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80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80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80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80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80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80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80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78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78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78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78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78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78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78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78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77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77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77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77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77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77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77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77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77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77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77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77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77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77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77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77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77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75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75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75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75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75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75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75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75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75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75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75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75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75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75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75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75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75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75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75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75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75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75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75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75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75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75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75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75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75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75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75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75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75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75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75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75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75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75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75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75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75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75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75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75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75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75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75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75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75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75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75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75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75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75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75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75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75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75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75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75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75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75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75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75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75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75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75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75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75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75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75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75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75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75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75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75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75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75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75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75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75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75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75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75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75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75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75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75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75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75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75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75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75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75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75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75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75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75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75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75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75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75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75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75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75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75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75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75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75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75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75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75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75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75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75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75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75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75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75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75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75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75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75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75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75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75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75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75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75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75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75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75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75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75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75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75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75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75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75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75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75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75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75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75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75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75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75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75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75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75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75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75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75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75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75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75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75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75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75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75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75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75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75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75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75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75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75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75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75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75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75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75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75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75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75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75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75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75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75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75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75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75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75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75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75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75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75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75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75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75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75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75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75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75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75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75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75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75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75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75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75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75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75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75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75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75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75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75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75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75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75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75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75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75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75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75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75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75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75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75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75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75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75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75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75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75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75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75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75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75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75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75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75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75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75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75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75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75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75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75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75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75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75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75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75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75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75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75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75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75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75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75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75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75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75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75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75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75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75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75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75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75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75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75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75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75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75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75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75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75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75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75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75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75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75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75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75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75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75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75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75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75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75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75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75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75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75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75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75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75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75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75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75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75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75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74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74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74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74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74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74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74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74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74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74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74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74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74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74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74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74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74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74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74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74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74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74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74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74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74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74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74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74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74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74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74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74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74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74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74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74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74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74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74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74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74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74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74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74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74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74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74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74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74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74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74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74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74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74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74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74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74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74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74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74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74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74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74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74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74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74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74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74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74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74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74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74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74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74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74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74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74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74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74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74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74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74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74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74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74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74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74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74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74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74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74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74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74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74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74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74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74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74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74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74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74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74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74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74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74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74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74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74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74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74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74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74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74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74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74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74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74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74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74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74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74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74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74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74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74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74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74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74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74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74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74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74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74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74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74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74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74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74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74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74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74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74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74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74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74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74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74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74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74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74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74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74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74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74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74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74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74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74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74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74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74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74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74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74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74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74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74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74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74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74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74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74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74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74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74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74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74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74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74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74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74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74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74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74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74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74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74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74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74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74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74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74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74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74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74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74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74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74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74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74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74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74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71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71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71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71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71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71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71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71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71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71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71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71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71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71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71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71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71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71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71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71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71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71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71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71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71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71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71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71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71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71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71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71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71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71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71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71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71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71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71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71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71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71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71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70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70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69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69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69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69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69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69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69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68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68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68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67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67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67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67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67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67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67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67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67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67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67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67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67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67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67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67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67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67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67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67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67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67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67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67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67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67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67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67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67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67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67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67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67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67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67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67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67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67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67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67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67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67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67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67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67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67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67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67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67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67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67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67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67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67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67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67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67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67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67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67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67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67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67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67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67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67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67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67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67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67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67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67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67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67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67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67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67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67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67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67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67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67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67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67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67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67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67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67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67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67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67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67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67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67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66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66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66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66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66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66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66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66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66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66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66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66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66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66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66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66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66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66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66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65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65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65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65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65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65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65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65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65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65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65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65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65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65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65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65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65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65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64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64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64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64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64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64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64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64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64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64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64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64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61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61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61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61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61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61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61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61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61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61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61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61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61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61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61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61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61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61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61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61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61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61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61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61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61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61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61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61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61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60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60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60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60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60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60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60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60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60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60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60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60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60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60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60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60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60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60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60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60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60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60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60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60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60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60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60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60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60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60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60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60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60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60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60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59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59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59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59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59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59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59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59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59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59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59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59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59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59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59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59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59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59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59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59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59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59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59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59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59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59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59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59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59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59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59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59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59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59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59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59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59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59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59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59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59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59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59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59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59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59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59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59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59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59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59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59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59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59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59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59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59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59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59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59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59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59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59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59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59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59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59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59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59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59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59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59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59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59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59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59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59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59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59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59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59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59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59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59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59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59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59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59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59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59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59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59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59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59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59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59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59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59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59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59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59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59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59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59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59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59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59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59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59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59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59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59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59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59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59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59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59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59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59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59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59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59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59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59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59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59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59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59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59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59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59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59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59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59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59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59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59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59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59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59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59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59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59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59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59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59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59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59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59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59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59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59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59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59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59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59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59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59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59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59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59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59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59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59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59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59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59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59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59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59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59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59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59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59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59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59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59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59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59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59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59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59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59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59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59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59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59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59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59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59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59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59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59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59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59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59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59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59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59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59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59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59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59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59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59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59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59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59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59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59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59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59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59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59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59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59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59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59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59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59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59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59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59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59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59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59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59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59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59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59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59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59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59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59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59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59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57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57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57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57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57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57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57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57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57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57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57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57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57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57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57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57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56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56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56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56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56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56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56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56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56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56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56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56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56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56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56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56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56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56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56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56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56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56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56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56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56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56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56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56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56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56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56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56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56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56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56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56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56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56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56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55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55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55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55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55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55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55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55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55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55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55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55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55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55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55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55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55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55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54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54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54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54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54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54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54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54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54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54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54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54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54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54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54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54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54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54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54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54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54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54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54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54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54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54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54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54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54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54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54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54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54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54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54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54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54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54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54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54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54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54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54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54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54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54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54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54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54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54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54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54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54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54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54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54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54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54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54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54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54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54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54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54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54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54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54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54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54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54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54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54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54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54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54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54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54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54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54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54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54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54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54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54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54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54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54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54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54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54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54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54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54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54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54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54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54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54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54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54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54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54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54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54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54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54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54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54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54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54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54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54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54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54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54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50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50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50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50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50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50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50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50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50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50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50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50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49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49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49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49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49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49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49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49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49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49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49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49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49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49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49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49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49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49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49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49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49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49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49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49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49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49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49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49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49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49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49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46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46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46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46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46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46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46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46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46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45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44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44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44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44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44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44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43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43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43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43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43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43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43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43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43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43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43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43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43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43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43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43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43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43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43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43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42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42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42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42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42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42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42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42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42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42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42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42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41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41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41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41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41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41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41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41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41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41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41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41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38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38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38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38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38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38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38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38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38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38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38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38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38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38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38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38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38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38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38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38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38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38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38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38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38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38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38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38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38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38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38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38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38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38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38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38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38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38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38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38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38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38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38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38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38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38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38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38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38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38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37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37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37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37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37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37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37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37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37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37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37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37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37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37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37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37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34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33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33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33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33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33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33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31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31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31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31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31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31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31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31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31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31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31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31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31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31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31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31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31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31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31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31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31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31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31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31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31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31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31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31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31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31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31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31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31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31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31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31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31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31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31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31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31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31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31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31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31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31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31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29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29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29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29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29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29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29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29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29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29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29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29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29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29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29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29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29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29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29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29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29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29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29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29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29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29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29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29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27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27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27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27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22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22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22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22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22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21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21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21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21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21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21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21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21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21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21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21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21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18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18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18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18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18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18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18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18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18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18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18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18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18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18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18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18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18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18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18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18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18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18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18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18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18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18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18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18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18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17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16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15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15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15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15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15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15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15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15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15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15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15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15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15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15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15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15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15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15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15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15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15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15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15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15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15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15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15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14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14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14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14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14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14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14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14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14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14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14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14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14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14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14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14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14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14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14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14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14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14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14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14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14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14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14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14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14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14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14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14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14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14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14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14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14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14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14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13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16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16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11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11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11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11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11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11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11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11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11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11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11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11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11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11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11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11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11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11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11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11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11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11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11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11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11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11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11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11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11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11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11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11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11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11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11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11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11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11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11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11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11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11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11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11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11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11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11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11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11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11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11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11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11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11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11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11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11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11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11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11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11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11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11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11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11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11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11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11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11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11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11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11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11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11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11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11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11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11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11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11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11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11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11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11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11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11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11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11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11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11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11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11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11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9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9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9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9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9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9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9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9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9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9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9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9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9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9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9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9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9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9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9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9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9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9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9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9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9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9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9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9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9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open</v>
      </c>
      <c r="C4614" t="s">
        <v>370</v>
      </c>
      <c r="D4614" t="s">
        <v>6778</v>
      </c>
      <c r="E4614" t="s">
        <v>6779</v>
      </c>
      <c r="F4614" s="150"/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0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8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open</v>
      </c>
      <c r="C4615" t="s">
        <v>370</v>
      </c>
      <c r="D4615" t="s">
        <v>6782</v>
      </c>
      <c r="E4615" t="s">
        <v>6783</v>
      </c>
      <c r="F4615" s="150" t="s">
        <v>6784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0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6</v>
      </c>
      <c r="R4615" s="168" t="s">
        <v>515</v>
      </c>
      <c r="S4615" s="150"/>
    </row>
    <row r="4616" spans="1:19">
      <c r="A4616" t="s">
        <v>6786</v>
      </c>
      <c r="B4616" s="150" t="str">
        <f>IFERROR(VLOOKUP(Proc[[#This Row],[App]],Table2[],3,0),"open")</f>
        <v>open</v>
      </c>
      <c r="C4616" s="149" t="s">
        <v>370</v>
      </c>
      <c r="D4616" t="s">
        <v>6785</v>
      </c>
      <c r="E4616" t="s">
        <v>759</v>
      </c>
      <c r="F4616" s="150" t="s">
        <v>6787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6</v>
      </c>
      <c r="R4616" s="168" t="s">
        <v>1459</v>
      </c>
      <c r="S4616" s="150"/>
    </row>
    <row r="4617" spans="1:19">
      <c r="A4617" t="s">
        <v>6788</v>
      </c>
      <c r="B4617" s="150" t="str">
        <f>IFERROR(VLOOKUP(Proc[[#This Row],[App]],Table2[],3,0),"open")</f>
        <v>open</v>
      </c>
      <c r="C4617" s="149" t="s">
        <v>370</v>
      </c>
      <c r="D4617" t="s">
        <v>6789</v>
      </c>
      <c r="E4617" t="s">
        <v>6790</v>
      </c>
      <c r="F4617" s="150"/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0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6</v>
      </c>
      <c r="R4617" s="168" t="s">
        <v>410</v>
      </c>
      <c r="S4617" s="150"/>
    </row>
    <row r="4618" spans="1:19">
      <c r="A4618" t="s">
        <v>6791</v>
      </c>
      <c r="B4618" s="150" t="str">
        <f>IFERROR(VLOOKUP(Proc[[#This Row],[App]],Table2[],3,0),"open")</f>
        <v>open</v>
      </c>
      <c r="C4618" t="s">
        <v>404</v>
      </c>
      <c r="D4618" t="s">
        <v>6792</v>
      </c>
      <c r="E4618" t="s">
        <v>6830</v>
      </c>
      <c r="F4618" s="150"/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0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on track</v>
      </c>
      <c r="Q4618" s="3">
        <f ca="1">IF(Proc[[#This Row],[DateClosed]]="",ABS(NETWORKDAYS(Proc[[#This Row],[DateOpened]],TODAY()))-1,ABS(NETWORKDAYS(Proc[[#This Row],[DateOpened]],Proc[[#This Row],[DateClosed]]))-1)</f>
        <v>3</v>
      </c>
      <c r="R4618" s="168" t="s">
        <v>5709</v>
      </c>
      <c r="S4618" s="150"/>
    </row>
    <row r="4619" spans="1:19">
      <c r="A4619" s="149" t="s">
        <v>6791</v>
      </c>
      <c r="B4619" s="150" t="str">
        <f>IFERROR(VLOOKUP(Proc[[#This Row],[App]],Table2[],3,0),"open")</f>
        <v>open</v>
      </c>
      <c r="C4619" s="149" t="s">
        <v>404</v>
      </c>
      <c r="D4619" t="s">
        <v>6793</v>
      </c>
      <c r="E4619" t="s">
        <v>6830</v>
      </c>
      <c r="F4619" s="150"/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0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on track</v>
      </c>
      <c r="Q4619" s="3">
        <f ca="1">IF(Proc[[#This Row],[DateClosed]]="",ABS(NETWORKDAYS(Proc[[#This Row],[DateOpened]],TODAY()))-1,ABS(NETWORKDAYS(Proc[[#This Row],[DateOpened]],Proc[[#This Row],[DateClosed]]))-1)</f>
        <v>3</v>
      </c>
      <c r="R4619" s="168" t="s">
        <v>5709</v>
      </c>
      <c r="S4619" s="150"/>
    </row>
    <row r="4620" spans="1:19">
      <c r="A4620" s="149" t="s">
        <v>6791</v>
      </c>
      <c r="B4620" s="150" t="str">
        <f>IFERROR(VLOOKUP(Proc[[#This Row],[App]],Table2[],3,0),"open")</f>
        <v>open</v>
      </c>
      <c r="C4620" s="149" t="s">
        <v>404</v>
      </c>
      <c r="D4620" t="s">
        <v>6794</v>
      </c>
      <c r="E4620" t="s">
        <v>6830</v>
      </c>
      <c r="F4620" s="150"/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0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on track</v>
      </c>
      <c r="Q4620" s="3">
        <f ca="1">IF(Proc[[#This Row],[DateClosed]]="",ABS(NETWORKDAYS(Proc[[#This Row],[DateOpened]],TODAY()))-1,ABS(NETWORKDAYS(Proc[[#This Row],[DateOpened]],Proc[[#This Row],[DateClosed]]))-1)</f>
        <v>3</v>
      </c>
      <c r="R4620" s="168" t="s">
        <v>5709</v>
      </c>
      <c r="S4620" s="150"/>
    </row>
    <row r="4621" spans="1:19">
      <c r="A4621" s="149" t="s">
        <v>6791</v>
      </c>
      <c r="B4621" s="150" t="str">
        <f>IFERROR(VLOOKUP(Proc[[#This Row],[App]],Table2[],3,0),"open")</f>
        <v>open</v>
      </c>
      <c r="C4621" s="149" t="s">
        <v>404</v>
      </c>
      <c r="D4621" t="s">
        <v>6795</v>
      </c>
      <c r="E4621" t="s">
        <v>6830</v>
      </c>
      <c r="F4621" s="150"/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0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on track</v>
      </c>
      <c r="Q4621" s="3">
        <f ca="1">IF(Proc[[#This Row],[DateClosed]]="",ABS(NETWORKDAYS(Proc[[#This Row],[DateOpened]],TODAY()))-1,ABS(NETWORKDAYS(Proc[[#This Row],[DateOpened]],Proc[[#This Row],[DateClosed]]))-1)</f>
        <v>3</v>
      </c>
      <c r="R4621" s="168" t="s">
        <v>5709</v>
      </c>
      <c r="S4621" s="150"/>
    </row>
    <row r="4622" spans="1:19">
      <c r="A4622" s="149" t="s">
        <v>6791</v>
      </c>
      <c r="B4622" s="150" t="str">
        <f>IFERROR(VLOOKUP(Proc[[#This Row],[App]],Table2[],3,0),"open")</f>
        <v>open</v>
      </c>
      <c r="C4622" s="149" t="s">
        <v>404</v>
      </c>
      <c r="D4622" t="s">
        <v>6796</v>
      </c>
      <c r="E4622" t="s">
        <v>6830</v>
      </c>
      <c r="F4622" s="150"/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0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on track</v>
      </c>
      <c r="Q4622" s="3">
        <f ca="1">IF(Proc[[#This Row],[DateClosed]]="",ABS(NETWORKDAYS(Proc[[#This Row],[DateOpened]],TODAY()))-1,ABS(NETWORKDAYS(Proc[[#This Row],[DateOpened]],Proc[[#This Row],[DateClosed]]))-1)</f>
        <v>3</v>
      </c>
      <c r="R4622" s="168" t="s">
        <v>5709</v>
      </c>
      <c r="S4622" s="150"/>
    </row>
    <row r="4623" spans="1:19">
      <c r="A4623" s="149" t="s">
        <v>6791</v>
      </c>
      <c r="B4623" s="150" t="str">
        <f>IFERROR(VLOOKUP(Proc[[#This Row],[App]],Table2[],3,0),"open")</f>
        <v>open</v>
      </c>
      <c r="C4623" s="149" t="s">
        <v>404</v>
      </c>
      <c r="D4623" t="s">
        <v>6797</v>
      </c>
      <c r="E4623" t="s">
        <v>6830</v>
      </c>
      <c r="F4623" s="150"/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0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on track</v>
      </c>
      <c r="Q4623" s="3">
        <f ca="1">IF(Proc[[#This Row],[DateClosed]]="",ABS(NETWORKDAYS(Proc[[#This Row],[DateOpened]],TODAY()))-1,ABS(NETWORKDAYS(Proc[[#This Row],[DateOpened]],Proc[[#This Row],[DateClosed]]))-1)</f>
        <v>3</v>
      </c>
      <c r="R4623" s="168" t="s">
        <v>5709</v>
      </c>
      <c r="S4623" s="150"/>
    </row>
    <row r="4624" spans="1:19">
      <c r="A4624" s="149" t="s">
        <v>6791</v>
      </c>
      <c r="B4624" s="150" t="str">
        <f>IFERROR(VLOOKUP(Proc[[#This Row],[App]],Table2[],3,0),"open")</f>
        <v>open</v>
      </c>
      <c r="C4624" s="149" t="s">
        <v>404</v>
      </c>
      <c r="D4624" t="s">
        <v>6798</v>
      </c>
      <c r="E4624" t="s">
        <v>6830</v>
      </c>
      <c r="F4624" s="150"/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0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on track</v>
      </c>
      <c r="Q4624" s="3">
        <f ca="1">IF(Proc[[#This Row],[DateClosed]]="",ABS(NETWORKDAYS(Proc[[#This Row],[DateOpened]],TODAY()))-1,ABS(NETWORKDAYS(Proc[[#This Row],[DateOpened]],Proc[[#This Row],[DateClosed]]))-1)</f>
        <v>3</v>
      </c>
      <c r="R4624" s="168" t="s">
        <v>5709</v>
      </c>
      <c r="S4624" s="150"/>
    </row>
    <row r="4625" spans="1:19">
      <c r="A4625" s="149" t="s">
        <v>6791</v>
      </c>
      <c r="B4625" s="150" t="str">
        <f>IFERROR(VLOOKUP(Proc[[#This Row],[App]],Table2[],3,0),"open")</f>
        <v>open</v>
      </c>
      <c r="C4625" s="149" t="s">
        <v>404</v>
      </c>
      <c r="D4625" t="s">
        <v>6799</v>
      </c>
      <c r="E4625" t="s">
        <v>6830</v>
      </c>
      <c r="F4625" s="150"/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0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on track</v>
      </c>
      <c r="Q4625" s="3">
        <f ca="1">IF(Proc[[#This Row],[DateClosed]]="",ABS(NETWORKDAYS(Proc[[#This Row],[DateOpened]],TODAY()))-1,ABS(NETWORKDAYS(Proc[[#This Row],[DateOpened]],Proc[[#This Row],[DateClosed]]))-1)</f>
        <v>3</v>
      </c>
      <c r="R4625" s="168" t="s">
        <v>5709</v>
      </c>
      <c r="S4625" s="150"/>
    </row>
    <row r="4626" spans="1:19">
      <c r="A4626" s="149" t="s">
        <v>6791</v>
      </c>
      <c r="B4626" s="150" t="str">
        <f>IFERROR(VLOOKUP(Proc[[#This Row],[App]],Table2[],3,0),"open")</f>
        <v>open</v>
      </c>
      <c r="C4626" s="149" t="s">
        <v>404</v>
      </c>
      <c r="D4626" t="s">
        <v>6800</v>
      </c>
      <c r="E4626" t="s">
        <v>6830</v>
      </c>
      <c r="F4626" s="150"/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0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on track</v>
      </c>
      <c r="Q4626" s="3">
        <f ca="1">IF(Proc[[#This Row],[DateClosed]]="",ABS(NETWORKDAYS(Proc[[#This Row],[DateOpened]],TODAY()))-1,ABS(NETWORKDAYS(Proc[[#This Row],[DateOpened]],Proc[[#This Row],[DateClosed]]))-1)</f>
        <v>3</v>
      </c>
      <c r="R4626" s="168" t="s">
        <v>5709</v>
      </c>
      <c r="S4626" s="150"/>
    </row>
    <row r="4627" spans="1:19">
      <c r="A4627" s="149" t="s">
        <v>6791</v>
      </c>
      <c r="B4627" s="150" t="str">
        <f>IFERROR(VLOOKUP(Proc[[#This Row],[App]],Table2[],3,0),"open")</f>
        <v>open</v>
      </c>
      <c r="C4627" s="149" t="s">
        <v>404</v>
      </c>
      <c r="D4627" t="s">
        <v>6801</v>
      </c>
      <c r="E4627" t="s">
        <v>6830</v>
      </c>
      <c r="F4627" s="150"/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0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on track</v>
      </c>
      <c r="Q4627" s="3">
        <f ca="1">IF(Proc[[#This Row],[DateClosed]]="",ABS(NETWORKDAYS(Proc[[#This Row],[DateOpened]],TODAY()))-1,ABS(NETWORKDAYS(Proc[[#This Row],[DateOpened]],Proc[[#This Row],[DateClosed]]))-1)</f>
        <v>3</v>
      </c>
      <c r="R4627" s="168" t="s">
        <v>5709</v>
      </c>
      <c r="S4627" s="150"/>
    </row>
    <row r="4628" spans="1:19">
      <c r="A4628" s="149" t="s">
        <v>6791</v>
      </c>
      <c r="B4628" s="150" t="str">
        <f>IFERROR(VLOOKUP(Proc[[#This Row],[App]],Table2[],3,0),"open")</f>
        <v>open</v>
      </c>
      <c r="C4628" s="149" t="s">
        <v>404</v>
      </c>
      <c r="D4628" t="s">
        <v>6802</v>
      </c>
      <c r="E4628" t="s">
        <v>6830</v>
      </c>
      <c r="F4628" s="150"/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0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on track</v>
      </c>
      <c r="Q4628" s="3">
        <f ca="1">IF(Proc[[#This Row],[DateClosed]]="",ABS(NETWORKDAYS(Proc[[#This Row],[DateOpened]],TODAY()))-1,ABS(NETWORKDAYS(Proc[[#This Row],[DateOpened]],Proc[[#This Row],[DateClosed]]))-1)</f>
        <v>3</v>
      </c>
      <c r="R4628" s="168" t="s">
        <v>5709</v>
      </c>
      <c r="S4628" s="150"/>
    </row>
    <row r="4629" spans="1:19">
      <c r="A4629" s="149" t="s">
        <v>6791</v>
      </c>
      <c r="B4629" s="150" t="str">
        <f>IFERROR(VLOOKUP(Proc[[#This Row],[App]],Table2[],3,0),"open")</f>
        <v>open</v>
      </c>
      <c r="C4629" s="149" t="s">
        <v>404</v>
      </c>
      <c r="D4629" t="s">
        <v>6803</v>
      </c>
      <c r="E4629" t="s">
        <v>6830</v>
      </c>
      <c r="F4629" s="150"/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0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on track</v>
      </c>
      <c r="Q4629" s="3">
        <f ca="1">IF(Proc[[#This Row],[DateClosed]]="",ABS(NETWORKDAYS(Proc[[#This Row],[DateOpened]],TODAY()))-1,ABS(NETWORKDAYS(Proc[[#This Row],[DateOpened]],Proc[[#This Row],[DateClosed]]))-1)</f>
        <v>3</v>
      </c>
      <c r="R4629" s="168" t="s">
        <v>5709</v>
      </c>
      <c r="S4629" s="150"/>
    </row>
    <row r="4630" spans="1:19">
      <c r="A4630" s="149" t="s">
        <v>6791</v>
      </c>
      <c r="B4630" s="150" t="str">
        <f>IFERROR(VLOOKUP(Proc[[#This Row],[App]],Table2[],3,0),"open")</f>
        <v>open</v>
      </c>
      <c r="C4630" s="149" t="s">
        <v>404</v>
      </c>
      <c r="D4630" t="s">
        <v>6804</v>
      </c>
      <c r="E4630" t="s">
        <v>6830</v>
      </c>
      <c r="F4630" s="150"/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0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on track</v>
      </c>
      <c r="Q4630" s="3">
        <f ca="1">IF(Proc[[#This Row],[DateClosed]]="",ABS(NETWORKDAYS(Proc[[#This Row],[DateOpened]],TODAY()))-1,ABS(NETWORKDAYS(Proc[[#This Row],[DateOpened]],Proc[[#This Row],[DateClosed]]))-1)</f>
        <v>3</v>
      </c>
      <c r="R4630" s="168" t="s">
        <v>5709</v>
      </c>
      <c r="S4630" s="150"/>
    </row>
    <row r="4631" spans="1:19">
      <c r="A4631" s="149" t="s">
        <v>6791</v>
      </c>
      <c r="B4631" s="150" t="str">
        <f>IFERROR(VLOOKUP(Proc[[#This Row],[App]],Table2[],3,0),"open")</f>
        <v>open</v>
      </c>
      <c r="C4631" s="149" t="s">
        <v>404</v>
      </c>
      <c r="D4631" t="s">
        <v>6805</v>
      </c>
      <c r="E4631" t="s">
        <v>6830</v>
      </c>
      <c r="F4631" s="150"/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0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on track</v>
      </c>
      <c r="Q4631" s="3">
        <f ca="1">IF(Proc[[#This Row],[DateClosed]]="",ABS(NETWORKDAYS(Proc[[#This Row],[DateOpened]],TODAY()))-1,ABS(NETWORKDAYS(Proc[[#This Row],[DateOpened]],Proc[[#This Row],[DateClosed]]))-1)</f>
        <v>3</v>
      </c>
      <c r="R4631" s="168" t="s">
        <v>5709</v>
      </c>
      <c r="S4631" s="150"/>
    </row>
    <row r="4632" spans="1:19">
      <c r="A4632" s="149" t="s">
        <v>6791</v>
      </c>
      <c r="B4632" s="150" t="str">
        <f>IFERROR(VLOOKUP(Proc[[#This Row],[App]],Table2[],3,0),"open")</f>
        <v>open</v>
      </c>
      <c r="C4632" s="149" t="s">
        <v>404</v>
      </c>
      <c r="D4632" t="s">
        <v>6806</v>
      </c>
      <c r="E4632" t="s">
        <v>6830</v>
      </c>
      <c r="F4632" s="150"/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0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on track</v>
      </c>
      <c r="Q4632" s="3">
        <f ca="1">IF(Proc[[#This Row],[DateClosed]]="",ABS(NETWORKDAYS(Proc[[#This Row],[DateOpened]],TODAY()))-1,ABS(NETWORKDAYS(Proc[[#This Row],[DateOpened]],Proc[[#This Row],[DateClosed]]))-1)</f>
        <v>3</v>
      </c>
      <c r="R4632" s="168" t="s">
        <v>5709</v>
      </c>
      <c r="S4632" s="150"/>
    </row>
    <row r="4633" spans="1:19">
      <c r="A4633" s="149" t="s">
        <v>6791</v>
      </c>
      <c r="B4633" s="150" t="str">
        <f>IFERROR(VLOOKUP(Proc[[#This Row],[App]],Table2[],3,0),"open")</f>
        <v>open</v>
      </c>
      <c r="C4633" s="149" t="s">
        <v>404</v>
      </c>
      <c r="D4633" t="s">
        <v>6807</v>
      </c>
      <c r="E4633" t="s">
        <v>6830</v>
      </c>
      <c r="F4633" s="150"/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0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on track</v>
      </c>
      <c r="Q4633" s="3">
        <f ca="1">IF(Proc[[#This Row],[DateClosed]]="",ABS(NETWORKDAYS(Proc[[#This Row],[DateOpened]],TODAY()))-1,ABS(NETWORKDAYS(Proc[[#This Row],[DateOpened]],Proc[[#This Row],[DateClosed]]))-1)</f>
        <v>3</v>
      </c>
      <c r="R4633" s="168" t="s">
        <v>5709</v>
      </c>
      <c r="S4633" s="150"/>
    </row>
    <row r="4634" spans="1:19">
      <c r="A4634" s="149" t="s">
        <v>6791</v>
      </c>
      <c r="B4634" s="150" t="str">
        <f>IFERROR(VLOOKUP(Proc[[#This Row],[App]],Table2[],3,0),"open")</f>
        <v>open</v>
      </c>
      <c r="C4634" s="149" t="s">
        <v>404</v>
      </c>
      <c r="D4634" t="s">
        <v>6808</v>
      </c>
      <c r="E4634" t="s">
        <v>6830</v>
      </c>
      <c r="F4634" s="150"/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0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on track</v>
      </c>
      <c r="Q4634" s="3">
        <f ca="1">IF(Proc[[#This Row],[DateClosed]]="",ABS(NETWORKDAYS(Proc[[#This Row],[DateOpened]],TODAY()))-1,ABS(NETWORKDAYS(Proc[[#This Row],[DateOpened]],Proc[[#This Row],[DateClosed]]))-1)</f>
        <v>3</v>
      </c>
      <c r="R4634" s="168" t="s">
        <v>5709</v>
      </c>
      <c r="S4634" s="150"/>
    </row>
    <row r="4635" spans="1:19">
      <c r="A4635" s="149" t="s">
        <v>6791</v>
      </c>
      <c r="B4635" s="150" t="str">
        <f>IFERROR(VLOOKUP(Proc[[#This Row],[App]],Table2[],3,0),"open")</f>
        <v>open</v>
      </c>
      <c r="C4635" s="149" t="s">
        <v>404</v>
      </c>
      <c r="D4635" t="s">
        <v>6809</v>
      </c>
      <c r="E4635" t="s">
        <v>6830</v>
      </c>
      <c r="F4635" s="150"/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0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on track</v>
      </c>
      <c r="Q4635" s="3">
        <f ca="1">IF(Proc[[#This Row],[DateClosed]]="",ABS(NETWORKDAYS(Proc[[#This Row],[DateOpened]],TODAY()))-1,ABS(NETWORKDAYS(Proc[[#This Row],[DateOpened]],Proc[[#This Row],[DateClosed]]))-1)</f>
        <v>3</v>
      </c>
      <c r="R4635" s="168" t="s">
        <v>5709</v>
      </c>
      <c r="S4635" s="150"/>
    </row>
    <row r="4636" spans="1:19">
      <c r="A4636" s="149" t="s">
        <v>6791</v>
      </c>
      <c r="B4636" s="150" t="str">
        <f>IFERROR(VLOOKUP(Proc[[#This Row],[App]],Table2[],3,0),"open")</f>
        <v>open</v>
      </c>
      <c r="C4636" s="149" t="s">
        <v>404</v>
      </c>
      <c r="D4636" t="s">
        <v>6810</v>
      </c>
      <c r="E4636" t="s">
        <v>6830</v>
      </c>
      <c r="F4636" s="150"/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0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on track</v>
      </c>
      <c r="Q4636" s="3">
        <f ca="1">IF(Proc[[#This Row],[DateClosed]]="",ABS(NETWORKDAYS(Proc[[#This Row],[DateOpened]],TODAY()))-1,ABS(NETWORKDAYS(Proc[[#This Row],[DateOpened]],Proc[[#This Row],[DateClosed]]))-1)</f>
        <v>3</v>
      </c>
      <c r="R4636" s="168" t="s">
        <v>5709</v>
      </c>
      <c r="S4636" s="150"/>
    </row>
    <row r="4637" spans="1:19">
      <c r="A4637" s="149" t="s">
        <v>6791</v>
      </c>
      <c r="B4637" s="150" t="str">
        <f>IFERROR(VLOOKUP(Proc[[#This Row],[App]],Table2[],3,0),"open")</f>
        <v>open</v>
      </c>
      <c r="C4637" s="149" t="s">
        <v>404</v>
      </c>
      <c r="D4637" t="s">
        <v>6811</v>
      </c>
      <c r="E4637" t="s">
        <v>6830</v>
      </c>
      <c r="F4637" s="150"/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0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on track</v>
      </c>
      <c r="Q4637" s="3">
        <f ca="1">IF(Proc[[#This Row],[DateClosed]]="",ABS(NETWORKDAYS(Proc[[#This Row],[DateOpened]],TODAY()))-1,ABS(NETWORKDAYS(Proc[[#This Row],[DateOpened]],Proc[[#This Row],[DateClosed]]))-1)</f>
        <v>3</v>
      </c>
      <c r="R4637" s="168" t="s">
        <v>5709</v>
      </c>
      <c r="S4637" s="150"/>
    </row>
    <row r="4638" spans="1:19">
      <c r="A4638" s="149" t="s">
        <v>6791</v>
      </c>
      <c r="B4638" s="150" t="str">
        <f>IFERROR(VLOOKUP(Proc[[#This Row],[App]],Table2[],3,0),"open")</f>
        <v>open</v>
      </c>
      <c r="C4638" s="149" t="s">
        <v>404</v>
      </c>
      <c r="D4638" t="s">
        <v>6812</v>
      </c>
      <c r="E4638" t="s">
        <v>6830</v>
      </c>
      <c r="F4638" s="150"/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0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on track</v>
      </c>
      <c r="Q4638" s="3">
        <f ca="1">IF(Proc[[#This Row],[DateClosed]]="",ABS(NETWORKDAYS(Proc[[#This Row],[DateOpened]],TODAY()))-1,ABS(NETWORKDAYS(Proc[[#This Row],[DateOpened]],Proc[[#This Row],[DateClosed]]))-1)</f>
        <v>3</v>
      </c>
      <c r="R4638" s="168" t="s">
        <v>5709</v>
      </c>
      <c r="S4638" s="150"/>
    </row>
    <row r="4639" spans="1:19">
      <c r="A4639" s="149" t="s">
        <v>6791</v>
      </c>
      <c r="B4639" s="150" t="str">
        <f>IFERROR(VLOOKUP(Proc[[#This Row],[App]],Table2[],3,0),"open")</f>
        <v>open</v>
      </c>
      <c r="C4639" s="149" t="s">
        <v>404</v>
      </c>
      <c r="D4639" t="s">
        <v>6813</v>
      </c>
      <c r="E4639" t="s">
        <v>6830</v>
      </c>
      <c r="F4639" s="150"/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0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on track</v>
      </c>
      <c r="Q4639" s="3">
        <f ca="1">IF(Proc[[#This Row],[DateClosed]]="",ABS(NETWORKDAYS(Proc[[#This Row],[DateOpened]],TODAY()))-1,ABS(NETWORKDAYS(Proc[[#This Row],[DateOpened]],Proc[[#This Row],[DateClosed]]))-1)</f>
        <v>3</v>
      </c>
      <c r="R4639" s="168" t="s">
        <v>5709</v>
      </c>
      <c r="S4639" s="150"/>
    </row>
    <row r="4640" spans="1:19">
      <c r="A4640" s="149" t="s">
        <v>6791</v>
      </c>
      <c r="B4640" s="150" t="str">
        <f>IFERROR(VLOOKUP(Proc[[#This Row],[App]],Table2[],3,0),"open")</f>
        <v>open</v>
      </c>
      <c r="C4640" s="149" t="s">
        <v>404</v>
      </c>
      <c r="D4640" t="s">
        <v>6814</v>
      </c>
      <c r="E4640" t="s">
        <v>6830</v>
      </c>
      <c r="F4640" s="150"/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0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on track</v>
      </c>
      <c r="Q4640" s="3">
        <f ca="1">IF(Proc[[#This Row],[DateClosed]]="",ABS(NETWORKDAYS(Proc[[#This Row],[DateOpened]],TODAY()))-1,ABS(NETWORKDAYS(Proc[[#This Row],[DateOpened]],Proc[[#This Row],[DateClosed]]))-1)</f>
        <v>3</v>
      </c>
      <c r="R4640" s="168" t="s">
        <v>5709</v>
      </c>
      <c r="S4640" s="150"/>
    </row>
    <row r="4641" spans="1:19">
      <c r="A4641" s="149" t="s">
        <v>6791</v>
      </c>
      <c r="B4641" s="150" t="str">
        <f>IFERROR(VLOOKUP(Proc[[#This Row],[App]],Table2[],3,0),"open")</f>
        <v>open</v>
      </c>
      <c r="C4641" s="149" t="s">
        <v>404</v>
      </c>
      <c r="D4641" t="s">
        <v>6815</v>
      </c>
      <c r="E4641" t="s">
        <v>6830</v>
      </c>
      <c r="F4641" s="150"/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0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on track</v>
      </c>
      <c r="Q4641" s="3">
        <f ca="1">IF(Proc[[#This Row],[DateClosed]]="",ABS(NETWORKDAYS(Proc[[#This Row],[DateOpened]],TODAY()))-1,ABS(NETWORKDAYS(Proc[[#This Row],[DateOpened]],Proc[[#This Row],[DateClosed]]))-1)</f>
        <v>3</v>
      </c>
      <c r="R4641" s="168" t="s">
        <v>5709</v>
      </c>
      <c r="S4641" s="150"/>
    </row>
    <row r="4642" spans="1:19">
      <c r="A4642" s="149" t="s">
        <v>6791</v>
      </c>
      <c r="B4642" s="150" t="str">
        <f>IFERROR(VLOOKUP(Proc[[#This Row],[App]],Table2[],3,0),"open")</f>
        <v>open</v>
      </c>
      <c r="C4642" s="149" t="s">
        <v>404</v>
      </c>
      <c r="D4642" t="s">
        <v>6816</v>
      </c>
      <c r="E4642" t="s">
        <v>6830</v>
      </c>
      <c r="F4642" s="150"/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0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on track</v>
      </c>
      <c r="Q4642" s="3">
        <f ca="1">IF(Proc[[#This Row],[DateClosed]]="",ABS(NETWORKDAYS(Proc[[#This Row],[DateOpened]],TODAY()))-1,ABS(NETWORKDAYS(Proc[[#This Row],[DateOpened]],Proc[[#This Row],[DateClosed]]))-1)</f>
        <v>3</v>
      </c>
      <c r="R4642" s="168" t="s">
        <v>5709</v>
      </c>
      <c r="S4642" s="150"/>
    </row>
    <row r="4643" spans="1:19">
      <c r="A4643" s="149" t="s">
        <v>6791</v>
      </c>
      <c r="B4643" s="150" t="str">
        <f>IFERROR(VLOOKUP(Proc[[#This Row],[App]],Table2[],3,0),"open")</f>
        <v>open</v>
      </c>
      <c r="C4643" s="149" t="s">
        <v>404</v>
      </c>
      <c r="D4643" t="s">
        <v>6817</v>
      </c>
      <c r="E4643" t="s">
        <v>6830</v>
      </c>
      <c r="F4643" s="150"/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0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on track</v>
      </c>
      <c r="Q4643" s="3">
        <f ca="1">IF(Proc[[#This Row],[DateClosed]]="",ABS(NETWORKDAYS(Proc[[#This Row],[DateOpened]],TODAY()))-1,ABS(NETWORKDAYS(Proc[[#This Row],[DateOpened]],Proc[[#This Row],[DateClosed]]))-1)</f>
        <v>3</v>
      </c>
      <c r="R4643" s="168" t="s">
        <v>5709</v>
      </c>
      <c r="S4643" s="150"/>
    </row>
    <row r="4644" spans="1:19">
      <c r="A4644" s="149" t="s">
        <v>6791</v>
      </c>
      <c r="B4644" s="150" t="str">
        <f>IFERROR(VLOOKUP(Proc[[#This Row],[App]],Table2[],3,0),"open")</f>
        <v>open</v>
      </c>
      <c r="C4644" s="149" t="s">
        <v>404</v>
      </c>
      <c r="D4644" t="s">
        <v>6818</v>
      </c>
      <c r="E4644" t="s">
        <v>6830</v>
      </c>
      <c r="F4644" s="150"/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0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on track</v>
      </c>
      <c r="Q4644" s="3">
        <f ca="1">IF(Proc[[#This Row],[DateClosed]]="",ABS(NETWORKDAYS(Proc[[#This Row],[DateOpened]],TODAY()))-1,ABS(NETWORKDAYS(Proc[[#This Row],[DateOpened]],Proc[[#This Row],[DateClosed]]))-1)</f>
        <v>3</v>
      </c>
      <c r="R4644" s="168" t="s">
        <v>5709</v>
      </c>
      <c r="S4644" s="150"/>
    </row>
    <row r="4645" spans="1:19">
      <c r="A4645" s="149" t="s">
        <v>6791</v>
      </c>
      <c r="B4645" s="150" t="str">
        <f>IFERROR(VLOOKUP(Proc[[#This Row],[App]],Table2[],3,0),"open")</f>
        <v>open</v>
      </c>
      <c r="C4645" s="149" t="s">
        <v>404</v>
      </c>
      <c r="D4645" t="s">
        <v>6819</v>
      </c>
      <c r="E4645" t="s">
        <v>6830</v>
      </c>
      <c r="F4645" s="150"/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0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on track</v>
      </c>
      <c r="Q4645" s="3">
        <f ca="1">IF(Proc[[#This Row],[DateClosed]]="",ABS(NETWORKDAYS(Proc[[#This Row],[DateOpened]],TODAY()))-1,ABS(NETWORKDAYS(Proc[[#This Row],[DateOpened]],Proc[[#This Row],[DateClosed]]))-1)</f>
        <v>3</v>
      </c>
      <c r="R4645" s="168" t="s">
        <v>5709</v>
      </c>
      <c r="S4645" s="150"/>
    </row>
    <row r="4646" spans="1:19">
      <c r="A4646" s="149" t="s">
        <v>6791</v>
      </c>
      <c r="B4646" s="150" t="str">
        <f>IFERROR(VLOOKUP(Proc[[#This Row],[App]],Table2[],3,0),"open")</f>
        <v>open</v>
      </c>
      <c r="C4646" s="149" t="s">
        <v>404</v>
      </c>
      <c r="D4646" t="s">
        <v>6820</v>
      </c>
      <c r="E4646" t="s">
        <v>6830</v>
      </c>
      <c r="F4646" s="150"/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0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on track</v>
      </c>
      <c r="Q4646" s="3">
        <f ca="1">IF(Proc[[#This Row],[DateClosed]]="",ABS(NETWORKDAYS(Proc[[#This Row],[DateOpened]],TODAY()))-1,ABS(NETWORKDAYS(Proc[[#This Row],[DateOpened]],Proc[[#This Row],[DateClosed]]))-1)</f>
        <v>3</v>
      </c>
      <c r="R4646" s="168" t="s">
        <v>5709</v>
      </c>
      <c r="S4646" s="150"/>
    </row>
    <row r="4647" spans="1:19">
      <c r="A4647" s="149" t="s">
        <v>6791</v>
      </c>
      <c r="B4647" s="150" t="str">
        <f>IFERROR(VLOOKUP(Proc[[#This Row],[App]],Table2[],3,0),"open")</f>
        <v>open</v>
      </c>
      <c r="C4647" s="149" t="s">
        <v>404</v>
      </c>
      <c r="D4647" t="s">
        <v>6821</v>
      </c>
      <c r="E4647" t="s">
        <v>6830</v>
      </c>
      <c r="F4647" s="150"/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0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on track</v>
      </c>
      <c r="Q4647" s="3">
        <f ca="1">IF(Proc[[#This Row],[DateClosed]]="",ABS(NETWORKDAYS(Proc[[#This Row],[DateOpened]],TODAY()))-1,ABS(NETWORKDAYS(Proc[[#This Row],[DateOpened]],Proc[[#This Row],[DateClosed]]))-1)</f>
        <v>3</v>
      </c>
      <c r="R4647" s="168" t="s">
        <v>5709</v>
      </c>
      <c r="S4647" s="150"/>
    </row>
    <row r="4648" spans="1:19">
      <c r="A4648" s="149" t="s">
        <v>6791</v>
      </c>
      <c r="B4648" s="150" t="str">
        <f>IFERROR(VLOOKUP(Proc[[#This Row],[App]],Table2[],3,0),"open")</f>
        <v>open</v>
      </c>
      <c r="C4648" s="149" t="s">
        <v>404</v>
      </c>
      <c r="D4648" t="s">
        <v>6822</v>
      </c>
      <c r="E4648" t="s">
        <v>6830</v>
      </c>
      <c r="F4648" s="150"/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0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on track</v>
      </c>
      <c r="Q4648" s="3">
        <f ca="1">IF(Proc[[#This Row],[DateClosed]]="",ABS(NETWORKDAYS(Proc[[#This Row],[DateOpened]],TODAY()))-1,ABS(NETWORKDAYS(Proc[[#This Row],[DateOpened]],Proc[[#This Row],[DateClosed]]))-1)</f>
        <v>3</v>
      </c>
      <c r="R4648" s="168" t="s">
        <v>5709</v>
      </c>
      <c r="S4648" s="150"/>
    </row>
    <row r="4649" spans="1:19">
      <c r="A4649" s="149" t="s">
        <v>6791</v>
      </c>
      <c r="B4649" s="150" t="str">
        <f>IFERROR(VLOOKUP(Proc[[#This Row],[App]],Table2[],3,0),"open")</f>
        <v>open</v>
      </c>
      <c r="C4649" s="149" t="s">
        <v>404</v>
      </c>
      <c r="D4649" t="s">
        <v>6823</v>
      </c>
      <c r="E4649" t="s">
        <v>6830</v>
      </c>
      <c r="F4649" s="150"/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0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on track</v>
      </c>
      <c r="Q4649" s="3">
        <f ca="1">IF(Proc[[#This Row],[DateClosed]]="",ABS(NETWORKDAYS(Proc[[#This Row],[DateOpened]],TODAY()))-1,ABS(NETWORKDAYS(Proc[[#This Row],[DateOpened]],Proc[[#This Row],[DateClosed]]))-1)</f>
        <v>3</v>
      </c>
      <c r="R4649" s="168" t="s">
        <v>5709</v>
      </c>
      <c r="S4649" s="150"/>
    </row>
    <row r="4650" spans="1:19">
      <c r="A4650" s="149" t="s">
        <v>6791</v>
      </c>
      <c r="B4650" s="150" t="str">
        <f>IFERROR(VLOOKUP(Proc[[#This Row],[App]],Table2[],3,0),"open")</f>
        <v>open</v>
      </c>
      <c r="C4650" s="149" t="s">
        <v>404</v>
      </c>
      <c r="D4650" t="s">
        <v>6824</v>
      </c>
      <c r="E4650" t="s">
        <v>6830</v>
      </c>
      <c r="F4650" s="150"/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0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on track</v>
      </c>
      <c r="Q4650" s="3">
        <f ca="1">IF(Proc[[#This Row],[DateClosed]]="",ABS(NETWORKDAYS(Proc[[#This Row],[DateOpened]],TODAY()))-1,ABS(NETWORKDAYS(Proc[[#This Row],[DateOpened]],Proc[[#This Row],[DateClosed]]))-1)</f>
        <v>3</v>
      </c>
      <c r="R4650" s="168" t="s">
        <v>5709</v>
      </c>
      <c r="S4650" s="150"/>
    </row>
    <row r="4651" spans="1:19">
      <c r="A4651" s="149" t="s">
        <v>6791</v>
      </c>
      <c r="B4651" s="150" t="str">
        <f>IFERROR(VLOOKUP(Proc[[#This Row],[App]],Table2[],3,0),"open")</f>
        <v>open</v>
      </c>
      <c r="C4651" s="149" t="s">
        <v>404</v>
      </c>
      <c r="D4651" t="s">
        <v>6825</v>
      </c>
      <c r="E4651" t="s">
        <v>6831</v>
      </c>
      <c r="F4651" s="150"/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0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on track</v>
      </c>
      <c r="Q4651" s="3">
        <f ca="1">IF(Proc[[#This Row],[DateClosed]]="",ABS(NETWORKDAYS(Proc[[#This Row],[DateOpened]],TODAY()))-1,ABS(NETWORKDAYS(Proc[[#This Row],[DateOpened]],Proc[[#This Row],[DateClosed]]))-1)</f>
        <v>3</v>
      </c>
      <c r="R4651" s="168" t="s">
        <v>5709</v>
      </c>
      <c r="S4651" s="150"/>
    </row>
    <row r="4652" spans="1:19">
      <c r="A4652" s="149" t="s">
        <v>6791</v>
      </c>
      <c r="B4652" s="150" t="str">
        <f>IFERROR(VLOOKUP(Proc[[#This Row],[App]],Table2[],3,0),"open")</f>
        <v>open</v>
      </c>
      <c r="C4652" s="149" t="s">
        <v>404</v>
      </c>
      <c r="D4652" t="s">
        <v>6826</v>
      </c>
      <c r="E4652" t="s">
        <v>6831</v>
      </c>
      <c r="F4652" s="150"/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0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on track</v>
      </c>
      <c r="Q4652" s="3">
        <f ca="1">IF(Proc[[#This Row],[DateClosed]]="",ABS(NETWORKDAYS(Proc[[#This Row],[DateOpened]],TODAY()))-1,ABS(NETWORKDAYS(Proc[[#This Row],[DateOpened]],Proc[[#This Row],[DateClosed]]))-1)</f>
        <v>3</v>
      </c>
      <c r="R4652" s="168" t="s">
        <v>5709</v>
      </c>
      <c r="S4652" s="150"/>
    </row>
    <row r="4653" spans="1:19">
      <c r="A4653" s="149" t="s">
        <v>6791</v>
      </c>
      <c r="B4653" s="150" t="str">
        <f>IFERROR(VLOOKUP(Proc[[#This Row],[App]],Table2[],3,0),"open")</f>
        <v>open</v>
      </c>
      <c r="C4653" s="149" t="s">
        <v>404</v>
      </c>
      <c r="D4653" t="s">
        <v>6827</v>
      </c>
      <c r="E4653" t="s">
        <v>6831</v>
      </c>
      <c r="F4653" s="150"/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0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on track</v>
      </c>
      <c r="Q4653" s="3">
        <f ca="1">IF(Proc[[#This Row],[DateClosed]]="",ABS(NETWORKDAYS(Proc[[#This Row],[DateOpened]],TODAY()))-1,ABS(NETWORKDAYS(Proc[[#This Row],[DateOpened]],Proc[[#This Row],[DateClosed]]))-1)</f>
        <v>3</v>
      </c>
      <c r="R4653" s="168" t="s">
        <v>5709</v>
      </c>
      <c r="S4653" s="150"/>
    </row>
    <row r="4654" spans="1:19">
      <c r="A4654" s="149" t="s">
        <v>6791</v>
      </c>
      <c r="B4654" s="150" t="str">
        <f>IFERROR(VLOOKUP(Proc[[#This Row],[App]],Table2[],3,0),"open")</f>
        <v>open</v>
      </c>
      <c r="C4654" s="149" t="s">
        <v>404</v>
      </c>
      <c r="D4654" t="s">
        <v>6828</v>
      </c>
      <c r="E4654" t="s">
        <v>6831</v>
      </c>
      <c r="F4654" s="150"/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0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on track</v>
      </c>
      <c r="Q4654" s="3">
        <f ca="1">IF(Proc[[#This Row],[DateClosed]]="",ABS(NETWORKDAYS(Proc[[#This Row],[DateOpened]],TODAY()))-1,ABS(NETWORKDAYS(Proc[[#This Row],[DateOpened]],Proc[[#This Row],[DateClosed]]))-1)</f>
        <v>3</v>
      </c>
      <c r="R4654" s="168" t="s">
        <v>5709</v>
      </c>
      <c r="S4654" s="150"/>
    </row>
    <row r="4655" spans="1:19">
      <c r="A4655" s="149" t="s">
        <v>6791</v>
      </c>
      <c r="B4655" s="150" t="str">
        <f>IFERROR(VLOOKUP(Proc[[#This Row],[App]],Table2[],3,0),"open")</f>
        <v>open</v>
      </c>
      <c r="C4655" s="149" t="s">
        <v>404</v>
      </c>
      <c r="D4655" t="s">
        <v>6829</v>
      </c>
      <c r="E4655" t="s">
        <v>6831</v>
      </c>
      <c r="F4655" s="150"/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0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on track</v>
      </c>
      <c r="Q4655" s="3">
        <f ca="1">IF(Proc[[#This Row],[DateClosed]]="",ABS(NETWORKDAYS(Proc[[#This Row],[DateOpened]],TODAY()))-1,ABS(NETWORKDAYS(Proc[[#This Row],[DateOpened]],Proc[[#This Row],[DateClosed]]))-1)</f>
        <v>3</v>
      </c>
      <c r="R4655" s="168" t="s">
        <v>5709</v>
      </c>
      <c r="S4655" s="150"/>
    </row>
    <row r="4656" spans="1:19">
      <c r="A4656" t="s">
        <v>6856</v>
      </c>
      <c r="B4656" s="150" t="str">
        <f>IFERROR(VLOOKUP(Proc[[#This Row],[App]],Table2[],3,0),"open")</f>
        <v>open</v>
      </c>
      <c r="C4656" s="149" t="s">
        <v>370</v>
      </c>
      <c r="D4656" t="s">
        <v>6832</v>
      </c>
      <c r="E4656" t="s">
        <v>2200</v>
      </c>
      <c r="F4656" s="150"/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0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on track</v>
      </c>
      <c r="Q4656" s="3">
        <f ca="1">IF(Proc[[#This Row],[DateClosed]]="",ABS(NETWORKDAYS(Proc[[#This Row],[DateOpened]],TODAY()))-1,ABS(NETWORKDAYS(Proc[[#This Row],[DateOpened]],Proc[[#This Row],[DateClosed]]))-1)</f>
        <v>3</v>
      </c>
      <c r="R4656" s="168" t="s">
        <v>489</v>
      </c>
      <c r="S4656" s="150"/>
    </row>
    <row r="4657" spans="1:19">
      <c r="A4657" s="149" t="s">
        <v>6856</v>
      </c>
      <c r="B4657" s="150" t="str">
        <f>IFERROR(VLOOKUP(Proc[[#This Row],[App]],Table2[],3,0),"open")</f>
        <v>open</v>
      </c>
      <c r="C4657" s="149" t="s">
        <v>370</v>
      </c>
      <c r="D4657" t="s">
        <v>6833</v>
      </c>
      <c r="E4657" t="s">
        <v>2206</v>
      </c>
      <c r="F4657" s="150"/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0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on track</v>
      </c>
      <c r="Q4657" s="3">
        <f ca="1">IF(Proc[[#This Row],[DateClosed]]="",ABS(NETWORKDAYS(Proc[[#This Row],[DateOpened]],TODAY()))-1,ABS(NETWORKDAYS(Proc[[#This Row],[DateOpened]],Proc[[#This Row],[DateClosed]]))-1)</f>
        <v>3</v>
      </c>
      <c r="R4657" s="168" t="s">
        <v>489</v>
      </c>
      <c r="S4657" s="150"/>
    </row>
    <row r="4658" spans="1:19">
      <c r="A4658" s="149" t="s">
        <v>6856</v>
      </c>
      <c r="B4658" s="150" t="str">
        <f>IFERROR(VLOOKUP(Proc[[#This Row],[App]],Table2[],3,0),"open")</f>
        <v>open</v>
      </c>
      <c r="C4658" s="149" t="s">
        <v>370</v>
      </c>
      <c r="D4658" t="s">
        <v>6834</v>
      </c>
      <c r="E4658" t="s">
        <v>2206</v>
      </c>
      <c r="F4658" s="150"/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0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on track</v>
      </c>
      <c r="Q4658" s="3">
        <f ca="1">IF(Proc[[#This Row],[DateClosed]]="",ABS(NETWORKDAYS(Proc[[#This Row],[DateOpened]],TODAY()))-1,ABS(NETWORKDAYS(Proc[[#This Row],[DateOpened]],Proc[[#This Row],[DateClosed]]))-1)</f>
        <v>3</v>
      </c>
      <c r="R4658" s="168" t="s">
        <v>489</v>
      </c>
      <c r="S4658" s="150"/>
    </row>
    <row r="4659" spans="1:19">
      <c r="A4659" s="149" t="s">
        <v>6856</v>
      </c>
      <c r="B4659" s="150" t="str">
        <f>IFERROR(VLOOKUP(Proc[[#This Row],[App]],Table2[],3,0),"open")</f>
        <v>open</v>
      </c>
      <c r="C4659" s="149" t="s">
        <v>370</v>
      </c>
      <c r="D4659" t="s">
        <v>6835</v>
      </c>
      <c r="E4659" t="s">
        <v>2206</v>
      </c>
      <c r="F4659" s="150"/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0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on track</v>
      </c>
      <c r="Q4659" s="3">
        <f ca="1">IF(Proc[[#This Row],[DateClosed]]="",ABS(NETWORKDAYS(Proc[[#This Row],[DateOpened]],TODAY()))-1,ABS(NETWORKDAYS(Proc[[#This Row],[DateOpened]],Proc[[#This Row],[DateClosed]]))-1)</f>
        <v>3</v>
      </c>
      <c r="R4659" s="168" t="s">
        <v>489</v>
      </c>
      <c r="S4659" s="150"/>
    </row>
    <row r="4660" spans="1:19">
      <c r="A4660" s="149" t="s">
        <v>6856</v>
      </c>
      <c r="B4660" s="150" t="str">
        <f>IFERROR(VLOOKUP(Proc[[#This Row],[App]],Table2[],3,0),"open")</f>
        <v>open</v>
      </c>
      <c r="C4660" s="149" t="s">
        <v>370</v>
      </c>
      <c r="D4660" t="s">
        <v>6836</v>
      </c>
      <c r="E4660" t="s">
        <v>2206</v>
      </c>
      <c r="F4660" s="150"/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0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on track</v>
      </c>
      <c r="Q4660" s="3">
        <f ca="1">IF(Proc[[#This Row],[DateClosed]]="",ABS(NETWORKDAYS(Proc[[#This Row],[DateOpened]],TODAY()))-1,ABS(NETWORKDAYS(Proc[[#This Row],[DateOpened]],Proc[[#This Row],[DateClosed]]))-1)</f>
        <v>3</v>
      </c>
      <c r="R4660" s="168" t="s">
        <v>489</v>
      </c>
      <c r="S4660" s="150"/>
    </row>
    <row r="4661" spans="1:19">
      <c r="A4661" s="149" t="s">
        <v>6856</v>
      </c>
      <c r="B4661" s="150" t="str">
        <f>IFERROR(VLOOKUP(Proc[[#This Row],[App]],Table2[],3,0),"open")</f>
        <v>open</v>
      </c>
      <c r="C4661" s="149" t="s">
        <v>370</v>
      </c>
      <c r="D4661" t="s">
        <v>6837</v>
      </c>
      <c r="E4661" t="s">
        <v>2205</v>
      </c>
      <c r="F4661" s="150"/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0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on track</v>
      </c>
      <c r="Q4661" s="3">
        <f ca="1">IF(Proc[[#This Row],[DateClosed]]="",ABS(NETWORKDAYS(Proc[[#This Row],[DateOpened]],TODAY()))-1,ABS(NETWORKDAYS(Proc[[#This Row],[DateOpened]],Proc[[#This Row],[DateClosed]]))-1)</f>
        <v>3</v>
      </c>
      <c r="R4661" s="168" t="s">
        <v>489</v>
      </c>
      <c r="S4661" s="150"/>
    </row>
    <row r="4662" spans="1:19">
      <c r="A4662" s="149" t="s">
        <v>6856</v>
      </c>
      <c r="B4662" s="150" t="str">
        <f>IFERROR(VLOOKUP(Proc[[#This Row],[App]],Table2[],3,0),"open")</f>
        <v>open</v>
      </c>
      <c r="C4662" s="149" t="s">
        <v>370</v>
      </c>
      <c r="D4662" t="s">
        <v>6838</v>
      </c>
      <c r="E4662" t="s">
        <v>2368</v>
      </c>
      <c r="F4662" s="150"/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0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on track</v>
      </c>
      <c r="Q4662" s="3">
        <f ca="1">IF(Proc[[#This Row],[DateClosed]]="",ABS(NETWORKDAYS(Proc[[#This Row],[DateOpened]],TODAY()))-1,ABS(NETWORKDAYS(Proc[[#This Row],[DateOpened]],Proc[[#This Row],[DateClosed]]))-1)</f>
        <v>3</v>
      </c>
      <c r="R4662" s="168" t="s">
        <v>489</v>
      </c>
      <c r="S4662" s="150"/>
    </row>
    <row r="4663" spans="1:19">
      <c r="A4663" s="149" t="s">
        <v>6856</v>
      </c>
      <c r="B4663" s="150" t="str">
        <f>IFERROR(VLOOKUP(Proc[[#This Row],[App]],Table2[],3,0),"open")</f>
        <v>open</v>
      </c>
      <c r="C4663" s="149" t="s">
        <v>370</v>
      </c>
      <c r="D4663" t="s">
        <v>6839</v>
      </c>
      <c r="E4663" t="s">
        <v>2368</v>
      </c>
      <c r="F4663" s="150"/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0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on track</v>
      </c>
      <c r="Q4663" s="3">
        <f ca="1">IF(Proc[[#This Row],[DateClosed]]="",ABS(NETWORKDAYS(Proc[[#This Row],[DateOpened]],TODAY()))-1,ABS(NETWORKDAYS(Proc[[#This Row],[DateOpened]],Proc[[#This Row],[DateClosed]]))-1)</f>
        <v>3</v>
      </c>
      <c r="R4663" s="168" t="s">
        <v>489</v>
      </c>
      <c r="S4663" s="150"/>
    </row>
    <row r="4664" spans="1:19">
      <c r="A4664" s="149" t="s">
        <v>6856</v>
      </c>
      <c r="B4664" s="150" t="str">
        <f>IFERROR(VLOOKUP(Proc[[#This Row],[App]],Table2[],3,0),"open")</f>
        <v>open</v>
      </c>
      <c r="C4664" s="149" t="s">
        <v>370</v>
      </c>
      <c r="D4664" t="s">
        <v>6840</v>
      </c>
      <c r="E4664" t="s">
        <v>2368</v>
      </c>
      <c r="F4664" s="150"/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0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on track</v>
      </c>
      <c r="Q4664" s="3">
        <f ca="1">IF(Proc[[#This Row],[DateClosed]]="",ABS(NETWORKDAYS(Proc[[#This Row],[DateOpened]],TODAY()))-1,ABS(NETWORKDAYS(Proc[[#This Row],[DateOpened]],Proc[[#This Row],[DateClosed]]))-1)</f>
        <v>3</v>
      </c>
      <c r="R4664" s="168" t="s">
        <v>489</v>
      </c>
      <c r="S4664" s="150"/>
    </row>
    <row r="4665" spans="1:19">
      <c r="A4665" s="149" t="s">
        <v>6856</v>
      </c>
      <c r="B4665" s="150" t="str">
        <f>IFERROR(VLOOKUP(Proc[[#This Row],[App]],Table2[],3,0),"open")</f>
        <v>open</v>
      </c>
      <c r="C4665" s="149" t="s">
        <v>370</v>
      </c>
      <c r="D4665" t="s">
        <v>6841</v>
      </c>
      <c r="E4665" t="s">
        <v>2368</v>
      </c>
      <c r="F4665" s="150"/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0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on track</v>
      </c>
      <c r="Q4665" s="3">
        <f ca="1">IF(Proc[[#This Row],[DateClosed]]="",ABS(NETWORKDAYS(Proc[[#This Row],[DateOpened]],TODAY()))-1,ABS(NETWORKDAYS(Proc[[#This Row],[DateOpened]],Proc[[#This Row],[DateClosed]]))-1)</f>
        <v>3</v>
      </c>
      <c r="R4665" s="168" t="s">
        <v>489</v>
      </c>
      <c r="S4665" s="150"/>
    </row>
    <row r="4666" spans="1:19">
      <c r="A4666" s="149" t="s">
        <v>6856</v>
      </c>
      <c r="B4666" s="150" t="str">
        <f>IFERROR(VLOOKUP(Proc[[#This Row],[App]],Table2[],3,0),"open")</f>
        <v>open</v>
      </c>
      <c r="C4666" s="149" t="s">
        <v>370</v>
      </c>
      <c r="D4666" t="s">
        <v>6842</v>
      </c>
      <c r="E4666" t="s">
        <v>2368</v>
      </c>
      <c r="F4666" s="150"/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0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on track</v>
      </c>
      <c r="Q4666" s="3">
        <f ca="1">IF(Proc[[#This Row],[DateClosed]]="",ABS(NETWORKDAYS(Proc[[#This Row],[DateOpened]],TODAY()))-1,ABS(NETWORKDAYS(Proc[[#This Row],[DateOpened]],Proc[[#This Row],[DateClosed]]))-1)</f>
        <v>3</v>
      </c>
      <c r="R4666" s="168" t="s">
        <v>489</v>
      </c>
      <c r="S4666" s="150"/>
    </row>
    <row r="4667" spans="1:19">
      <c r="A4667" s="149" t="s">
        <v>6856</v>
      </c>
      <c r="B4667" s="150" t="str">
        <f>IFERROR(VLOOKUP(Proc[[#This Row],[App]],Table2[],3,0),"open")</f>
        <v>open</v>
      </c>
      <c r="C4667" s="149" t="s">
        <v>370</v>
      </c>
      <c r="D4667" t="s">
        <v>6843</v>
      </c>
      <c r="E4667" t="s">
        <v>6851</v>
      </c>
      <c r="F4667" s="150"/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0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on track</v>
      </c>
      <c r="Q4667" s="3">
        <f ca="1">IF(Proc[[#This Row],[DateClosed]]="",ABS(NETWORKDAYS(Proc[[#This Row],[DateOpened]],TODAY()))-1,ABS(NETWORKDAYS(Proc[[#This Row],[DateOpened]],Proc[[#This Row],[DateClosed]]))-1)</f>
        <v>3</v>
      </c>
      <c r="R4667" s="168" t="s">
        <v>489</v>
      </c>
      <c r="S4667" s="150"/>
    </row>
    <row r="4668" spans="1:19">
      <c r="A4668" s="149" t="s">
        <v>6856</v>
      </c>
      <c r="B4668" s="150" t="str">
        <f>IFERROR(VLOOKUP(Proc[[#This Row],[App]],Table2[],3,0),"open")</f>
        <v>open</v>
      </c>
      <c r="C4668" s="149" t="s">
        <v>370</v>
      </c>
      <c r="D4668" t="s">
        <v>6844</v>
      </c>
      <c r="E4668" t="s">
        <v>6852</v>
      </c>
      <c r="F4668" s="150"/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0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on track</v>
      </c>
      <c r="Q4668" s="3">
        <f ca="1">IF(Proc[[#This Row],[DateClosed]]="",ABS(NETWORKDAYS(Proc[[#This Row],[DateOpened]],TODAY()))-1,ABS(NETWORKDAYS(Proc[[#This Row],[DateOpened]],Proc[[#This Row],[DateClosed]]))-1)</f>
        <v>3</v>
      </c>
      <c r="R4668" s="168" t="s">
        <v>489</v>
      </c>
      <c r="S4668" s="150"/>
    </row>
    <row r="4669" spans="1:19">
      <c r="A4669" s="149" t="s">
        <v>6856</v>
      </c>
      <c r="B4669" s="150" t="str">
        <f>IFERROR(VLOOKUP(Proc[[#This Row],[App]],Table2[],3,0),"open")</f>
        <v>open</v>
      </c>
      <c r="C4669" s="149" t="s">
        <v>370</v>
      </c>
      <c r="D4669" t="s">
        <v>6845</v>
      </c>
      <c r="E4669" t="s">
        <v>6531</v>
      </c>
      <c r="F4669" s="150"/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0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on track</v>
      </c>
      <c r="Q4669" s="3">
        <f ca="1">IF(Proc[[#This Row],[DateClosed]]="",ABS(NETWORKDAYS(Proc[[#This Row],[DateOpened]],TODAY()))-1,ABS(NETWORKDAYS(Proc[[#This Row],[DateOpened]],Proc[[#This Row],[DateClosed]]))-1)</f>
        <v>3</v>
      </c>
      <c r="R4669" s="168" t="s">
        <v>489</v>
      </c>
      <c r="S4669" s="150"/>
    </row>
    <row r="4670" spans="1:19">
      <c r="A4670" s="149" t="s">
        <v>6856</v>
      </c>
      <c r="B4670" s="150" t="str">
        <f>IFERROR(VLOOKUP(Proc[[#This Row],[App]],Table2[],3,0),"open")</f>
        <v>open</v>
      </c>
      <c r="C4670" s="149" t="s">
        <v>370</v>
      </c>
      <c r="D4670" t="s">
        <v>6846</v>
      </c>
      <c r="E4670" t="s">
        <v>6853</v>
      </c>
      <c r="F4670" s="150"/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0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on track</v>
      </c>
      <c r="Q4670" s="3">
        <f ca="1">IF(Proc[[#This Row],[DateClosed]]="",ABS(NETWORKDAYS(Proc[[#This Row],[DateOpened]],TODAY()))-1,ABS(NETWORKDAYS(Proc[[#This Row],[DateOpened]],Proc[[#This Row],[DateClosed]]))-1)</f>
        <v>3</v>
      </c>
      <c r="R4670" s="168" t="s">
        <v>489</v>
      </c>
      <c r="S4670" s="150"/>
    </row>
    <row r="4671" spans="1:19">
      <c r="A4671" s="149" t="s">
        <v>6856</v>
      </c>
      <c r="B4671" s="150" t="str">
        <f>IFERROR(VLOOKUP(Proc[[#This Row],[App]],Table2[],3,0),"open")</f>
        <v>open</v>
      </c>
      <c r="C4671" s="149" t="s">
        <v>370</v>
      </c>
      <c r="D4671" t="s">
        <v>6847</v>
      </c>
      <c r="E4671" t="s">
        <v>447</v>
      </c>
      <c r="F4671" s="150"/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0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on track</v>
      </c>
      <c r="Q4671" s="3">
        <f ca="1">IF(Proc[[#This Row],[DateClosed]]="",ABS(NETWORKDAYS(Proc[[#This Row],[DateOpened]],TODAY()))-1,ABS(NETWORKDAYS(Proc[[#This Row],[DateOpened]],Proc[[#This Row],[DateClosed]]))-1)</f>
        <v>3</v>
      </c>
      <c r="R4671" s="168" t="s">
        <v>489</v>
      </c>
      <c r="S4671" s="150"/>
    </row>
    <row r="4672" spans="1:19">
      <c r="A4672" s="149" t="s">
        <v>6856</v>
      </c>
      <c r="B4672" s="150" t="str">
        <f>IFERROR(VLOOKUP(Proc[[#This Row],[App]],Table2[],3,0),"open")</f>
        <v>open</v>
      </c>
      <c r="C4672" s="149" t="s">
        <v>370</v>
      </c>
      <c r="D4672" t="s">
        <v>6848</v>
      </c>
      <c r="E4672" t="s">
        <v>496</v>
      </c>
      <c r="F4672" s="150"/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0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on track</v>
      </c>
      <c r="Q4672" s="3">
        <f ca="1">IF(Proc[[#This Row],[DateClosed]]="",ABS(NETWORKDAYS(Proc[[#This Row],[DateOpened]],TODAY()))-1,ABS(NETWORKDAYS(Proc[[#This Row],[DateOpened]],Proc[[#This Row],[DateClosed]]))-1)</f>
        <v>3</v>
      </c>
      <c r="R4672" s="168" t="s">
        <v>489</v>
      </c>
      <c r="S4672" s="150"/>
    </row>
    <row r="4673" spans="1:19">
      <c r="A4673" s="149" t="s">
        <v>6856</v>
      </c>
      <c r="B4673" s="150" t="str">
        <f>IFERROR(VLOOKUP(Proc[[#This Row],[App]],Table2[],3,0),"open")</f>
        <v>open</v>
      </c>
      <c r="C4673" s="149" t="s">
        <v>370</v>
      </c>
      <c r="D4673" t="s">
        <v>6849</v>
      </c>
      <c r="E4673" t="s">
        <v>6854</v>
      </c>
      <c r="F4673" s="150"/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0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on track</v>
      </c>
      <c r="Q4673" s="3">
        <f ca="1">IF(Proc[[#This Row],[DateClosed]]="",ABS(NETWORKDAYS(Proc[[#This Row],[DateOpened]],TODAY()))-1,ABS(NETWORKDAYS(Proc[[#This Row],[DateOpened]],Proc[[#This Row],[DateClosed]]))-1)</f>
        <v>3</v>
      </c>
      <c r="R4673" s="168" t="s">
        <v>489</v>
      </c>
      <c r="S4673" s="150"/>
    </row>
    <row r="4674" spans="1:19">
      <c r="A4674" s="149" t="s">
        <v>6856</v>
      </c>
      <c r="B4674" s="150" t="str">
        <f>IFERROR(VLOOKUP(Proc[[#This Row],[App]],Table2[],3,0),"open")</f>
        <v>open</v>
      </c>
      <c r="C4674" s="149" t="s">
        <v>370</v>
      </c>
      <c r="D4674" t="s">
        <v>6850</v>
      </c>
      <c r="E4674" t="s">
        <v>6855</v>
      </c>
      <c r="F4674" s="150"/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0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on track</v>
      </c>
      <c r="Q4674" s="3">
        <f ca="1">IF(Proc[[#This Row],[DateClosed]]="",ABS(NETWORKDAYS(Proc[[#This Row],[DateOpened]],TODAY()))-1,ABS(NETWORKDAYS(Proc[[#This Row],[DateOpened]],Proc[[#This Row],[DateClosed]]))-1)</f>
        <v>3</v>
      </c>
      <c r="R4674" s="168" t="s">
        <v>489</v>
      </c>
      <c r="S4674" s="150"/>
    </row>
    <row r="4675" spans="1:19">
      <c r="A4675" s="149" t="s">
        <v>6856</v>
      </c>
      <c r="B4675" s="150" t="str">
        <f>IFERROR(VLOOKUP(Proc[[#This Row],[App]],Table2[],3,0),"open")</f>
        <v>open</v>
      </c>
      <c r="C4675" s="149" t="s">
        <v>370</v>
      </c>
      <c r="D4675" t="s">
        <v>6834</v>
      </c>
      <c r="E4675" t="s">
        <v>2206</v>
      </c>
      <c r="F4675" s="150"/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0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on track</v>
      </c>
      <c r="Q4675" s="3">
        <f ca="1">IF(Proc[[#This Row],[DateClosed]]="",ABS(NETWORKDAYS(Proc[[#This Row],[DateOpened]],TODAY()))-1,ABS(NETWORKDAYS(Proc[[#This Row],[DateOpened]],Proc[[#This Row],[DateClosed]]))-1)</f>
        <v>3</v>
      </c>
      <c r="R4675" s="168" t="s">
        <v>489</v>
      </c>
      <c r="S4675" s="150"/>
    </row>
    <row r="4676" spans="1:19">
      <c r="A4676" s="149" t="s">
        <v>6856</v>
      </c>
      <c r="B4676" s="150" t="str">
        <f>IFERROR(VLOOKUP(Proc[[#This Row],[App]],Table2[],3,0),"open")</f>
        <v>open</v>
      </c>
      <c r="C4676" s="149" t="s">
        <v>370</v>
      </c>
      <c r="D4676" t="s">
        <v>6835</v>
      </c>
      <c r="E4676" t="s">
        <v>2206</v>
      </c>
      <c r="F4676" s="150"/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0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on track</v>
      </c>
      <c r="Q4676" s="3">
        <f ca="1">IF(Proc[[#This Row],[DateClosed]]="",ABS(NETWORKDAYS(Proc[[#This Row],[DateOpened]],TODAY()))-1,ABS(NETWORKDAYS(Proc[[#This Row],[DateOpened]],Proc[[#This Row],[DateClosed]]))-1)</f>
        <v>3</v>
      </c>
      <c r="R4676" s="168" t="s">
        <v>489</v>
      </c>
      <c r="S4676" s="150"/>
    </row>
    <row r="4677" spans="1:19">
      <c r="A4677" t="s">
        <v>6857</v>
      </c>
      <c r="B4677" s="150" t="str">
        <f>IFERROR(VLOOKUP(Proc[[#This Row],[App]],Table2[],3,0),"open")</f>
        <v>open</v>
      </c>
      <c r="C4677" s="149" t="s">
        <v>370</v>
      </c>
      <c r="D4677" t="s">
        <v>6858</v>
      </c>
      <c r="E4677" t="s">
        <v>6865</v>
      </c>
      <c r="F4677" s="150" t="s">
        <v>6872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0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0</v>
      </c>
      <c r="R4677" s="170" t="s">
        <v>6869</v>
      </c>
      <c r="S4677" s="150"/>
    </row>
    <row r="4678" spans="1:19">
      <c r="A4678" t="s">
        <v>6857</v>
      </c>
      <c r="B4678" s="150" t="str">
        <f>IFERROR(VLOOKUP(Proc[[#This Row],[App]],Table2[],3,0),"open")</f>
        <v>open</v>
      </c>
      <c r="C4678" s="149" t="s">
        <v>370</v>
      </c>
      <c r="D4678" t="s">
        <v>6859</v>
      </c>
      <c r="E4678" t="s">
        <v>6866</v>
      </c>
      <c r="F4678" s="150" t="s">
        <v>6872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0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0</v>
      </c>
      <c r="R4678" s="170" t="s">
        <v>6869</v>
      </c>
      <c r="S4678" s="150"/>
    </row>
    <row r="4679" spans="1:19">
      <c r="A4679" s="149" t="s">
        <v>6857</v>
      </c>
      <c r="B4679" s="150" t="str">
        <f>IFERROR(VLOOKUP(Proc[[#This Row],[App]],Table2[],3,0),"open")</f>
        <v>open</v>
      </c>
      <c r="C4679" s="149" t="s">
        <v>370</v>
      </c>
      <c r="D4679" t="s">
        <v>6860</v>
      </c>
      <c r="E4679" t="s">
        <v>6865</v>
      </c>
      <c r="F4679" s="150" t="s">
        <v>6872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0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0</v>
      </c>
      <c r="R4679" s="170" t="s">
        <v>6869</v>
      </c>
      <c r="S4679" s="150"/>
    </row>
    <row r="4680" spans="1:19">
      <c r="A4680" s="149" t="s">
        <v>6857</v>
      </c>
      <c r="B4680" s="150" t="str">
        <f>IFERROR(VLOOKUP(Proc[[#This Row],[App]],Table2[],3,0),"open")</f>
        <v>open</v>
      </c>
      <c r="C4680" s="149" t="s">
        <v>370</v>
      </c>
      <c r="D4680" t="s">
        <v>6861</v>
      </c>
      <c r="E4680" t="s">
        <v>6865</v>
      </c>
      <c r="F4680" s="150" t="s">
        <v>6872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0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0</v>
      </c>
      <c r="R4680" s="170" t="s">
        <v>6869</v>
      </c>
      <c r="S4680" s="150"/>
    </row>
    <row r="4681" spans="1:19">
      <c r="A4681" s="149" t="s">
        <v>6857</v>
      </c>
      <c r="B4681" s="150" t="str">
        <f>IFERROR(VLOOKUP(Proc[[#This Row],[App]],Table2[],3,0),"open")</f>
        <v>open</v>
      </c>
      <c r="C4681" s="149" t="s">
        <v>370</v>
      </c>
      <c r="D4681" t="s">
        <v>6862</v>
      </c>
      <c r="E4681" t="s">
        <v>6867</v>
      </c>
      <c r="F4681" s="150" t="s">
        <v>6872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0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0</v>
      </c>
      <c r="R4681" s="170" t="s">
        <v>6869</v>
      </c>
      <c r="S4681" s="150"/>
    </row>
    <row r="4682" spans="1:19">
      <c r="A4682" s="149" t="s">
        <v>6857</v>
      </c>
      <c r="B4682" s="150" t="str">
        <f>IFERROR(VLOOKUP(Proc[[#This Row],[App]],Table2[],3,0),"open")</f>
        <v>open</v>
      </c>
      <c r="C4682" s="149" t="s">
        <v>370</v>
      </c>
      <c r="D4682" t="s">
        <v>6863</v>
      </c>
      <c r="E4682" t="s">
        <v>6868</v>
      </c>
      <c r="F4682" s="150" t="s">
        <v>6872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0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0</v>
      </c>
      <c r="R4682" s="170" t="s">
        <v>6869</v>
      </c>
      <c r="S4682" s="150"/>
    </row>
    <row r="4683" spans="1:19">
      <c r="A4683" s="149" t="s">
        <v>6857</v>
      </c>
      <c r="B4683" s="150" t="str">
        <f>IFERROR(VLOOKUP(Proc[[#This Row],[App]],Table2[],3,0),"open")</f>
        <v>open</v>
      </c>
      <c r="C4683" s="149" t="s">
        <v>370</v>
      </c>
      <c r="D4683" t="s">
        <v>6864</v>
      </c>
      <c r="E4683" t="s">
        <v>6865</v>
      </c>
      <c r="F4683" s="150" t="s">
        <v>6873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0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0</v>
      </c>
      <c r="R4683" s="170" t="s">
        <v>6869</v>
      </c>
      <c r="S4683" s="150"/>
    </row>
    <row r="4684" spans="1:19">
      <c r="A4684" t="s">
        <v>6874</v>
      </c>
      <c r="B4684" s="150" t="str">
        <f>IFERROR(VLOOKUP(Proc[[#This Row],[App]],Table2[],3,0),"open")</f>
        <v>open</v>
      </c>
      <c r="C4684" s="149" t="s">
        <v>370</v>
      </c>
      <c r="D4684" t="s">
        <v>6870</v>
      </c>
      <c r="E4684" t="s">
        <v>540</v>
      </c>
      <c r="F4684" s="150" t="s">
        <v>6871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0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0</v>
      </c>
      <c r="R4684" s="170" t="s">
        <v>515</v>
      </c>
      <c r="S4684" s="150"/>
    </row>
    <row r="4685" spans="1:19">
      <c r="A4685" t="s">
        <v>6877</v>
      </c>
      <c r="B4685" s="150" t="str">
        <f>IFERROR(VLOOKUP(Proc[[#This Row],[App]],Table2[],3,0),"open")</f>
        <v>open</v>
      </c>
      <c r="C4685" s="149" t="s">
        <v>370</v>
      </c>
      <c r="D4685" t="s">
        <v>6875</v>
      </c>
      <c r="E4685" t="s">
        <v>6884</v>
      </c>
      <c r="F4685" s="150" t="s">
        <v>6876</v>
      </c>
      <c r="G4685" s="149" t="s">
        <v>400</v>
      </c>
      <c r="H4685" s="150" t="str">
        <f>IF(Proc[[#This Row],[type]]="LFF (MDG-F)",MID(Proc[[#This Row],[Obj]],13,10),"")</f>
        <v/>
      </c>
      <c r="J4685" s="150" t="b">
        <f>Proc[[#This Row],[Requested]]=Proc[[#This Row],[CurrentParent]]</f>
        <v>0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0</v>
      </c>
      <c r="R4685" s="170" t="s">
        <v>5682</v>
      </c>
      <c r="S4685" s="150"/>
    </row>
    <row r="4686" spans="1:19">
      <c r="A4686" t="s">
        <v>6880</v>
      </c>
      <c r="B4686" s="150" t="str">
        <f>IFERROR(VLOOKUP(Proc[[#This Row],[App]],Table2[],3,0),"open")</f>
        <v>open</v>
      </c>
      <c r="C4686" s="149" t="s">
        <v>404</v>
      </c>
      <c r="D4686" t="s">
        <v>6878</v>
      </c>
      <c r="E4686" t="s">
        <v>6885</v>
      </c>
      <c r="F4686" s="150" t="s">
        <v>6879</v>
      </c>
      <c r="G4686" s="149" t="s">
        <v>400</v>
      </c>
      <c r="H4686" s="150" t="str">
        <f>IF(Proc[[#This Row],[type]]="LFF (MDG-F)",MID(Proc[[#This Row],[Obj]],13,10),"")</f>
        <v/>
      </c>
      <c r="J4686" s="150" t="b">
        <f>Proc[[#This Row],[Requested]]=Proc[[#This Row],[CurrentParent]]</f>
        <v>0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0</v>
      </c>
      <c r="R4686" s="170" t="s">
        <v>478</v>
      </c>
      <c r="S4686" s="150"/>
    </row>
    <row r="4687" spans="1:19">
      <c r="A4687" t="s">
        <v>6882</v>
      </c>
      <c r="B4687" s="150" t="str">
        <f>IFERROR(VLOOKUP(Proc[[#This Row],[App]],Table2[],3,0),"open")</f>
        <v>open</v>
      </c>
      <c r="C4687" s="149" t="s">
        <v>404</v>
      </c>
      <c r="D4687" t="s">
        <v>6881</v>
      </c>
      <c r="E4687" t="s">
        <v>6883</v>
      </c>
      <c r="F4687" s="150" t="s">
        <v>2338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0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0</v>
      </c>
      <c r="R4687" s="170" t="s">
        <v>5682</v>
      </c>
      <c r="S4687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G2:G4687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33" workbookViewId="0">
      <selection activeCell="D147" sqref="D147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6869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2025-11-17T06:37:58Z</dcterms:modified>
  <cp:category/>
  <cp:contentStatus/>
</cp:coreProperties>
</file>