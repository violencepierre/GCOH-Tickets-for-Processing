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F99ADBFC-884E-4D40-996E-67544B1A79D4}" xr6:coauthVersionLast="47" xr6:coauthVersionMax="47" xr10:uidLastSave="{00000000-0000-0000-0000-000000000000}"/>
  <bookViews>
    <workbookView xWindow="-28920" yWindow="-120" windowWidth="29040" windowHeight="157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936" i="1" l="1"/>
  <c r="F2935" i="1"/>
  <c r="F2934" i="1"/>
  <c r="F2933" i="1"/>
  <c r="F2932" i="1"/>
  <c r="F2931" i="1"/>
  <c r="F2930" i="1"/>
  <c r="F2929" i="1"/>
  <c r="F2928" i="1"/>
  <c r="J2928" i="1" s="1"/>
  <c r="F2927" i="1"/>
  <c r="F2926" i="1"/>
  <c r="J2926" i="1" s="1"/>
  <c r="F2925" i="1"/>
  <c r="J2925" i="1" s="1"/>
  <c r="F2924" i="1"/>
  <c r="J2924" i="1" s="1"/>
  <c r="F2923" i="1"/>
  <c r="J2923" i="1" s="1"/>
  <c r="F2922" i="1"/>
  <c r="J2922" i="1" s="1"/>
  <c r="F2921" i="1"/>
  <c r="J2921" i="1" s="1"/>
  <c r="F2920" i="1"/>
  <c r="F2919" i="1"/>
  <c r="F2918" i="1"/>
  <c r="F2917" i="1"/>
  <c r="F2916" i="1"/>
  <c r="F2915" i="1"/>
  <c r="F2914" i="1"/>
  <c r="F2913" i="1"/>
  <c r="F2912" i="1"/>
  <c r="J2930" i="1"/>
  <c r="J2927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0" i="1"/>
  <c r="J2929" i="1"/>
  <c r="J2931" i="1"/>
  <c r="J2932" i="1"/>
  <c r="J2933" i="1"/>
  <c r="J2934" i="1"/>
  <c r="J2935" i="1"/>
  <c r="J2936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B2919" i="1"/>
  <c r="H2919" i="1"/>
  <c r="J2919" i="1"/>
  <c r="K2919" i="1"/>
  <c r="Q2919" i="1"/>
  <c r="P2919" i="1" s="1"/>
  <c r="B1" i="28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<sst xmlns="http://schemas.openxmlformats.org/spreadsheetml/2006/main" count="27280" uniqueCount="4974">
  <si>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</si>
  <si>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</si>
  <si>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</si>
  <si>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</si>
  <si>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</si>
  <si>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</si>
  <si>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</si>
  <si>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</si>
  <si>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</si>
  <si>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</si>
  <si>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</si>
  <si>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</si>
  <si>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</si>
  <si>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</si>
  <si>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</si>
  <si>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</si>
  <si>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</si>
  <si>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</si>
  <si>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</si>
  <si>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</si>
  <si>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</si>
  <si>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</si>
  <si>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</si>
  <si>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</si>
  <si>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</si>
  <si>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</si>
  <si>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</si>
  <si>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</si>
  <si>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</si>
  <si>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</si>
  <si>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</si>
  <si>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</si>
  <si>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</si>
  <si>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</si>
  <si>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</si>
  <si>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</si>
  <si>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</si>
  <si>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</si>
  <si>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</si>
  <si>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</si>
  <si>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</si>
  <si>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</si>
  <si>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</si>
  <si>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</si>
  <si>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</si>
  <si>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</si>
  <si>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</si>
  <si>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</si>
  <si>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</si>
  <si>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</si>
  <si>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</si>
  <si>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</si>
  <si>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</si>
  <si>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</si>
  <si>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</si>
  <si>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</si>
  <si>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</si>
  <si>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</si>
  <si>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</si>
  <si>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</si>
  <si>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</si>
  <si>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</si>
  <si>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</si>
  <si>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</si>
  <si>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</si>
  <si>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</si>
  <si>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</si>
  <si>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</si>
  <si>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</si>
  <si>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</si>
  <si>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</si>
  <si>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</si>
  <si>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</si>
  <si>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</si>
  <si>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</si>
  <si>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</si>
  <si>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</si>
  <si>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</si>
  <si>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</si>
  <si>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</si>
  <si>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</si>
  <si>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</si>
  <si>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</si>
  <si>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</si>
  <si>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</si>
  <si>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</si>
  <si>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</si>
  <si>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</si>
  <si>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</si>
  <si>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</si>
  <si>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</si>
  <si>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</si>
  <si>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</si>
  <si>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</si>
  <si>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</si>
  <si>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</si>
  <si>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</si>
  <si>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</si>
  <si>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</si>
  <si>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</si>
  <si>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</si>
  <si>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</si>
  <si>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</si>
  <si>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</si>
  <si>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</si>
  <si>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</si>
  <si>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</si>
  <si>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</si>
  <si>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</si>
  <si>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</si>
  <si>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</si>
  <si>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</si>
  <si>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</si>
  <si>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</si>
  <si>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</si>
  <si>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</si>
  <si>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</si>
  <si>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</si>
  <si>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</si>
  <si>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</si>
  <si>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</si>
  <si>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</si>
  <si>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</si>
  <si>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</si>
  <si>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</si>
  <si>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</si>
  <si>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</si>
  <si>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</si>
  <si>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</si>
  <si>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</si>
  <si>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</si>
  <si>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</si>
  <si>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</si>
  <si>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</si>
  <si>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</si>
  <si>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</si>
  <si>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</si>
  <si>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</si>
  <si>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</si>
  <si>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</si>
  <si>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</si>
  <si>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</si>
  <si>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</si>
  <si>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</si>
  <si>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</si>
  <si>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</si>
  <si>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</si>
  <si>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</si>
  <si>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</si>
  <si>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</si>
  <si>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</si>
  <si>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</si>
  <si>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</si>
  <si>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</si>
  <si>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</si>
  <si>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</si>
  <si>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</si>
  <si>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</si>
  <si>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</si>
  <si>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</si>
  <si>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</si>
  <si>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</si>
  <si>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</si>
  <si>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</si>
  <si>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</si>
  <si>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</si>
  <si>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</si>
  <si>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</si>
  <si>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</si>
  <si>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</si>
  <si>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</si>
  <si>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</si>
  <si>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</si>
  <si>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</si>
  <si>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</si>
  <si>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</si>
  <si>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</si>
  <si>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</si>
  <si>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</si>
  <si>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</si>
  <si>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</si>
  <si>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</si>
  <si>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</si>
  <si>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</si>
  <si>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</si>
  <si>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</si>
  <si>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</si>
  <si>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</si>
  <si>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</si>
  <si>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</si>
  <si>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</si>
  <si>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</si>
  <si>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</si>
  <si>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</si>
  <si>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</si>
  <si>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</si>
  <si>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</si>
  <si>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</si>
  <si>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</si>
  <si>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</si>
  <si>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</si>
  <si>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</si>
  <si>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</si>
  <si>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</si>
  <si>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</si>
  <si>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</si>
  <si>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</si>
  <si>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</si>
  <si>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</si>
  <si>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</si>
  <si>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</si>
  <si>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</si>
  <si>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</si>
  <si>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</si>
  <si>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</si>
  <si>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</si>
  <si>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</si>
  <si>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</si>
  <si>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</si>
  <si>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</si>
  <si>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</si>
  <si>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</si>
  <si>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</si>
  <si>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</si>
  <si>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</si>
  <si>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</si>
  <si>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</si>
  <si>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</si>
  <si>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</si>
  <si>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</si>
  <si>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</si>
  <si>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</si>
  <si>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</si>
  <si>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</si>
  <si>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</si>
  <si>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</si>
  <si>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</si>
  <si>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</si>
  <si>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</si>
  <si>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</si>
  <si>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</si>
  <si>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</si>
  <si>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</si>
  <si>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</si>
  <si>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</si>
  <si>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</si>
  <si>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</si>
  <si>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</si>
  <si>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</si>
  <si>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</si>
  <si>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</si>
  <si>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</si>
  <si>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</si>
  <si>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</si>
  <si>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</si>
  <si>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</si>
  <si>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</si>
  <si>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</si>
  <si>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</si>
  <si>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</si>
  <si>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</si>
  <si>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</si>
  <si>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</si>
  <si>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</si>
  <si>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</si>
  <si>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</si>
  <si>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</si>
  <si>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</si>
  <si>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</si>
  <si>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</si>
  <si>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</si>
  <si>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</si>
  <si>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</si>
  <si>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</si>
  <si>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</si>
  <si>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</si>
  <si>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</si>
  <si>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</si>
  <si>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</si>
  <si>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</si>
  <si>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</si>
  <si>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</si>
  <si>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</si>
  <si>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</si>
  <si>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</si>
  <si>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</si>
  <si>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</si>
  <si>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</si>
  <si>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</si>
  <si>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</si>
  <si>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</si>
  <si>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</si>
  <si>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</si>
  <si>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</si>
  <si>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</si>
  <si>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</si>
  <si>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</si>
  <si>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</si>
  <si>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</si>
  <si>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</si>
  <si>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</si>
  <si>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</si>
  <si>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</si>
  <si>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</si>
  <si>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</si>
  <si>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</si>
  <si>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</si>
  <si>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</si>
  <si>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</si>
  <si>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</si>
  <si>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</si>
  <si>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</si>
  <si>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</si>
  <si>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</si>
  <si>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</si>
  <si>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</si>
  <si>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</si>
  <si>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</si>
  <si>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</si>
  <si>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</si>
  <si>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</si>
  <si>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</si>
  <si>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</si>
  <si>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</si>
  <si>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</si>
  <si>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</si>
  <si>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</si>
  <si>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</si>
  <si>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</si>
  <si>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</si>
  <si>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</si>
  <si>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</si>
  <si>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</si>
  <si>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</si>
  <si>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</si>
  <si>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</si>
  <si>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</si>
  <si>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</si>
  <si>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</si>
  <si>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</si>
  <si>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</si>
  <si>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</si>
  <si>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</si>
  <si>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</si>
  <si>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</si>
  <si>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</si>
  <si>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</si>
  <si>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</si>
  <si>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</si>
  <si>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</si>
  <si>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</si>
  <si>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</si>
  <si>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</si>
  <si>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</si>
  <si>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</si>
  <si>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</si>
  <si>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</si>
  <si>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</si>
  <si>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</si>
  <si>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</si>
  <si>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</si>
  <si>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</si>
  <si>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</si>
  <si>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</si>
  <si>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</si>
  <si>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</si>
  <si>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</si>
  <si>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</si>
  <si>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</si>
  <si>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</si>
  <si>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</si>
  <si>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</si>
  <si>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</si>
  <si>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</si>
  <si>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</si>
  <si>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</si>
  <si>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</si>
  <si>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</si>
  <si>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</si>
  <si>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</si>
  <si>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</si>
  <si>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</si>
  <si>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</si>
  <si>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</si>
  <si>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</si>
  <si>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</si>
  <si>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</si>
  <si>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</si>
  <si>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</si>
  <si>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</si>
  <si>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</si>
  <si>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</si>
  <si>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</si>
  <si>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</si>
  <si>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</si>
  <si>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</si>
  <si>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</si>
  <si>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</si>
  <si>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</si>
  <si>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</si>
  <si>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</si>
  <si>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</si>
  <si>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</si>
  <si>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</si>
  <si>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</si>
  <si>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</si>
  <si>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</si>
  <si>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</si>
  <si>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</si>
  <si>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</si>
  <si>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</si>
  <si>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</si>
  <si>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</si>
  <si>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</si>
  <si>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</si>
  <si>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</si>
  <si>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</si>
  <si>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</si>
  <si>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</si>
  <si>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</si>
  <si>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</si>
  <si>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</si>
  <si>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</si>
  <si>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</si>
  <si>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</si>
  <si>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</si>
  <si>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</si>
  <si>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</si>
  <si>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</si>
  <si>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</si>
  <si>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</si>
  <si>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</si>
  <si>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</si>
  <si>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</si>
  <si>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</si>
  <si>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</si>
  <si>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</si>
  <si>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</si>
  <si>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</si>
  <si>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</si>
  <si>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</si>
  <si>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</si>
  <si>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</si>
  <si>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</si>
  <si>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</si>
  <si>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</si>
  <si>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</si>
  <si>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</si>
  <si>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</si>
  <si>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</si>
  <si>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</si>
  <si>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</si>
  <si>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</si>
  <si>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</si>
  <si>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</si>
  <si>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</si>
  <si>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</si>
  <si>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</si>
  <si>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</si>
  <si>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</si>
  <si>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</si>
  <si>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</si>
  <si>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</si>
  <si>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</si>
  <si>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</si>
  <si>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</si>
  <si>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</si>
  <si>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</si>
  <si>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</si>
  <si>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</si>
  <si>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</si>
  <si>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</si>
  <si>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</si>
  <si>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</si>
  <si>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</si>
  <si>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</si>
  <si>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</si>
  <si>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</si>
  <si>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</si>
  <si>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</si>
  <si>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</si>
  <si>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</si>
  <si>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</si>
  <si>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</si>
  <si>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</si>
  <si>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</si>
  <si>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</si>
  <si>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</si>
  <si>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</si>
  <si>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</si>
  <si>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</si>
  <si>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</si>
  <si>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</si>
  <si>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</si>
  <si>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</si>
  <si>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</si>
  <si>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</si>
  <si>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</si>
  <si>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</si>
  <si>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</si>
  <si>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</si>
  <si>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</si>
  <si>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</si>
  <si>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</si>
  <si>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</si>
  <si>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</si>
  <si>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</si>
  <si>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</si>
  <si>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</si>
  <si>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</si>
  <si>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</si>
  <si>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</si>
  <si>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</si>
  <si>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</si>
  <si>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</si>
  <si>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</si>
  <si>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</si>
  <si>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</si>
  <si>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</si>
  <si>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</si>
  <si>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</si>
  <si>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</si>
  <si>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</si>
  <si>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</si>
  <si>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</si>
  <si>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</si>
  <si>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</si>
  <si>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</si>
  <si>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</si>
  <si>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</si>
  <si>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</si>
  <si>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</si>
  <si>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</si>
  <si>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</si>
  <si>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</si>
  <si>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</si>
  <si>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</si>
  <si>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</si>
  <si>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</si>
  <si>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</si>
  <si>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</si>
  <si>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</si>
  <si>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</si>
  <si>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</si>
  <si>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</si>
  <si>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</si>
  <si>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</si>
  <si>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</si>
  <si>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</si>
  <si>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</si>
  <si>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</si>
  <si>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</si>
  <si>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</si>
  <si>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</si>
  <si>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</si>
  <si>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</si>
  <si>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</si>
  <si>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</si>
  <si>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</si>
  <si>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</si>
  <si>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</si>
  <si>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</si>
  <si>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</si>
  <si>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</si>
  <si>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</si>
  <si>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</si>
  <si>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</si>
  <si>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</si>
  <si>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</si>
  <si>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</si>
  <si>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</si>
  <si>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</si>
  <si>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</si>
  <si>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</si>
  <si>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</si>
  <si>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</si>
  <si>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</si>
  <si>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</si>
  <si>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</si>
  <si>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</si>
  <si>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</si>
  <si>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</si>
  <si>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</si>
  <si>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</si>
  <si>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</si>
  <si>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</si>
  <si>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</si>
  <si>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</si>
  <si>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</si>
  <si>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</si>
  <si>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</si>
  <si>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</si>
  <si>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</si>
  <si>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</si>
  <si>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</si>
  <si>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</si>
  <si>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</si>
  <si>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</si>
  <si>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</si>
  <si>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</si>
  <si>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</si>
  <si>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</si>
  <si>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</si>
  <si>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</si>
  <si>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</si>
  <si>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</si>
  <si>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</si>
  <si>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</si>
  <si>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</si>
  <si>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</si>
  <si>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</si>
  <si>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</si>
  <si>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</si>
  <si>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</si>
  <si>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</si>
  <si>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</si>
  <si>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</si>
  <si>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</si>
  <si>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</si>
  <si>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</si>
  <si>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</si>
  <si>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</si>
  <si>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</si>
  <si>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</si>
  <si>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</si>
  <si>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</si>
  <si>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</si>
  <si>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</si>
  <si>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</si>
  <si>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</si>
  <si>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</si>
  <si>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</si>
  <si>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</si>
  <si>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</si>
  <si>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</si>
  <si>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</si>
  <si>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</si>
  <si>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</si>
  <si>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</si>
  <si>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</si>
  <si>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</si>
  <si>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</si>
  <si>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</si>
  <si>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</si>
  <si>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</si>
  <si>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</si>
  <si>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</si>
  <si>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</si>
  <si>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</si>
  <si>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</si>
  <si>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</si>
  <si>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</si>
  <si>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</si>
  <si>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</si>
  <si>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</si>
  <si>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</si>
  <si>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</si>
  <si>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</si>
  <si>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</si>
  <si>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</si>
  <si>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</si>
  <si>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</si>
  <si>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</si>
  <si>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</si>
  <si>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</si>
  <si>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</si>
  <si>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</si>
  <si>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</si>
  <si>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</si>
  <si>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</si>
  <si>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</si>
  <si>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</si>
  <si>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</si>
  <si>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</si>
  <si>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</si>
  <si>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</si>
  <si>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</si>
  <si>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</si>
  <si>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</si>
  <si>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</si>
  <si>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</si>
  <si>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</si>
  <si>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</si>
  <si>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</si>
  <si>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</si>
  <si>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</si>
  <si>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</si>
  <si>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</si>
  <si>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</si>
  <si>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</si>
  <si>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</si>
  <si>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</si>
  <si>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</si>
  <si>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</si>
  <si>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</si>
  <si>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</si>
  <si>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</si>
  <si>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</si>
  <si>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</si>
  <si>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</si>
  <si>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</si>
  <si>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</si>
  <si>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</si>
  <si>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</si>
  <si>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</si>
  <si>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</si>
  <si>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</si>
  <si>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</si>
  <si>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</si>
  <si>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</si>
  <si>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</si>
  <si>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</si>
  <si>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</si>
  <si>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</si>
  <si>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</si>
  <si>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</si>
  <si>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</si>
  <si>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</si>
  <si>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</si>
  <si>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</si>
  <si>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</si>
  <si>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</si>
  <si>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</si>
  <si>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</si>
  <si>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</si>
  <si>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</si>
  <si>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</si>
  <si>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</si>
  <si>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</si>
  <si>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</si>
  <si>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</si>
  <si>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</si>
  <si>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</si>
  <si>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</si>
  <si>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</si>
  <si>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</si>
  <si>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</si>
  <si>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</si>
  <si>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</si>
  <si>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</si>
  <si>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</si>
  <si>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</si>
  <si>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</si>
  <si>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</si>
  <si>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</si>
  <si>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</si>
  <si>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</si>
  <si>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</si>
  <si>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</si>
  <si>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</si>
  <si>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</si>
  <si>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</si>
  <si>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</si>
  <si>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</si>
  <si>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</si>
  <si>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</si>
  <si>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</si>
  <si>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</si>
  <si>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</si>
  <si>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</si>
  <si>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</si>
  <si>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</si>
  <si>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</si>
  <si>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</si>
  <si>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</si>
  <si>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</si>
  <si>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</si>
  <si>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</si>
  <si>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</si>
  <si>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</si>
  <si>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</si>
  <si>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</si>
  <si>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</si>
  <si>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</si>
  <si>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</si>
  <si>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</si>
  <si>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</si>
  <si>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</si>
  <si>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</si>
  <si>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</si>
  <si>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</si>
  <si>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</si>
  <si>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</si>
  <si>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</si>
  <si>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</si>
  <si>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</si>
  <si>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</si>
  <si>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</si>
  <si>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</si>
  <si>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</si>
  <si>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</si>
  <si>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</si>
  <si>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</si>
  <si>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</si>
  <si>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</si>
  <si>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</si>
  <si>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</si>
  <si>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</si>
  <si>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</si>
  <si>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</si>
  <si>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</si>
  <si>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</si>
  <si>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</si>
  <si>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</si>
  <si>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</si>
  <si>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</si>
  <si>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</si>
  <si>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</si>
  <si>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</si>
  <si>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</si>
  <si>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</si>
  <si>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</si>
  <si>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</si>
  <si>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</si>
  <si>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</si>
  <si>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</si>
  <si>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</si>
  <si>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</si>
  <si>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</si>
  <si>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</si>
  <si>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</si>
  <si>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</si>
  <si>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</si>
  <si>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</si>
  <si>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</si>
  <si>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</si>
  <si>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</si>
  <si>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</si>
  <si>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</si>
  <si>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</si>
  <si>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</si>
  <si>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</si>
  <si>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</si>
  <si>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</si>
  <si>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</si>
  <si>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</si>
  <si>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</si>
  <si>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</si>
  <si>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</si>
  <si>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</si>
  <si>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</si>
  <si>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</si>
  <si>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</si>
  <si>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</si>
  <si>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</si>
  <si>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</si>
  <si>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</si>
  <si>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</si>
  <si>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</si>
  <si>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</si>
  <si>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</si>
  <si>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</si>
  <si>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</si>
  <si>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</si>
  <si>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</si>
  <si>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</si>
  <si>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</si>
  <si>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</si>
  <si>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</si>
  <si>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</si>
  <si>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</si>
  <si>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</si>
  <si>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</si>
  <si>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</si>
  <si>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</si>
  <si>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</si>
  <si>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</si>
  <si>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</si>
  <si>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</si>
  <si>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</si>
  <si>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</si>
  <si>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</si>
  <si>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</si>
  <si>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</si>
  <si>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</si>
  <si>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</si>
  <si>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</si>
  <si>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</si>
  <si>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</si>
  <si>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</si>
  <si>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</si>
  <si>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</si>
  <si>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</si>
  <si>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</si>
  <si>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</si>
  <si>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</si>
  <si>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</si>
  <si>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</si>
  <si>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</si>
  <si>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</si>
  <si>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</si>
  <si>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</si>
  <si>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</si>
  <si>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</si>
  <si>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</si>
  <si>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</si>
  <si>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</si>
  <si>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</si>
  <si>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</si>
  <si>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</si>
  <si>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</si>
  <si>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</si>
  <si>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</si>
  <si>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</si>
  <si>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</si>
  <si>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</si>
  <si>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</si>
  <si>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</si>
  <si>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</si>
  <si>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</si>
  <si>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</si>
  <si>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</si>
  <si>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</si>
  <si>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</si>
  <si>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</si>
  <si>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</si>
  <si>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</si>
  <si>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</si>
  <si>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</si>
  <si>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</si>
  <si>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</si>
  <si>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</si>
  <si>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</si>
  <si>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</si>
  <si>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</si>
  <si>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</si>
  <si>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</si>
  <si>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</si>
  <si>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</si>
  <si>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</si>
  <si>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</si>
  <si>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</si>
  <si>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</si>
  <si>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</si>
  <si>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</si>
  <si>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</si>
  <si>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</si>
  <si>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</si>
  <si>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</si>
  <si>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</si>
  <si>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</si>
  <si>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</si>
  <si>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</si>
  <si>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</si>
  <si>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</si>
  <si>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</si>
  <si>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</si>
  <si>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</si>
  <si>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</si>
  <si>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</si>
  <si>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</si>
  <si>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</si>
  <si>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</si>
  <si>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</si>
  <si>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</si>
  <si>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</si>
  <si>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</si>
  <si>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</si>
  <si>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</si>
  <si>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</si>
  <si>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</si>
  <si>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</si>
  <si>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</si>
  <si>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</si>
  <si>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</si>
  <si>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</si>
  <si>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</si>
  <si>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</si>
  <si>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</si>
  <si>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</si>
  <si>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</si>
  <si>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</si>
  <si>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</si>
  <si>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</si>
  <si>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</si>
  <si>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</si>
  <si>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</si>
  <si>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</si>
  <si>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</si>
  <si>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</si>
  <si>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</si>
  <si>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</si>
  <si>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</si>
  <si>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</si>
  <si>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</si>
  <si>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</si>
  <si>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</si>
  <si>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</si>
  <si>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</si>
  <si>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</si>
  <si>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</si>
  <si>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</si>
  <si>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</si>
  <si>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</si>
  <si>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</si>
  <si>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</si>
  <si>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</si>
  <si>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</si>
  <si>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</si>
  <si>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</si>
  <si>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</si>
  <si>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</si>
  <si>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</si>
  <si>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</si>
  <si>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</si>
  <si>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</si>
  <si>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</si>
  <si>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</si>
  <si>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</si>
  <si>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</si>
  <si>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</si>
  <si>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</si>
  <si>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</si>
  <si>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</si>
  <si>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</si>
  <si>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</si>
  <si>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</si>
  <si>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</si>
  <si>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</si>
  <si>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</si>
  <si>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</si>
  <si>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</si>
  <si>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</si>
  <si>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</si>
  <si>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</si>
  <si>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</si>
  <si>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</si>
  <si>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</si>
  <si>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</si>
  <si>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</si>
  <si>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</si>
  <si>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</si>
  <si>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</si>
  <si>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</si>
  <si>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</si>
  <si>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</si>
  <si>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</si>
  <si>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</si>
  <si>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</si>
  <si>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</si>
  <si>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</si>
  <si>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</si>
  <si>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</si>
  <si>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</si>
  <si>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</si>
  <si>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</si>
  <si>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</si>
  <si>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</si>
  <si>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</si>
  <si>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</si>
  <si>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</si>
  <si>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</si>
  <si>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</si>
  <si>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</si>
  <si>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</si>
  <si>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</si>
  <si>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</si>
  <si>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</si>
  <si>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</si>
  <si>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</si>
  <si>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</si>
  <si>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</si>
  <si>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</si>
  <si>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</si>
  <si>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</si>
  <si>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</si>
  <si>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</si>
  <si>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</si>
  <si>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</si>
  <si>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</si>
  <si>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</si>
  <si>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</si>
  <si>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</si>
  <si>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</si>
  <si>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</si>
  <si>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</si>
  <si>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</si>
  <si>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</si>
  <si>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</si>
  <si>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</si>
  <si>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</si>
  <si>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</si>
  <si>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</si>
  <si>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</si>
  <si>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</si>
  <si>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</si>
  <si>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</si>
  <si>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</si>
  <si>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</si>
  <si>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</si>
  <si>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</si>
  <si>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</si>
  <si>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</si>
  <si>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</si>
  <si>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</si>
  <si>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</si>
  <si>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</si>
  <si>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</si>
  <si>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</si>
  <si>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</si>
  <si>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</si>
  <si>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</si>
  <si>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</si>
  <si>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</si>
  <si>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</si>
  <si>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</si>
  <si>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</si>
  <si>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</si>
  <si>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</si>
  <si>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</si>
  <si>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</si>
  <si>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</si>
  <si>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</si>
  <si>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</si>
  <si>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</si>
  <si>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</si>
  <si>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</si>
  <si>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</si>
  <si>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</si>
  <si>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</si>
  <si>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</si>
  <si>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</si>
  <si>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</si>
  <si>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</si>
  <si>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</si>
  <si>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</si>
  <si>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</si>
  <si>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</si>
  <si>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</si>
  <si>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</si>
  <si>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</si>
  <si>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</si>
  <si>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</si>
  <si>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</si>
  <si>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</si>
  <si>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</si>
  <si>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</si>
  <si>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</si>
  <si>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</si>
  <si>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</si>
  <si>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</si>
  <si>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</si>
  <si>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</si>
  <si>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</si>
  <si>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</si>
  <si>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</si>
  <si>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</si>
  <si>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</si>
  <si>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</si>
  <si>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</si>
  <si>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</si>
  <si>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</si>
  <si>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</si>
  <si>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</si>
  <si>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</si>
  <si>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</si>
  <si>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</si>
  <si>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</si>
  <si>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</si>
  <si>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</si>
  <si>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</si>
  <si>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</si>
  <si>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</si>
  <si>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</si>
  <si>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</si>
  <si>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</si>
  <si>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</si>
  <si>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</si>
  <si>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</si>
  <si>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</si>
  <si>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</si>
  <si>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</si>
  <si>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</si>
  <si>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</si>
  <si>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</si>
  <si>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</si>
  <si>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</si>
  <si>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</si>
  <si>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</si>
  <si>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</si>
  <si>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</si>
  <si>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</si>
  <si>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</si>
  <si>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</si>
  <si>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</si>
  <si>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</si>
  <si>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</si>
  <si>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</si>
  <si>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</si>
  <si>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</si>
  <si>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</si>
  <si>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</si>
  <si>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</si>
  <si>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</si>
  <si>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</si>
  <si>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</si>
  <si>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</si>
  <si>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</si>
  <si>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</si>
  <si>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</si>
  <si>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</si>
  <si>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</si>
  <si>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</si>
  <si>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</si>
  <si>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</si>
  <si>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</si>
  <si>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</si>
  <si>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</si>
  <si>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</si>
  <si>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</si>
  <si>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</si>
  <si>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</si>
  <si>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</si>
  <si>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</si>
  <si>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</si>
  <si>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</si>
  <si>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</si>
  <si>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</si>
  <si>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</si>
  <si>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</si>
  <si>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</si>
  <si>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</si>
  <si>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</si>
  <si>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</si>
  <si>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</si>
  <si>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</si>
  <si>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</si>
  <si>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</si>
  <si>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</si>
  <si>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</si>
  <si>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</si>
  <si>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</si>
  <si>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</si>
  <si>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</si>
  <si>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</si>
  <si>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</si>
  <si>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</si>
  <si>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</si>
  <si>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</si>
  <si>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</si>
  <si>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</si>
  <si>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</si>
  <si>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</si>
  <si>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</si>
  <si>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</si>
  <si>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</si>
  <si>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</si>
  <si>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</si>
  <si>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</si>
  <si>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</si>
  <si>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</si>
  <si>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</si>
  <si>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</si>
  <si>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</si>
  <si>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</si>
  <si>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</si>
  <si>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</si>
  <si>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</si>
  <si>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</si>
  <si>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</si>
  <si>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</si>
  <si>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</si>
  <si>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</si>
  <si>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</si>
  <si>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</si>
  <si>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</si>
  <si>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</si>
  <si>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</si>
  <si>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</si>
  <si>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</si>
  <si>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</si>
  <si>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</si>
  <si>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</si>
  <si>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</si>
  <si>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</si>
  <si>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</si>
  <si>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</si>
  <si>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</si>
  <si>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</si>
  <si>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</si>
  <si>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</si>
  <si>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</si>
  <si>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</si>
  <si>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</si>
  <si>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</si>
  <si>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</si>
  <si>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</si>
  <si>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</si>
  <si>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</si>
  <si>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</si>
  <si>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</si>
  <si>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</si>
  <si>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</si>
  <si>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</si>
  <si>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</si>
  <si>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</si>
  <si>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</si>
  <si>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</si>
  <si>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</si>
  <si>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</si>
  <si>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</si>
  <si>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</si>
  <si>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</si>
  <si>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</si>
  <si>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</si>
  <si>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</si>
  <si>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</si>
  <si>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</si>
  <si>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</si>
  <si>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</si>
  <si>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</si>
  <si>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</si>
  <si>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</si>
  <si>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</si>
  <si>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</si>
  <si>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</si>
  <si>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</si>
  <si>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</si>
  <si>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</si>
  <si>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</si>
  <si>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</si>
  <si>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</si>
  <si>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</si>
  <si>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</si>
  <si>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</si>
  <si>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</si>
  <si>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</si>
  <si>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</si>
  <si>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</si>
  <si>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</si>
  <si>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</si>
  <si>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</si>
  <si>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</si>
  <si>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</si>
  <si>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</si>
  <si>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</si>
  <si>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</si>
  <si>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</si>
  <si>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</si>
  <si>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</si>
  <si>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</si>
  <si>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</si>
  <si>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</si>
  <si>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</si>
  <si>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</si>
  <si>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</si>
  <si>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</si>
  <si>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</si>
  <si>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</si>
  <si>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</si>
  <si>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</si>
  <si>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</si>
  <si>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</si>
  <si>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</si>
  <si>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</si>
  <si>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</si>
  <si>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</si>
  <si>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</si>
  <si>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</si>
  <si>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</si>
  <si>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</si>
  <si>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</si>
  <si>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</si>
  <si>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</si>
  <si>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</si>
  <si>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</si>
  <si>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</si>
  <si>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</si>
  <si>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</si>
  <si>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</si>
  <si>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</si>
  <si>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</si>
  <si>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</si>
  <si>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</si>
  <si>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</si>
  <si>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</si>
  <si>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</si>
  <si>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</si>
  <si>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</si>
  <si>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</si>
  <si>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</si>
  <si>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</si>
  <si>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</si>
  <si>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</si>
  <si>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</si>
  <si>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</si>
  <si>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</si>
  <si>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</si>
  <si>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</si>
  <si>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</si>
  <si>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</si>
  <si>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</si>
  <si>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</si>
  <si>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</si>
  <si>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</si>
  <si>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</si>
  <si>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</si>
  <si>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</si>
  <si>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</si>
  <si>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</si>
  <si>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</si>
  <si>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</si>
  <si>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</si>
  <si>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</si>
  <si>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</si>
  <si>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</si>
  <si>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</si>
  <si>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</si>
  <si>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</si>
  <si>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</si>
  <si>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</si>
  <si>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</si>
  <si>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</si>
  <si>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</si>
  <si>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</si>
  <si>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</si>
  <si>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</si>
  <si>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</si>
  <si>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</si>
  <si>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</si>
  <si>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</si>
  <si>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</si>
  <si>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</si>
  <si>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</si>
  <si>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</si>
  <si>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</si>
  <si>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</si>
  <si>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</si>
  <si>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</si>
  <si>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</si>
  <si>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</si>
  <si>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</si>
  <si>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</si>
  <si>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</si>
  <si>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</si>
  <si>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</si>
  <si>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</si>
  <si>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</si>
  <si>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</si>
  <si>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</si>
  <si>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</si>
  <si>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</si>
  <si>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</si>
  <si>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</si>
  <si>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</si>
  <si>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</si>
  <si>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</si>
  <si>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</si>
  <si>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</si>
  <si>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</si>
  <si>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</si>
  <si>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</si>
  <si>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</si>
  <si>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</si>
  <si>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</si>
  <si>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</si>
  <si>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</si>
  <si>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</si>
  <si>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</si>
  <si>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</si>
  <si>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</si>
  <si>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</si>
  <si>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</si>
  <si>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</si>
  <si>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</si>
  <si>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</si>
  <si>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</si>
  <si>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</si>
  <si>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</si>
  <si>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</si>
  <si>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</si>
  <si>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</si>
  <si>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</si>
  <si>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</si>
  <si>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</si>
  <si>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</si>
  <si>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</si>
  <si>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</si>
  <si>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</si>
  <si>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</si>
  <si>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</si>
  <si>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</si>
  <si>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</si>
  <si>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</si>
  <si>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</si>
  <si>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</si>
  <si>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</si>
  <si>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</si>
  <si>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</si>
  <si>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</si>
  <si>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</si>
  <si>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</si>
  <si>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</si>
  <si>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</si>
  <si>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</si>
  <si>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</si>
  <si>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</si>
  <si>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</si>
  <si>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</si>
  <si>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</si>
  <si>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</si>
  <si>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</si>
  <si>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</si>
  <si>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</si>
  <si>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</si>
  <si>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</si>
  <si>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</si>
  <si>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</si>
  <si>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</si>
  <si>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</si>
  <si>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</si>
  <si>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</si>
  <si>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</si>
  <si>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</si>
  <si>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</si>
  <si>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</si>
  <si>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</si>
  <si>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</si>
  <si>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</si>
  <si>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</si>
  <si>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</si>
  <si>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</si>
  <si>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</si>
  <si>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</si>
  <si>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</si>
  <si>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</si>
  <si>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</si>
  <si>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</si>
  <si>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</si>
  <si>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</si>
  <si>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</si>
  <si>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</si>
  <si>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</si>
  <si>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</si>
  <si>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</si>
  <si>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</si>
  <si>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</si>
  <si>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</si>
  <si>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</si>
  <si>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</si>
  <si>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</si>
  <si>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</si>
  <si>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</si>
  <si>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</si>
  <si>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</si>
  <si>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</si>
  <si>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</si>
  <si>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</si>
  <si>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</si>
  <si>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</si>
  <si>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</si>
  <si>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</si>
  <si>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</si>
  <si>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</si>
  <si>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</si>
  <si>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</si>
  <si>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</si>
  <si>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</si>
  <si>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</si>
  <si>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</si>
  <si>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</si>
  <si>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</si>
  <si>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</si>
  <si>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</si>
  <si>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</si>
  <si>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</si>
  <si>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</si>
  <si>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</si>
  <si>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</si>
  <si>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</si>
  <si>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</si>
  <si>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</si>
  <si>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</si>
  <si>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</si>
  <si>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</si>
  <si>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</si>
  <si>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</si>
  <si>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</si>
  <si>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</si>
  <si>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</si>
  <si>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</si>
  <si>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</si>
  <si>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</si>
  <si>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</si>
  <si>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</si>
  <si>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</si>
  <si>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</si>
  <si>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</si>
  <si>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</si>
  <si>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</si>
  <si>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</si>
  <si>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</si>
  <si>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</si>
  <si>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</si>
  <si>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</si>
  <si>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</si>
  <si>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</si>
  <si>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</si>
  <si>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</si>
  <si>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</si>
  <si>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</si>
  <si>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</si>
  <si>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</si>
  <si>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</si>
  <si>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</si>
  <si>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</si>
  <si>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</si>
  <si>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</si>
  <si>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</si>
  <si>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</si>
  <si>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</si>
  <si>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</si>
  <si>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</si>
  <si>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</si>
  <si>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</si>
  <si>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</si>
  <si>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</si>
  <si>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</si>
  <si>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</si>
  <si>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</si>
  <si>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</si>
  <si>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</si>
  <si>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</si>
  <si>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</si>
  <si>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</si>
  <si>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</si>
  <si>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</si>
  <si>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</si>
  <si>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</si>
  <si>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</si>
  <si>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</si>
  <si>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</si>
  <si>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</si>
  <si>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</si>
  <si>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</si>
  <si>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</si>
  <si>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</si>
  <si>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</si>
  <si>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</si>
  <si>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</si>
  <si>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</si>
  <si>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</si>
  <si>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</si>
  <si>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</si>
  <si>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</si>
  <si>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</si>
  <si>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</si>
  <si>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</si>
  <si>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</si>
  <si>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</si>
  <si>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</si>
  <si>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</si>
  <si>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</si>
  <si>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</si>
  <si>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</si>
  <si>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</si>
  <si>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</si>
  <si>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</si>
  <si>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</si>
  <si>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</si>
  <si>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</si>
  <si>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</si>
  <si>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</si>
  <si>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</si>
  <si>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</si>
  <si>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</si>
  <si>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</si>
  <si>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</si>
  <si>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</si>
  <si>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</si>
  <si>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</si>
  <si>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</si>
  <si>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</si>
  <si>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</si>
  <si>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</si>
  <si>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</si>
  <si>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</si>
  <si>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</si>
  <si>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</si>
  <si>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</si>
  <si>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</si>
  <si>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</si>
  <si>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</si>
  <si>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</si>
  <si>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</si>
  <si>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</si>
  <si>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</si>
  <si>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</si>
  <si>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</si>
  <si>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</si>
  <si>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</si>
  <si>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</si>
  <si>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</si>
  <si>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</si>
  <si>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</si>
  <si>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</si>
  <si>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</si>
  <si>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</si>
  <si>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</si>
  <si>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</si>
  <si>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</si>
  <si>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</si>
  <si>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</si>
  <si>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</si>
  <si>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</si>
  <si>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</si>
  <si>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</si>
  <si>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</si>
  <si>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</si>
  <si>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</si>
  <si>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</si>
  <si>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</si>
  <si>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</si>
  <si>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</si>
  <si>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</si>
  <si>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</si>
  <si>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</si>
  <si>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</si>
  <si>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</si>
  <si>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</si>
  <si>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</si>
  <si>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</si>
  <si>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</si>
  <si>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</si>
  <si>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</si>
  <si>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</si>
  <si>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</si>
  <si>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</si>
  <si>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</si>
  <si>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</si>
  <si>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</si>
  <si>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</si>
  <si>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</si>
  <si>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</si>
  <si>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</si>
  <si>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</si>
  <si>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</si>
  <si>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</si>
  <si>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</si>
  <si>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</si>
  <si>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</si>
  <si>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</si>
  <si>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</si>
  <si>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</si>
  <si>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</si>
  <si>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</si>
  <si>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</si>
  <si>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</si>
  <si>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</si>
  <si>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</si>
  <si>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</si>
  <si>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</si>
  <si>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</si>
  <si>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</si>
  <si>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</si>
  <si>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</si>
  <si>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</si>
  <si>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</si>
  <si>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</si>
  <si>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</si>
  <si>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</si>
  <si>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</si>
  <si>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</si>
  <si>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</si>
  <si>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</si>
  <si>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</si>
  <si>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</si>
  <si>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</si>
  <si>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</si>
  <si>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</si>
  <si>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</si>
  <si>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</si>
  <si>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</si>
  <si>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</si>
  <si>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</si>
  <si>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</si>
  <si>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</si>
  <si>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</si>
  <si>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</si>
  <si>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</si>
  <si>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</si>
  <si>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</si>
  <si>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</si>
  <si>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</si>
  <si>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</si>
  <si>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</si>
  <si>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</si>
  <si>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</si>
  <si>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</si>
  <si>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</si>
  <si>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</si>
  <si>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</si>
  <si>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</si>
  <si>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</si>
  <si>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</si>
  <si>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</si>
  <si>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</si>
  <si>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</si>
  <si>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</si>
  <si>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</si>
  <si>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</si>
  <si>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</si>
  <si>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</si>
  <si>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</si>
  <si>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</si>
  <si>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</si>
  <si>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</si>
  <si>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</si>
  <si>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</si>
  <si>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</si>
  <si>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</si>
  <si>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</si>
  <si>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</si>
  <si>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</si>
  <si>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</si>
  <si>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</si>
  <si>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</si>
  <si>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</si>
  <si>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</si>
  <si>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</si>
  <si>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</si>
  <si>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</si>
  <si>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</si>
  <si>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</si>
  <si>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</si>
  <si>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</si>
  <si>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</si>
  <si>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</si>
  <si>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</si>
  <si>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</si>
  <si>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</si>
  <si>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</si>
  <si>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</si>
  <si>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</si>
  <si>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</si>
  <si>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</si>
  <si>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</si>
  <si>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</si>
  <si>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</si>
  <si>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</si>
  <si>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</si>
  <si>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</si>
  <si>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</si>
  <si>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</si>
  <si>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</si>
  <si>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</si>
  <si>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</si>
  <si>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</si>
  <si>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</si>
  <si>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</si>
  <si>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</si>
  <si>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</si>
  <si>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</si>
  <si>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</si>
  <si>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</si>
  <si>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</si>
  <si>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</si>
  <si>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</si>
  <si>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</si>
  <si>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</si>
  <si>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</si>
  <si>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</si>
  <si>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</si>
  <si>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</si>
  <si>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</si>
  <si>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</si>
  <si>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</si>
  <si>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</si>
  <si>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</si>
  <si>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</si>
  <si>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</si>
  <si>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</si>
  <si>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</si>
  <si>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</si>
  <si>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</si>
  <si>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</si>
  <si>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</si>
  <si>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</si>
  <si>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</si>
  <si>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</si>
  <si>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</si>
  <si>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</si>
  <si>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</si>
  <si>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</si>
  <si>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</si>
  <si>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</si>
  <si>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</si>
  <si>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</si>
  <si>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</si>
  <si>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</si>
  <si>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</si>
  <si>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</si>
  <si>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</si>
  <si>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</si>
  <si>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</si>
  <si>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</si>
  <si>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</si>
  <si>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</si>
  <si>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</si>
  <si>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</si>
  <si>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</si>
  <si>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</si>
  <si>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</si>
  <si>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</si>
  <si>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</si>
  <si>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</si>
  <si>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</si>
  <si>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</si>
  <si>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</si>
  <si>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</si>
  <si>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</si>
  <si>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</si>
  <si>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</si>
  <si>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</si>
  <si>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</si>
  <si>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</si>
  <si>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</si>
  <si>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</si>
  <si>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</si>
  <si>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</si>
  <si>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</si>
  <si>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</si>
  <si>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</si>
  <si>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</si>
  <si>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</si>
  <si>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</si>
  <si>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</si>
  <si>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</si>
  <si>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</si>
  <si>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</si>
  <si>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</si>
  <si>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</si>
  <si>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</si>
  <si>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</si>
  <si>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</si>
  <si>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</si>
  <si>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</si>
  <si>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</si>
  <si>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</si>
  <si>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</si>
  <si>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</si>
  <si>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</si>
  <si>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</si>
  <si>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</si>
  <si>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</si>
  <si>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</si>
  <si>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</si>
  <si>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</si>
  <si>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</si>
  <si>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</si>
  <si>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</si>
  <si>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</si>
  <si>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</si>
  <si>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</si>
  <si>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</si>
  <si>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</si>
  <si>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</si>
  <si>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</si>
  <si>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</si>
  <si>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</si>
  <si>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</si>
  <si>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</si>
  <si>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</si>
  <si>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</si>
  <si>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</si>
  <si>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</si>
  <si>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</si>
  <si>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</si>
  <si>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</si>
  <si>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</si>
  <si>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</si>
  <si>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</si>
  <si>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</si>
  <si>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</si>
  <si>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</si>
  <si>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</si>
  <si>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</si>
  <si>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</si>
  <si>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</si>
  <si>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</si>
  <si>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</si>
  <si>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</si>
  <si>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</si>
  <si>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</si>
  <si>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</si>
  <si>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</si>
  <si>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</si>
  <si>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</si>
  <si>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</si>
  <si>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</si>
  <si>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</si>
  <si>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</si>
  <si>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</si>
  <si>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</si>
  <si>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</si>
  <si>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</si>
  <si>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</si>
  <si>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</si>
  <si>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</si>
  <si>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</si>
  <si>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</si>
  <si>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</si>
  <si>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</si>
  <si>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</si>
  <si>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</si>
  <si>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</si>
  <si>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</si>
  <si>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</si>
  <si>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</si>
  <si>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</si>
  <si>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</si>
  <si>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</si>
  <si>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</si>
  <si>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</si>
  <si>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</si>
  <si>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</si>
  <si>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</si>
  <si>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</si>
  <si>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</si>
  <si>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</si>
  <si>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</si>
  <si>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</si>
  <si>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</si>
  <si>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</si>
  <si>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</si>
  <si>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</si>
  <si>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</si>
  <si>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</si>
  <si>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</si>
  <si>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</si>
  <si>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</si>
  <si>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</si>
  <si>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</si>
  <si>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</si>
  <si>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</si>
  <si>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</si>
  <si>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</si>
  <si>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</si>
  <si>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</si>
  <si>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</si>
  <si>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</si>
  <si>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</si>
  <si>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</si>
  <si>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</si>
  <si>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</si>
  <si>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</si>
  <si>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</si>
  <si>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</si>
  <si>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</si>
  <si>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</si>
  <si>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</si>
  <si>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</si>
  <si>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</si>
  <si>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</si>
  <si>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</si>
  <si>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</si>
  <si>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</si>
  <si>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</si>
  <si>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</si>
  <si>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</si>
  <si>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</si>
  <si>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</si>
  <si>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</si>
  <si>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</si>
  <si>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</si>
  <si>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</si>
  <si>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</si>
  <si>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</si>
  <si>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</si>
  <si>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</si>
  <si>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</si>
  <si>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</si>
  <si>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</si>
  <si>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</si>
  <si>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</si>
  <si>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</si>
  <si>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</si>
  <si>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</si>
  <si>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</si>
  <si>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</si>
  <si>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</si>
  <si>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</si>
  <si>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</si>
  <si>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</si>
  <si>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</si>
  <si>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</si>
  <si>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</si>
  <si>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</si>
  <si>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</si>
  <si>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</si>
  <si>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</si>
  <si>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</si>
  <si>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</si>
  <si>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</si>
  <si>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</si>
  <si>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</si>
  <si>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</si>
  <si>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</si>
  <si>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</si>
  <si>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</si>
  <si>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</si>
  <si>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</si>
  <si>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</si>
  <si>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</si>
  <si>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</si>
  <si>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</si>
  <si>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</si>
  <si>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</si>
  <si>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</si>
  <si>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</si>
  <si>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</si>
  <si>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</si>
  <si>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</si>
  <si>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</si>
  <si>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</si>
  <si>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</si>
  <si>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</si>
  <si>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</si>
  <si>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</si>
  <si>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</si>
  <si>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</si>
  <si>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</si>
  <si>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</si>
  <si>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</si>
  <si>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</si>
  <si>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</si>
  <si>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</si>
  <si>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</si>
  <si>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</si>
  <si>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</si>
  <si>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</si>
  <si>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</si>
  <si>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</si>
  <si>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</si>
  <si>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</si>
  <si>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</si>
  <si>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</si>
  <si>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</si>
  <si>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</si>
  <si>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</si>
  <si>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</si>
  <si>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</si>
  <si>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</si>
  <si>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</si>
  <si>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</si>
  <si>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</si>
  <si>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</si>
  <si>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</si>
  <si>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</si>
  <si>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</si>
  <si>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</si>
  <si>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</si>
  <si>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</si>
  <si>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</si>
  <si>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</si>
  <si>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</si>
  <si>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</si>
  <si>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</si>
  <si>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</si>
  <si>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</si>
  <si>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</si>
  <si>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</si>
  <si>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</si>
  <si>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</si>
  <si>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</si>
  <si>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</si>
  <si>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</si>
  <si>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</si>
  <si>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</si>
  <si>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</si>
  <si>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</si>
  <si>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</si>
  <si>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</si>
  <si>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</si>
  <si>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</si>
  <si>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</si>
  <si>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</si>
  <si>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</si>
  <si>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</si>
  <si>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</si>
  <si>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</si>
  <si>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</si>
  <si>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</si>
  <si>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</si>
  <si>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</si>
  <si>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</si>
  <si>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</si>
  <si>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</si>
  <si>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</si>
  <si>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</si>
  <si>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</si>
  <si>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</si>
  <si>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</si>
  <si>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</si>
  <si>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</si>
  <si>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</si>
  <si>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</si>
  <si>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</si>
  <si>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</si>
  <si>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</si>
  <si>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</si>
  <si>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</si>
  <si>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</si>
  <si>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</si>
  <si>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</si>
  <si>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</si>
  <si>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</si>
  <si>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</si>
  <si>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</si>
  <si>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</si>
  <si>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</si>
  <si>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</si>
  <si>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</si>
  <si>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</si>
  <si>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</si>
  <si>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</si>
  <si>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</si>
  <si>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</si>
  <si>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</si>
  <si>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</si>
  <si>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</si>
  <si>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</si>
  <si>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</si>
  <si>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</si>
  <si>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</si>
  <si>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</si>
  <si>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</si>
  <si>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</si>
  <si>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</si>
  <si>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</si>
  <si>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</si>
  <si>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</si>
  <si>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</si>
  <si>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</si>
  <si>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</si>
  <si>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</si>
  <si>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</si>
  <si>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</si>
  <si>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</si>
  <si>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</si>
  <si>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</si>
  <si>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</si>
  <si>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</si>
  <si>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</si>
  <si>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</si>
  <si>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</si>
  <si>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</si>
  <si>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</si>
  <si>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</si>
  <si>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</si>
  <si>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</si>
  <si>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</si>
  <si>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</si>
  <si>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</si>
  <si>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</si>
  <si>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</si>
  <si>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</si>
  <si>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</si>
  <si>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</si>
  <si>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</si>
  <si>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</si>
  <si>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</si>
  <si>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</si>
  <si>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</si>
  <si>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</si>
  <si>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</si>
  <si>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</si>
  <si>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</si>
  <si>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</si>
  <si>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</si>
  <si>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</si>
  <si>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</si>
  <si>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</si>
  <si>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</si>
  <si>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</si>
  <si>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</si>
  <si>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</si>
  <si>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</si>
  <si>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</si>
  <si>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</si>
  <si>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</si>
  <si>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</si>
  <si>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</si>
  <si>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</si>
  <si>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</si>
  <si>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</si>
  <si>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</si>
  <si>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</si>
  <si>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</si>
  <si>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</si>
  <si>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</si>
  <si>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</si>
  <si>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</si>
  <si>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</si>
  <si>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</si>
  <si>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</si>
  <si>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</si>
  <si>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</si>
  <si>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</si>
  <si>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</si>
  <si>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</si>
  <si>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</si>
  <si>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</si>
  <si>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</si>
  <si>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</si>
  <si>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</si>
  <si>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</si>
  <si>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</si>
  <si>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</si>
  <si>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</si>
  <si>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</si>
  <si>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</si>
  <si>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</si>
  <si>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</si>
  <si>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</si>
  <si>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</si>
  <si>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</si>
  <si>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</si>
  <si>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</si>
  <si>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</si>
  <si>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</si>
  <si>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</si>
  <si>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</si>
  <si>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</si>
  <si>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</si>
  <si>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</si>
  <si>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</si>
  <si>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</si>
  <si>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</si>
  <si>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</si>
  <si>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</si>
  <si>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</si>
  <si>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</si>
  <si>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</si>
  <si>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</si>
  <si>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</si>
  <si>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</si>
  <si>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</si>
  <si>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</si>
  <si>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</si>
  <si>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</si>
  <si>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</si>
  <si>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</si>
  <si>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</si>
  <si>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</si>
  <si>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</si>
  <si>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</si>
  <si>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</si>
  <si>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</si>
  <si>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</si>
  <si>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</si>
  <si>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</si>
  <si>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</si>
  <si>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</si>
  <si>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</si>
  <si>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</si>
  <si>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</si>
  <si>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</si>
  <si>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</si>
  <si>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</si>
  <si>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</si>
  <si>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</si>
  <si>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</si>
  <si>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</si>
  <si>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</si>
  <si>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</si>
  <si>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</si>
  <si>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</si>
  <si>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</si>
  <si>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</si>
  <si>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</si>
  <si>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</si>
  <si>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</si>
  <si>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</si>
  <si>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</si>
  <si>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</si>
  <si>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</si>
  <si>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</si>
  <si>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</si>
  <si>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</si>
  <si>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</si>
  <si>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</si>
  <si>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</si>
  <si>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</si>
  <si>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</si>
  <si>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</si>
  <si>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</si>
  <si>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</si>
  <si>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</si>
  <si>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</si>
  <si>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</si>
  <si>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</si>
  <si>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</si>
  <si>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</si>
  <si>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</si>
  <si>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</si>
  <si>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</si>
  <si>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</si>
  <si>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</si>
  <si>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</si>
  <si>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</si>
  <si>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</si>
  <si>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</si>
  <si>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</si>
  <si>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</si>
  <si>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</si>
  <si>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</si>
  <si>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</si>
  <si>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</si>
  <si>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</si>
  <si>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</si>
  <si>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</si>
  <si>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</si>
  <si>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</si>
  <si>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</si>
  <si>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</si>
  <si>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</si>
  <si>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</si>
  <si>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</si>
  <si>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</si>
  <si>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</si>
  <si>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</si>
  <si>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</si>
  <si>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</si>
  <si>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</si>
  <si>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</si>
  <si>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</si>
  <si>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</si>
  <si>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</si>
  <si>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</si>
  <si>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</si>
  <si>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</si>
  <si>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</si>
  <si>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</si>
  <si>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</si>
  <si>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</si>
  <si>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</si>
  <si>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</si>
  <si>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</si>
  <si>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</si>
  <si>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</si>
  <si>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</si>
  <si>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</si>
  <si>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</si>
  <si>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</si>
  <si>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</si>
  <si>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</si>
  <si>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</si>
  <si>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</si>
  <si>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</si>
  <si>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</si>
  <si>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</si>
  <si>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</si>
  <si>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</si>
  <si>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</si>
  <si>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</si>
  <si>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</si>
  <si>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</si>
  <si>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</si>
  <si>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</si>
  <si>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</si>
  <si>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</si>
  <si>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</si>
  <si>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</si>
  <si>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</si>
  <si>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</si>
  <si>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</si>
  <si>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</si>
  <si>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</si>
  <si>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</si>
  <si>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</si>
  <si>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</si>
  <si>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</si>
  <si>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</si>
  <si>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</si>
  <si>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</si>
  <si>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</si>
  <si>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</si>
  <si>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</si>
  <si>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</si>
  <si>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</si>
  <si>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</si>
  <si>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</si>
  <si>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</si>
  <si>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</si>
  <si>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</si>
  <si>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</si>
  <si>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</si>
  <si>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</si>
  <si>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</si>
  <si>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</si>
  <si>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</si>
  <si>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</si>
  <si>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</si>
  <si>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</si>
  <si>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</si>
  <si>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</si>
  <si>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</si>
  <si>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</si>
  <si>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</si>
  <si>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</si>
  <si>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</si>
  <si>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</si>
  <si>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</si>
  <si>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</si>
  <si>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</si>
  <si>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</si>
  <si>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</si>
  <si>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</si>
  <si>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</si>
  <si>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</si>
  <si>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</si>
  <si>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</si>
  <si>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</si>
  <si>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</si>
  <si>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</si>
  <si>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</si>
  <si>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</si>
  <si>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</si>
  <si>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</si>
  <si>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</si>
  <si>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</si>
  <si>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</si>
  <si>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</si>
  <si>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</si>
  <si>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</si>
  <si>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</si>
  <si>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</si>
  <si>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</si>
  <si>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</si>
  <si>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</si>
  <si>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</si>
  <si>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</si>
  <si>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</si>
  <si>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</si>
  <si>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</si>
  <si>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</si>
  <si>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</si>
  <si>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</si>
  <si>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</si>
  <si>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</si>
  <si>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</si>
  <si>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</si>
  <si>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</si>
  <si>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</si>
  <si>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</si>
  <si>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</si>
  <si>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</si>
  <si>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</si>
  <si>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</si>
  <si>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</si>
  <si>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</si>
  <si>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</si>
  <si>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</si>
  <si>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</si>
  <si>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</si>
  <si>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</si>
  <si>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</si>
  <si>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</si>
  <si>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</si>
  <si>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</si>
  <si>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</si>
  <si>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</si>
  <si>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</si>
  <si>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</si>
  <si>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</si>
  <si>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</si>
  <si>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</si>
  <si>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</si>
  <si>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</si>
  <si>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</si>
  <si>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</si>
  <si>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</si>
  <si>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</si>
  <si>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</si>
  <si>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</si>
  <si>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</si>
  <si>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</si>
  <si>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</si>
  <si>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</si>
  <si>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</si>
  <si>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</si>
  <si>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</si>
  <si>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</si>
  <si>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</si>
  <si>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</si>
  <si>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</si>
  <si>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</si>
  <si>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</si>
  <si>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</si>
  <si>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</si>
  <si>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</si>
  <si>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</si>
  <si>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</si>
  <si>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</si>
  <si>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</si>
  <si>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</si>
  <si>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</si>
  <si>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</si>
  <si>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</si>
  <si>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</si>
  <si>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</si>
  <si>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</si>
  <si>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</si>
  <si>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</si>
  <si>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</si>
  <si>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</si>
  <si>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</si>
  <si>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</si>
  <si>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</si>
  <si>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</si>
  <si>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</si>
  <si>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</si>
  <si>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</si>
  <si>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</si>
  <si>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</si>
  <si>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</si>
  <si>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</si>
  <si>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</si>
  <si>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</si>
  <si>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</si>
  <si>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</si>
  <si>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</si>
  <si>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</si>
  <si>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</si>
  <si>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</si>
  <si>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</si>
  <si>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</si>
  <si>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</si>
  <si>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</si>
  <si>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</si>
  <si>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</si>
  <si>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</si>
  <si>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</si>
  <si>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</si>
  <si>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</si>
  <si>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</si>
  <si>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</si>
  <si>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</si>
  <si>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</si>
  <si>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</si>
  <si>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</si>
  <si>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</si>
  <si>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</si>
  <si>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</si>
  <si>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</si>
  <si>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</si>
  <si>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</si>
  <si>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</si>
  <si>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</si>
  <si>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</si>
  <si>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</si>
  <si>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</si>
  <si>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</si>
  <si>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</si>
  <si>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</si>
  <si>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</si>
  <si>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</si>
  <si>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</si>
  <si>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</si>
  <si>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</si>
  <si>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</si>
  <si>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</si>
  <si>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</si>
  <si>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</si>
  <si>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</si>
  <si>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</si>
  <si>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</si>
  <si>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</si>
  <si>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</si>
  <si>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</si>
  <si>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</si>
  <si>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</si>
  <si>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</si>
  <si>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</si>
  <si>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</si>
  <si>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</si>
  <si>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</si>
  <si>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</si>
  <si>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</si>
  <si>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</si>
  <si>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</si>
  <si>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</si>
  <si>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</si>
  <si>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</si>
  <si>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</si>
  <si>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</si>
  <si>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</si>
  <si>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</si>
  <si>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</si>
  <si>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</si>
  <si>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</si>
  <si>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</si>
  <si>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</si>
  <si>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</si>
  <si>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</si>
  <si>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</si>
  <si>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</si>
  <si>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</si>
  <si>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</si>
  <si>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</si>
  <si>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</si>
  <si>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</si>
  <si>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</si>
  <si>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</si>
  <si>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</si>
  <si>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</si>
  <si>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</si>
  <si>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</si>
  <si>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</si>
  <si>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</si>
  <si>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</si>
  <si>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</si>
  <si>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</si>
  <si>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</si>
  <si>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</si>
  <si>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</si>
  <si>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</si>
  <si>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</si>
  <si>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</si>
  <si>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</si>
  <si>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</si>
  <si>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</si>
  <si>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</si>
  <si>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</si>
  <si>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</si>
  <si>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</si>
  <si>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</si>
  <si>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</si>
  <si>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</si>
  <si>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</si>
  <si>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</si>
  <si>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</si>
  <si>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</si>
  <si>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</si>
  <si>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</si>
  <si>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</si>
  <si>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</si>
  <si>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</si>
  <si>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</si>
  <si>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</si>
  <si>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</si>
  <si>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</si>
  <si>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</si>
  <si>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</si>
  <si>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</si>
  <si>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</si>
  <si>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</si>
  <si>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</si>
  <si>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</si>
  <si>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</si>
  <si>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</si>
  <si>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</si>
  <si>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</si>
  <si>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</si>
  <si>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</si>
  <si>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</si>
  <si>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</si>
  <si>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</si>
  <si>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</si>
  <si>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</si>
  <si>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</si>
  <si>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</si>
  <si>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</si>
  <si>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</si>
  <si>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</si>
  <si>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</si>
  <si>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</si>
  <si>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</si>
  <si>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</si>
  <si>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</si>
  <si>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</si>
  <si>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</si>
  <si>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</si>
  <si>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</si>
  <si>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</si>
  <si>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</si>
  <si>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</si>
  <si>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</si>
  <si>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</si>
  <si>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</si>
  <si>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</si>
  <si>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</si>
  <si>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</si>
  <si>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</si>
  <si>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</si>
  <si>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</si>
  <si>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</si>
  <si>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</si>
  <si>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</si>
  <si>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</si>
  <si>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</si>
  <si>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</si>
  <si>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</si>
  <si>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</si>
  <si>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</si>
  <si>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</si>
  <si>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</si>
  <si>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</si>
  <si>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</si>
  <si>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</si>
  <si>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</si>
  <si>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</si>
  <si>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</si>
  <si>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</si>
  <si>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</si>
  <si>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</si>
  <si>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</si>
  <si>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</si>
  <si>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</si>
  <si>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</si>
  <si>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</si>
  <si>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</si>
  <si>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</si>
  <si>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</si>
  <si>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</si>
  <si>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</si>
  <si>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</si>
  <si>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</si>
  <si>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</si>
  <si>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</si>
  <si>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</si>
  <si>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</si>
  <si>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</si>
  <si>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</si>
  <si>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</si>
  <si>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</si>
  <si>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</si>
  <si>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</si>
  <si>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</si>
  <si>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</si>
  <si>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</si>
  <si>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</si>
  <si>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</si>
  <si>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</si>
  <si>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</si>
  <si>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</si>
  <si>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</si>
  <si>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</si>
  <si>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</si>
  <si>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</si>
  <si>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</si>
  <si>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</si>
  <si>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</si>
  <si>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</si>
  <si>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</si>
  <si>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</si>
  <si>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</si>
  <si>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</si>
  <si>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</si>
  <si>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</si>
  <si>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</si>
  <si>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</si>
  <si>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</si>
  <si>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</si>
  <si>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</si>
  <si>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</si>
  <si>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</si>
  <si>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</si>
  <si>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</si>
  <si>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</si>
  <si>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</si>
  <si>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</si>
  <si>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</si>
  <si>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</si>
  <si>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</si>
  <si>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</si>
  <si>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</si>
  <si>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</si>
  <si>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</si>
  <si>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</si>
  <si>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</si>
  <si>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</si>
  <si>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</si>
  <si>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</si>
  <si>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</si>
  <si>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</si>
  <si>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</si>
  <si>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</si>
  <si>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</si>
  <si>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</si>
  <si>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</si>
  <si>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</si>
  <si>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</si>
  <si>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</si>
  <si>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</si>
  <si>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</si>
  <si>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</si>
  <si>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</si>
  <si>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</si>
  <si>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</si>
  <si>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</si>
  <si>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</si>
  <si>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</si>
  <si>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</si>
  <si>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</si>
  <si>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</si>
  <si>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</si>
  <si>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</si>
  <si>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</si>
  <si>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</si>
  <si>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</si>
  <si>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</si>
  <si>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</si>
  <si>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</si>
  <si>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</si>
  <si>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</si>
  <si>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</si>
  <si>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</si>
  <si>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</si>
  <si>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</si>
  <si>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</si>
  <si>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</si>
  <si>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</si>
  <si>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</si>
  <si>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</si>
  <si>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</si>
  <si>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</si>
  <si>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</si>
  <si>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</si>
  <si>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</si>
  <si>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</si>
  <si>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</si>
  <si>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</si>
  <si>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</si>
  <si>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</si>
  <si>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</si>
  <si>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</si>
  <si>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</si>
  <si>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</si>
  <si>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</si>
  <si>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</si>
  <si>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</si>
  <si>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</si>
  <si>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</si>
  <si>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</si>
  <si>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</si>
  <si>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</si>
  <si>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</si>
  <si>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</si>
  <si>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</si>
  <si>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</si>
  <si>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</si>
  <si>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</si>
  <si>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</si>
  <si>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</si>
  <si>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</si>
  <si>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</si>
  <si>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</si>
  <si>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</si>
  <si>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</si>
  <si>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</si>
  <si>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</si>
  <si>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</si>
  <si>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</si>
  <si>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</si>
  <si>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</si>
  <si>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</si>
  <si>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</si>
  <si>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</si>
  <si>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</si>
  <si>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</si>
  <si>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</si>
  <si>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</si>
  <si>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</si>
  <si>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</si>
  <si>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</si>
  <si>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</si>
  <si>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</si>
  <si>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</si>
  <si>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</si>
  <si>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</si>
  <si>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</si>
  <si>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</si>
  <si>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</si>
  <si>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</si>
  <si>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</si>
  <si>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</si>
  <si>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</si>
  <si>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</si>
  <si>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</si>
  <si>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</si>
  <si>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</si>
  <si>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</si>
  <si>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</si>
  <si>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</si>
  <si>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</si>
  <si>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</si>
  <si>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</si>
  <si>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</si>
  <si>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</si>
  <si>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</si>
  <si>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</si>
  <si>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</si>
  <si>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</si>
  <si>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</si>
  <si>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</si>
  <si>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</si>
  <si>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</si>
  <si>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</si>
  <si>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</si>
  <si>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</si>
  <si>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</si>
  <si>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</si>
  <si>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</si>
  <si>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</si>
  <si>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</si>
  <si>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</si>
  <si>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</si>
  <si>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</si>
  <si>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</si>
  <si>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</si>
  <si>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</si>
  <si>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</si>
  <si>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</si>
  <si>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</si>
  <si>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</si>
  <si>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</si>
  <si>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</si>
  <si>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</si>
  <si>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</si>
  <si>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</si>
  <si>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</si>
  <si>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</si>
  <si>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</si>
  <si>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</si>
  <si>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</si>
  <si>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</si>
  <si>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</si>
  <si>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</si>
  <si>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</si>
  <si>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</si>
  <si>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</si>
  <si>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</si>
  <si>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</si>
  <si>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</si>
  <si>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</si>
  <si>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</si>
  <si>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</si>
  <si>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</si>
  <si>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</si>
  <si>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</si>
  <si>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</si>
  <si>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</si>
  <si>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</si>
  <si>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</si>
  <si>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</si>
  <si>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</si>
  <si>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</si>
  <si>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</si>
  <si>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</si>
  <si>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</si>
  <si>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</si>
  <si>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</si>
  <si>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</si>
  <si>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</si>
  <si>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</si>
  <si>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</si>
  <si>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</si>
  <si>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</si>
  <si>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</si>
  <si>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</si>
  <si>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</si>
  <si>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</si>
  <si>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</si>
  <si>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</si>
  <si>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</si>
  <si>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</si>
  <si>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</si>
  <si>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</si>
  <si>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</si>
  <si>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</si>
  <si>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</si>
  <si>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</si>
  <si>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</si>
  <si>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</si>
  <si>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</si>
  <si>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</si>
  <si>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</si>
  <si>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</si>
  <si>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</si>
  <si>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</si>
  <si>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</si>
  <si>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</si>
  <si>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</si>
  <si>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</si>
  <si>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</si>
  <si>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</si>
  <si>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</si>
  <si>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</si>
  <si>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</si>
  <si>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</si>
  <si>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</si>
  <si>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</si>
  <si>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</si>
  <si>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</si>
  <si>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</si>
  <si>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</si>
  <si>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</si>
  <si>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</si>
  <si>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</si>
  <si>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</si>
  <si>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</si>
  <si>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</si>
  <si>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</si>
  <si>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</si>
  <si>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</si>
  <si>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</si>
  <si>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</si>
  <si>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</si>
  <si>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</si>
  <si>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</si>
  <si>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</si>
  <si>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</si>
  <si>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</si>
  <si>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</si>
  <si>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</si>
  <si>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</si>
  <si>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</si>
  <si>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</si>
  <si>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</si>
  <si>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</si>
  <si>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</si>
  <si>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</si>
  <si>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</si>
  <si>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</si>
  <si>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</si>
  <si>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</si>
  <si>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</si>
  <si>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</si>
  <si>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</si>
  <si>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</si>
  <si>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</si>
  <si>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</si>
  <si>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</si>
  <si>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</si>
  <si>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</si>
  <si>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</si>
  <si>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</si>
  <si>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</si>
  <si>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</si>
  <si>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</si>
  <si>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</si>
  <si>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</si>
  <si>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</si>
  <si>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</si>
  <si>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</si>
  <si>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</si>
  <si>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</si>
  <si>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</si>
  <si>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</si>
  <si>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</si>
  <si>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</si>
  <si>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</si>
  <si>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</si>
  <si>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</si>
  <si>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</si>
  <si>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</si>
  <si>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</si>
  <si>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</si>
  <si>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</si>
  <si>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</si>
  <si>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</si>
  <si>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</si>
  <si>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</si>
  <si>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</si>
  <si>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</si>
  <si>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</si>
  <si>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</si>
  <si>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</si>
  <si>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</si>
  <si>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</si>
  <si>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</si>
  <si>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</si>
  <si>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</si>
  <si>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</si>
  <si>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</si>
  <si>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</si>
  <si>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</si>
  <si>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</si>
  <si>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</si>
  <si>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</si>
  <si>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</si>
  <si>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</si>
  <si>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</si>
  <si>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</si>
  <si>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</si>
  <si>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</si>
  <si>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</si>
  <si>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</si>
  <si>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</si>
  <si>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</si>
  <si>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</si>
  <si>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</si>
  <si>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</si>
  <si>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</si>
  <si>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</si>
  <si>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</si>
  <si>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</si>
  <si>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</si>
  <si>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</si>
  <si>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</si>
  <si>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</si>
  <si>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</si>
  <si>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</si>
  <si>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</si>
  <si>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</si>
  <si>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</si>
  <si>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</si>
  <si>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</si>
  <si>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</si>
  <si>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</si>
  <si>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</si>
  <si>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</si>
  <si>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</si>
  <si>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</si>
  <si>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</si>
  <si>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</si>
  <si>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</si>
  <si>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</si>
  <si>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</si>
  <si>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</si>
  <si>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</si>
  <si>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</si>
  <si>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</si>
  <si>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</si>
  <si>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</si>
  <si>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</si>
  <si>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</si>
  <si>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</si>
  <si>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</si>
  <si>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</si>
  <si>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</si>
  <si>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</si>
  <si>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</si>
  <si>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</si>
  <si>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</si>
  <si>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</si>
  <si>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</si>
  <si>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</si>
  <si>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</si>
  <si>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</si>
  <si>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</si>
  <si>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</si>
  <si>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</si>
  <si>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</si>
  <si>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</si>
  <si>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</si>
  <si>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</si>
  <si>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</si>
  <si>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</si>
  <si>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</si>
  <si>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</si>
  <si>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</si>
  <si>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</si>
  <si>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</si>
  <si>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</si>
  <si>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</si>
  <si>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</si>
  <si>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</si>
  <si>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</si>
  <si>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</si>
  <si>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</si>
  <si>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</si>
  <si>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</si>
  <si>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</si>
  <si>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</si>
  <si>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</si>
  <si>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</si>
  <si>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</si>
  <si>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</si>
  <si>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</si>
  <si>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</si>
  <si>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</si>
  <si>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</si>
  <si>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</si>
  <si>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</si>
  <si>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</si>
  <si>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</si>
  <si>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</si>
  <si>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</si>
  <si>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</si>
  <si>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</si>
  <si>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</si>
  <si>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</si>
  <si>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</si>
  <si>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</si>
  <si>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</si>
  <si>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</si>
  <si>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</si>
  <si>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</si>
  <si>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</si>
  <si>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</si>
  <si>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</si>
  <si>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</si>
  <si>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</si>
  <si>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</si>
  <si>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</si>
  <si>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</si>
  <si>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</si>
  <si>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</si>
  <si>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</si>
  <si>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</si>
  <si>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</si>
  <si>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</si>
  <si>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</si>
  <si>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</si>
  <si>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</si>
  <si>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</si>
  <si>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</si>
  <si>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</si>
  <si>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</si>
  <si>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</si>
  <si>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</si>
  <si>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</si>
  <si>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</si>
  <si>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</si>
  <si>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</si>
  <si>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</si>
  <si>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</si>
  <si>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</si>
  <si>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</si>
  <si>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</si>
  <si>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</si>
  <si>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</si>
  <si>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</si>
  <si>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</si>
  <si>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</si>
  <si>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</si>
  <si>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</si>
  <si>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</si>
  <si>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</si>
  <si>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</si>
  <si>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</si>
  <si>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</si>
  <si>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</si>
  <si>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</si>
  <si>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</si>
  <si>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</si>
  <si>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</si>
  <si>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</si>
  <si>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</si>
  <si>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</si>
  <si>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</si>
  <si>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</si>
  <si>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</si>
  <si>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</si>
  <si>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</si>
  <si>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</si>
  <si>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</si>
  <si>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</si>
  <si>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</si>
  <si>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</si>
  <si>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</si>
  <si>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</si>
  <si>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</si>
  <si>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</si>
  <si>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</si>
  <si>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</si>
  <si>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</si>
  <si>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</si>
  <si>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</si>
  <si>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</si>
  <si>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</si>
  <si>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</si>
  <si>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</si>
  <si>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</si>
  <si>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</si>
  <si>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</si>
  <si>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</si>
  <si>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</si>
  <si>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</si>
  <si>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</si>
  <si>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</si>
  <si>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</si>
  <si>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</si>
  <si>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</si>
  <si>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</si>
  <si>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</si>
  <si>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</si>
  <si>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</si>
  <si>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</si>
  <si>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</si>
  <si>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</si>
  <si>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</si>
  <si>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</si>
  <si>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</si>
  <si>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</si>
  <si>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</si>
  <si>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</si>
  <si>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</si>
  <si>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</si>
  <si>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</si>
  <si>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</si>
  <si>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</si>
  <si>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</si>
  <si>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</si>
  <si>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</si>
  <si>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</si>
  <si>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</si>
  <si>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</si>
  <si>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</si>
  <si>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</si>
  <si>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</si>
  <si>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</si>
  <si>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</si>
  <si>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</si>
  <si>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</si>
  <si>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</si>
  <si>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</si>
  <si>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</si>
  <si>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</si>
  <si>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</si>
  <si>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</si>
  <si>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</si>
  <si>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</si>
  <si>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</si>
  <si>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</si>
  <si>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</si>
  <si>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</si>
  <si>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</si>
  <si>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</si>
  <si>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</si>
  <si>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</si>
  <si>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</si>
  <si>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</si>
  <si>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</si>
  <si>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</si>
  <si>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</si>
  <si>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</si>
  <si>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</si>
  <si>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</si>
  <si>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</si>
  <si>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</si>
  <si>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</si>
  <si>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</si>
  <si>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</si>
  <si>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</si>
  <si>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</si>
  <si>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</si>
  <si>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</si>
  <si>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</si>
  <si>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</si>
  <si>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</si>
  <si>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</si>
  <si>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</si>
  <si>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</si>
  <si>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</si>
  <si>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</si>
  <si>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</si>
  <si>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</si>
  <si>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</si>
  <si>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</si>
  <si>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</si>
  <si>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</si>
  <si>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</si>
  <si>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</si>
  <si>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</si>
  <si>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</si>
  <si>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</si>
  <si>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</si>
  <si>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</si>
  <si>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</si>
  <si>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</si>
  <si>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</si>
  <si>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</si>
  <si>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</si>
  <si>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</si>
  <si>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</si>
  <si>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</si>
  <si>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</si>
  <si>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</si>
  <si>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</si>
  <si>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</si>
  <si>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</si>
  <si>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</si>
  <si>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</si>
  <si>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</si>
  <si>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</si>
  <si>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</si>
  <si>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</si>
  <si>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</si>
  <si>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</si>
  <si>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</si>
  <si>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</si>
  <si>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</si>
  <si>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</si>
  <si>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</si>
  <si>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</si>
  <si>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</si>
  <si>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</si>
  <si>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</si>
  <si>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</si>
  <si>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</si>
  <si>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</si>
  <si>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</si>
  <si>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</si>
  <si>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</si>
  <si>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</si>
  <si>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</si>
  <si>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</si>
  <si>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</si>
  <si>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</si>
  <si>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</si>
  <si>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</si>
  <si>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</si>
  <si>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</si>
  <si>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</si>
  <si>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</si>
  <si>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</si>
  <si>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</si>
  <si>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</si>
  <si>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</si>
  <si>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</si>
  <si>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</si>
  <si>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</si>
  <si>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</si>
  <si>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</si>
  <si>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</si>
  <si>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</si>
  <si>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</si>
  <si>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</si>
  <si>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</si>
  <si>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</si>
  <si>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</si>
  <si>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</si>
  <si>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</si>
  <si>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</si>
  <si>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</si>
  <si>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</si>
  <si>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</si>
  <si>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</si>
  <si>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</si>
  <si>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</si>
  <si>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</si>
  <si>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</si>
  <si>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</si>
  <si>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</si>
  <si>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</si>
  <si>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</si>
  <si>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</si>
  <si>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</si>
  <si>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</si>
  <si>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</si>
  <si>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</si>
  <si>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</si>
  <si>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</si>
  <si>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</si>
  <si>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</si>
  <si>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</si>
  <si>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</si>
  <si>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</si>
  <si>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</si>
  <si>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</si>
  <si>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</si>
  <si>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</si>
  <si>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</si>
  <si>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</si>
  <si>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</si>
  <si>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</si>
  <si>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</si>
  <si>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</si>
  <si>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</si>
  <si>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</si>
  <si>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</si>
  <si>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</si>
  <si>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</si>
  <si>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</si>
  <si>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</si>
  <si>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</si>
  <si>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</si>
  <si>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</si>
  <si>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</si>
  <si>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</si>
  <si>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</si>
  <si>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</si>
  <si>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</si>
  <si>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</si>
  <si>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</si>
  <si>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</si>
  <si>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</si>
  <si>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</si>
  <si>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</si>
  <si>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</si>
  <si>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</si>
  <si>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</si>
  <si>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</si>
  <si>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</si>
  <si>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</si>
  <si>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</si>
  <si>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</si>
  <si>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</si>
  <si>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</si>
  <si>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</si>
  <si>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</si>
  <si>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</si>
  <si>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</si>
  <si>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</si>
  <si>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</si>
  <si>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</si>
  <si>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</si>
  <si>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</si>
  <si>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</si>
  <si>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</si>
  <si>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</si>
  <si>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</si>
  <si>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</si>
  <si>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</si>
  <si>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</si>
  <si>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</si>
  <si>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</si>
  <si>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</si>
  <si>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</si>
  <si>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</si>
  <si>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</si>
  <si>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</si>
  <si>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</si>
  <si>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</si>
  <si>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</si>
  <si>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</si>
  <si>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</si>
  <si>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</si>
  <si>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</si>
  <si>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</si>
  <si>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</si>
  <si>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</si>
  <si>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</si>
  <si>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</si>
  <si>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</si>
  <si>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</si>
  <si>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</si>
  <si>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</si>
  <si>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</si>
  <si>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</si>
  <si>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</si>
  <si>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</si>
  <si>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</si>
  <si>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</si>
  <si>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</si>
  <si>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</si>
  <si>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</si>
  <si>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</si>
  <si>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</si>
  <si>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</si>
  <si>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</si>
  <si>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</si>
  <si>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</si>
  <si>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</si>
  <si>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</si>
  <si>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</si>
  <si>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</si>
  <si>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</si>
  <si>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</si>
  <si>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</si>
  <si>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</si>
  <si>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</si>
  <si>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</si>
  <si>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</si>
  <si>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</si>
  <si>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</si>
  <si>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</si>
  <si>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</si>
  <si>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</si>
  <si>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</si>
  <si>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</si>
  <si>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</si>
  <si>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</si>
  <si>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</si>
  <si>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</si>
  <si>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</si>
  <si>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</si>
  <si>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</si>
  <si>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</si>
  <si>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</si>
  <si>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</si>
  <si>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</si>
  <si>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</si>
  <si>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</si>
  <si>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</si>
  <si>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</si>
  <si>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</si>
  <si>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</si>
  <si>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</si>
  <si>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</si>
  <si>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</si>
  <si>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</si>
  <si>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</si>
  <si>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</si>
  <si>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</si>
  <si>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</si>
  <si>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</si>
  <si>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</si>
  <si>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</si>
  <si>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</si>
  <si>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</si>
  <si>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</si>
  <si>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</si>
  <si>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</si>
  <si>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</si>
  <si>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</si>
  <si>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</si>
  <si>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</si>
  <si>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</si>
  <si>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</si>
  <si>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</si>
  <si>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</si>
  <si>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</si>
  <si>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</si>
  <si>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</si>
  <si>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</si>
  <si>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</si>
  <si>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</si>
  <si>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</si>
  <si>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</si>
  <si>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</si>
  <si>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</si>
  <si>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</si>
  <si>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</si>
  <si>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</si>
  <si>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</si>
  <si>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</si>
  <si>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</si>
  <si>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</si>
  <si>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</si>
  <si>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</si>
  <si>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</si>
  <si>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</si>
  <si>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</si>
  <si>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</si>
  <si>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</si>
  <si>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</si>
  <si>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</si>
  <si>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</si>
  <si>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</si>
  <si>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</si>
  <si>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</si>
  <si>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</si>
  <si>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</si>
  <si>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</si>
  <si>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</si>
  <si>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</si>
  <si>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</si>
  <si>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</si>
  <si>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</si>
  <si>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</si>
  <si>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</si>
  <si>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</si>
  <si>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</si>
  <si>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</si>
  <si>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</si>
  <si>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</si>
  <si>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</si>
  <si>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</si>
  <si>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</si>
  <si>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</si>
  <si>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</si>
  <si>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</si>
  <si>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</si>
  <si>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</si>
  <si>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</si>
  <si>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</si>
  <si>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</si>
  <si>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</si>
  <si>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</si>
  <si>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</si>
  <si>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</si>
  <si>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</si>
  <si>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</si>
  <si>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</si>
  <si>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</si>
  <si>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</si>
  <si>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</si>
  <si>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</si>
  <si>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</si>
  <si>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</si>
  <si>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</si>
  <si>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</si>
  <si>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</si>
  <si>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</si>
  <si>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</si>
  <si>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</si>
  <si>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</si>
  <si>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</si>
  <si>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</si>
  <si>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</si>
  <si>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</si>
  <si>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</si>
  <si>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</si>
  <si>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</si>
  <si>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</si>
  <si>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</si>
  <si>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</si>
  <si>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</si>
  <si>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</si>
  <si>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</si>
  <si>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</si>
  <si>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</si>
  <si>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</si>
  <si>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</si>
  <si>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</si>
  <si>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</si>
  <si>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</si>
  <si>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</si>
  <si>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</si>
  <si>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</si>
  <si>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</si>
  <si>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</si>
  <si>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</si>
  <si>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</si>
  <si>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</si>
  <si>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</si>
  <si>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</si>
  <si>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</si>
  <si>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</si>
  <si>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</si>
  <si>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</si>
  <si>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</si>
  <si>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</si>
  <si>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</si>
  <si>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</si>
  <si>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</si>
  <si>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</si>
  <si>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</si>
  <si>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</si>
  <si>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</si>
  <si>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</si>
  <si>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</si>
  <si>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</si>
  <si>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</si>
  <si>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</si>
  <si>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</si>
  <si>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</si>
  <si>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</si>
  <si>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</si>
  <si>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</si>
  <si>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</si>
  <si>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</si>
  <si>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</si>
  <si>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</si>
  <si>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</si>
  <si>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</si>
  <si>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</si>
  <si>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</si>
  <si>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</si>
  <si>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</si>
  <si>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</si>
  <si>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</si>
  <si>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</si>
  <si>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</si>
  <si>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</si>
  <si>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</si>
  <si>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</si>
  <si>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</si>
  <si>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</si>
  <si>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</si>
  <si>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</si>
  <si>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</si>
  <si>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</si>
  <si>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</si>
  <si>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</si>
  <si>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</si>
  <si>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</si>
  <si>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</si>
  <si>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</si>
  <si>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</si>
  <si>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</si>
  <si>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</si>
  <si>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</si>
  <si>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</si>
  <si>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</si>
  <si>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</si>
  <si>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</si>
  <si>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</si>
  <si>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</si>
  <si>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</si>
  <si>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</si>
  <si>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</si>
  <si>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</si>
  <si>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</si>
  <si>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</si>
  <si>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</si>
  <si>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</si>
  <si>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</si>
  <si>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</si>
  <si>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</si>
  <si>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</si>
  <si>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</si>
  <si>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</si>
  <si>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</si>
  <si>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</si>
  <si>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</si>
  <si>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</si>
  <si>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</si>
  <si>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</si>
  <si>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</si>
  <si>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</si>
  <si>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</si>
  <si>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</si>
  <si>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</si>
  <si>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</si>
  <si>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</si>
  <si>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</si>
  <si>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</si>
  <si>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</si>
  <si>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</si>
  <si>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</si>
  <si>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</si>
  <si>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</si>
  <si>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</si>
  <si>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</si>
  <si>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</si>
  <si>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</si>
  <si>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</si>
  <si>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</si>
  <si>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</si>
  <si>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</si>
  <si>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</si>
  <si>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</si>
  <si>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</si>
  <si>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</si>
  <si>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</si>
  <si>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</si>
  <si>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</si>
  <si>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</si>
  <si>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</si>
  <si>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</si>
  <si>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</si>
  <si>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</si>
  <si>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</si>
  <si>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</si>
  <si>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</si>
  <si>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</si>
  <si>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</si>
  <si>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</si>
  <si>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</si>
  <si>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</si>
  <si>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</si>
  <si>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</si>
  <si>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</si>
  <si>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</si>
  <si>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</si>
  <si>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</si>
  <si>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</si>
  <si>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</si>
  <si>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</si>
  <si>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</si>
  <si>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</si>
  <si>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</si>
  <si>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</si>
  <si>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</si>
  <si>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</si>
  <si>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</si>
  <si>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</si>
  <si>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</si>
  <si>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</si>
  <si>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</si>
  <si>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</si>
  <si>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</si>
  <si>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</si>
  <si>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</si>
  <si>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</si>
  <si>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</si>
  <si>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</si>
  <si>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</si>
  <si>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</si>
  <si>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</si>
  <si>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</si>
  <si>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</si>
  <si>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</si>
  <si>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</si>
  <si>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</si>
  <si>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</si>
  <si>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</si>
  <si>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</si>
  <si>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</si>
  <si>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</si>
  <si>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</si>
  <si>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</si>
  <si>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</si>
  <si>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</si>
  <si>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</si>
  <si>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</si>
  <si>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</si>
  <si>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</si>
  <si>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</si>
  <si>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</si>
  <si>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</si>
  <si>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</si>
  <si>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</si>
  <si>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</si>
  <si>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</si>
  <si>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</si>
  <si>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</si>
  <si>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</si>
  <si>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</si>
  <si>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</si>
  <si>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</si>
  <si>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</si>
  <si>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</si>
  <si>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</si>
  <si>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</si>
  <si>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</si>
  <si>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</si>
  <si>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</si>
  <si>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</si>
  <si>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</si>
  <si>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</si>
  <si>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</si>
  <si>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</si>
  <si>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</si>
  <si>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</si>
  <si>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</si>
  <si>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</si>
  <si>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</si>
  <si>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</si>
  <si>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</si>
  <si>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</si>
  <si>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</si>
  <si>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</si>
  <si>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</si>
  <si>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</si>
  <si>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</si>
  <si>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</si>
  <si>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</si>
  <si>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</si>
  <si>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</si>
  <si>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</si>
  <si>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</si>
  <si>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</si>
  <si>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</si>
  <si>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</si>
  <si>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</si>
  <si>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</si>
  <si>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</si>
  <si>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</si>
  <si>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</si>
  <si>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</si>
  <si>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</si>
  <si>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</si>
  <si>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</si>
  <si>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</si>
  <si>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</si>
  <si>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</si>
  <si>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</si>
  <si>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</si>
  <si>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</si>
  <si>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</si>
  <si>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</si>
  <si>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</si>
  <si>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</si>
  <si>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</si>
  <si>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</si>
  <si>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</si>
  <si>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</si>
  <si>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</si>
  <si>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</si>
  <si>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</si>
  <si>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</si>
  <si>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</si>
  <si>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</si>
  <si>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</si>
  <si>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</si>
  <si>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</si>
  <si>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</si>
  <si>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</si>
  <si>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</si>
  <si>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</si>
  <si>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</si>
  <si>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</si>
  <si>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</si>
  <si>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</si>
  <si>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</si>
  <si>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</si>
  <si>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</si>
  <si>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</si>
  <si>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</si>
  <si>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</si>
  <si>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</si>
  <si>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</si>
  <si>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</si>
  <si>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</si>
  <si>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</si>
  <si>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</si>
  <si>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</si>
  <si>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</si>
  <si>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</si>
  <si>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</si>
  <si>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</si>
  <si>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</si>
  <si>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</si>
  <si>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</si>
  <si>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</si>
  <si>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</si>
  <si>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</si>
  <si>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</si>
  <si>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</si>
  <si>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</si>
  <si>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</si>
  <si>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</si>
  <si>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</si>
  <si>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</si>
  <si>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</si>
  <si>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</si>
  <si>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</si>
  <si>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</si>
  <si>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</si>
  <si>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</si>
  <si>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</si>
  <si>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</si>
  <si>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</si>
  <si>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</si>
  <si>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</si>
  <si>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</si>
  <si>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</si>
  <si>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</si>
  <si>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</si>
  <si>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</si>
  <si>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</si>
  <si>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</si>
  <si>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</si>
  <si>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</si>
  <si>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</si>
  <si>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</si>
  <si>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</si>
  <si>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</si>
  <si>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</si>
  <si>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</si>
  <si>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</si>
  <si>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</si>
  <si>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</si>
  <si>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</si>
  <si>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</si>
  <si>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</si>
  <si>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</si>
  <si>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</si>
  <si>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</si>
  <si>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</si>
  <si>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</si>
  <si>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</si>
  <si>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</si>
  <si>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</si>
  <si>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</si>
  <si>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</si>
  <si>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</si>
  <si>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</si>
  <si>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</si>
  <si>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</si>
  <si>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</si>
  <si>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</si>
  <si>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</si>
  <si>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</si>
  <si>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</si>
  <si>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</si>
  <si>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</si>
  <si>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</si>
  <si>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</si>
  <si>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</si>
  <si>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</si>
  <si>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</si>
  <si>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</si>
  <si>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</si>
  <si>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</si>
  <si>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</si>
  <si>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</si>
  <si>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</si>
  <si>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</si>
  <si>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</si>
  <si>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</si>
  <si>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</si>
  <si>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</si>
  <si>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</si>
  <si>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</si>
  <si>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</si>
  <si>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</si>
  <si>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</si>
  <si>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</si>
  <si>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</si>
  <si>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</si>
  <si>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</si>
  <si>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</si>
  <si>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</si>
  <si>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</si>
  <si>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</si>
  <si>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</si>
  <si>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</si>
  <si>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</si>
  <si>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</si>
  <si>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</si>
  <si>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</si>
  <si>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</si>
  <si>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</si>
  <si>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</si>
  <si>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</si>
  <si>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</si>
  <si>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</si>
  <si>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</si>
  <si>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</si>
  <si>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</si>
  <si>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</si>
  <si>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</si>
  <si>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</si>
  <si>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</si>
  <si>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</si>
  <si>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</si>
  <si>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</si>
  <si>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</si>
  <si>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</si>
  <si>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</si>
  <si>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</si>
  <si>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</si>
  <si>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</si>
  <si>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</si>
  <si>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</si>
  <si>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</si>
  <si>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</si>
  <si>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</si>
  <si>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</si>
  <si>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</si>
  <si>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</si>
  <si>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</si>
  <si>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</si>
  <si>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</si>
  <si>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</si>
  <si>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</si>
  <si>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</si>
  <si>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</si>
  <si>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</si>
  <si>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</si>
  <si>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</si>
  <si>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</si>
  <si>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</si>
  <si>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</si>
  <si>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</si>
  <si>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</si>
  <si>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</si>
  <si>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</si>
  <si>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</si>
  <si>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</si>
  <si>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</si>
  <si>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</si>
  <si>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</si>
  <si>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</si>
  <si>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</si>
  <si>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</si>
  <si>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</si>
  <si>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</si>
  <si>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</si>
  <si>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</si>
  <si>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</si>
  <si>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</si>
  <si>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</si>
  <si>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</si>
  <si>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</si>
  <si>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</si>
  <si>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</si>
  <si>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</si>
  <si>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</si>
  <si>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</si>
  <si>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</si>
  <si>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</si>
  <si>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</si>
  <si>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</si>
  <si>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</si>
  <si>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</si>
  <si>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</si>
  <si>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</si>
  <si>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</si>
  <si>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</si>
  <si>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</si>
  <si>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</si>
  <si>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</si>
  <si>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</si>
  <si>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</si>
  <si>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</si>
  <si>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</si>
  <si>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</si>
  <si>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</si>
  <si>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</si>
  <si>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</si>
  <si>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</si>
  <si>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</si>
  <si>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</si>
  <si>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</si>
  <si>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</si>
  <si>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</si>
  <si>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</si>
  <si>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</si>
  <si>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</si>
  <si>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</si>
  <si>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</si>
  <si>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</si>
  <si>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</si>
  <si>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</si>
  <si>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</si>
  <si>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</si>
  <si>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</si>
  <si>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</si>
  <si>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</si>
  <si>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</si>
  <si>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</si>
  <si>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</si>
  <si>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</si>
  <si>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</si>
  <si>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</si>
  <si>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</si>
  <si>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</si>
  <si>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</si>
  <si>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</si>
  <si>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</si>
  <si>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</si>
  <si>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</si>
  <si>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</si>
  <si>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</si>
  <si>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</si>
  <si>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</si>
  <si>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</si>
  <si>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</si>
  <si>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</si>
  <si>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</si>
  <si>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</si>
  <si>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</si>
  <si>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</si>
  <si>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</si>
  <si>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</si>
  <si>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</si>
  <si>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</si>
  <si>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</si>
  <si>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</si>
  <si>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</si>
  <si>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</si>
  <si>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</si>
  <si>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</si>
  <si>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</si>
  <si>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</si>
  <si>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</si>
  <si>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</si>
  <si>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</si>
  <si>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</si>
  <si>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</si>
  <si>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</si>
  <si>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</si>
  <si>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</si>
  <si>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</si>
  <si>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</si>
  <si>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</si>
  <si>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</si>
  <si>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</si>
  <si>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</si>
  <si>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</si>
  <si>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</si>
  <si>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</si>
  <si>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</si>
  <si>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</si>
  <si>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</si>
  <si>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</si>
  <si>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</si>
  <si>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</si>
  <si>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</si>
  <si>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</si>
  <si>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</si>
  <si>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</si>
  <si>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</si>
  <si>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</si>
  <si>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</si>
  <si>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</si>
  <si>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</si>
  <si>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</si>
  <si>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</si>
  <si>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</si>
  <si>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</si>
  <si>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</si>
  <si>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</si>
  <si>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</si>
  <si>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</si>
  <si>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</si>
  <si>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</si>
  <si>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</si>
  <si>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</si>
  <si>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</si>
  <si>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</si>
  <si>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</si>
  <si>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</si>
  <si>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</si>
  <si>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</si>
  <si>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</si>
  <si>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</si>
  <si>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</si>
  <si>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</si>
  <si>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</si>
  <si>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</si>
  <si>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</si>
  <si>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</si>
  <si>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</si>
  <si>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</si>
  <si>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</si>
  <si>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</si>
  <si>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</si>
  <si>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</si>
  <si>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</si>
  <si>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</si>
  <si>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</si>
  <si>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</si>
  <si>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</si>
  <si>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</si>
  <si>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</si>
  <si>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</si>
  <si>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</si>
  <si>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</si>
  <si>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</si>
  <si>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</si>
  <si>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</si>
  <si>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</si>
  <si>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</si>
  <si>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</si>
  <si>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</si>
  <si>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</si>
  <si>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</si>
  <si>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</si>
  <si>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</si>
  <si>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</si>
  <si>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</si>
  <si>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</si>
  <si>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</si>
  <si>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</si>
  <si>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</si>
  <si>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</si>
  <si>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</si>
  <si>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</si>
  <si>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</si>
  <si>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</si>
  <si>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</si>
  <si>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</si>
  <si>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</si>
  <si>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</si>
  <si>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</si>
  <si>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</si>
  <si>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</si>
  <si>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</si>
  <si>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</si>
  <si>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</si>
  <si>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</si>
  <si>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</si>
  <si>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</si>
  <si>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</si>
  <si>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</si>
  <si>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</si>
  <si>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</si>
  <si>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</si>
  <si>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</si>
  <si>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</si>
  <si>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</si>
  <si>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</si>
  <si>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</si>
  <si>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</si>
  <si>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</si>
  <si>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</si>
  <si>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</si>
  <si>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</si>
  <si>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</si>
  <si>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</si>
  <si>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</si>
  <si>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</si>
  <si>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</si>
  <si>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</si>
  <si>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</si>
  <si>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</si>
  <si>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</si>
  <si>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</si>
  <si>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</si>
  <si>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</si>
  <si>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</si>
  <si>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</si>
  <si>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</si>
  <si>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</si>
  <si>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</si>
  <si>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</si>
  <si>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</si>
  <si>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</si>
  <si>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</si>
  <si>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</si>
  <si>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</si>
  <si>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</si>
  <si>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</si>
  <si>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</si>
  <si>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</si>
  <si>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</si>
  <si>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</si>
  <si>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</si>
  <si>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</si>
  <si>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</si>
  <si>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</si>
  <si>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</si>
  <si>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</si>
  <si>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</si>
  <si>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</si>
  <si>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</si>
  <si>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</si>
  <si>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</si>
  <si>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</si>
  <si>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</si>
  <si>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</si>
  <si>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</si>
  <si>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</si>
  <si>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</si>
  <si>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</si>
  <si>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</si>
  <si>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</si>
  <si>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</si>
  <si>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</si>
  <si>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</si>
  <si>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</si>
  <si>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</si>
  <si>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</si>
  <si>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</si>
  <si>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</si>
  <si>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</si>
  <si>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</si>
  <si>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</si>
  <si>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</si>
  <si>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</si>
  <si>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</si>
  <si>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</si>
  <si>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</si>
  <si>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</si>
  <si>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</si>
  <si>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</si>
  <si>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</si>
  <si>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</si>
  <si>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</si>
  <si>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</si>
  <si>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</si>
  <si>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</si>
  <si>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</si>
  <si>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</si>
  <si>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</si>
  <si>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</si>
  <si>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</si>
  <si>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</si>
  <si>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</si>
  <si>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</si>
  <si>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</si>
  <si>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</si>
  <si>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</si>
  <si>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</si>
  <si>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</si>
  <si>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</si>
  <si>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</si>
  <si>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</si>
  <si>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</si>
  <si>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</si>
  <si>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</si>
  <si>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</si>
  <si>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</si>
  <si>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</si>
  <si>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</si>
  <si>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</si>
  <si>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</si>
  <si>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</si>
  <si>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</si>
  <si>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</si>
  <si>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</si>
  <si>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</si>
  <si>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</si>
  <si>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</si>
  <si>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</si>
  <si>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</si>
  <si>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</si>
  <si>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</si>
  <si>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</si>
  <si>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</si>
  <si>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</si>
  <si>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</si>
  <si>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</si>
  <si>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</si>
  <si>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</si>
  <si>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</si>
  <si>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</si>
  <si>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</si>
  <si>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</si>
  <si>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</si>
  <si>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</si>
  <si>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</si>
  <si>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</si>
  <si>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</si>
  <si>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</si>
  <si>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</si>
  <si>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</si>
  <si>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</si>
  <si>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</si>
  <si>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</si>
  <si>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</si>
  <si>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</si>
  <si>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</si>
  <si>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</si>
  <si>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</si>
  <si>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</si>
  <si>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</si>
  <si>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</si>
  <si>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</si>
  <si>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</si>
  <si>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</si>
  <si>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</si>
  <si>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</si>
  <si>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</si>
  <si>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</si>
  <si>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</si>
  <si>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</si>
  <si>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</si>
  <si>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</si>
  <si>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</si>
  <si>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</si>
  <si>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</si>
  <si>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</si>
  <si>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</si>
  <si>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</si>
  <si>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</si>
  <si>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</si>
  <si>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</si>
  <si>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</si>
  <si>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</si>
  <si>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</si>
  <si>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</si>
  <si>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</si>
  <si>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</si>
  <si>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</si>
  <si>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</si>
  <si>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</si>
  <si>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</si>
  <si>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</si>
  <si>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</si>
  <si>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</si>
  <si>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</si>
  <si>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</si>
  <si>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</si>
  <si>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</si>
  <si>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</si>
  <si>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</si>
  <si>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</si>
  <si>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</si>
  <si>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</si>
  <si>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</si>
  <si>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</si>
  <si>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</si>
  <si>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</si>
  <si>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</si>
  <si>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</si>
  <si>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</si>
  <si>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</si>
  <si>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</si>
  <si>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</si>
  <si>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</si>
  <si>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</si>
  <si>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</si>
  <si>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</si>
  <si>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</si>
  <si>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</si>
  <si>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</si>
  <si>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</si>
  <si>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</si>
  <si>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</si>
  <si>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</si>
  <si>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</si>
  <si>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</si>
  <si>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</si>
  <si>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</si>
  <si>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</si>
  <si>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</si>
  <si>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</si>
  <si>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</si>
  <si>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</si>
  <si>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</si>
  <si>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</si>
  <si>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</si>
  <si>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</si>
  <si>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</si>
  <si>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</si>
  <si>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</si>
  <si>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</si>
  <si>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</si>
  <si>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</si>
  <si>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</si>
  <si>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</si>
  <si>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</si>
  <si>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</si>
  <si>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</si>
  <si>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</si>
  <si>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</si>
  <si>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</si>
  <si>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</si>
  <si>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</si>
  <si>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</si>
  <si>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</si>
  <si>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</si>
  <si>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</si>
  <si>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</si>
  <si>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</si>
  <si>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</si>
  <si>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</si>
  <si>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</si>
  <si>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</si>
  <si>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</si>
  <si>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</si>
  <si>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</si>
  <si>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</si>
  <si>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</si>
  <si>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</si>
  <si>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</si>
  <si>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</si>
  <si>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</si>
  <si>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</si>
  <si>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</si>
  <si>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</si>
  <si>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</si>
  <si>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</si>
  <si>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</si>
  <si>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</si>
  <si>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</si>
  <si>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</si>
  <si>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</si>
  <si>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</si>
  <si>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</si>
  <si>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</si>
  <si>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</si>
  <si>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</si>
  <si>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</si>
  <si>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</si>
  <si>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</si>
  <si>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</si>
  <si>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</si>
  <si>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</si>
  <si>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</si>
  <si>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</si>
  <si>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</si>
  <si>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</si>
  <si>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</si>
  <si>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</si>
  <si>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</si>
  <si>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</si>
  <si>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</si>
  <si>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</si>
  <si>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</si>
  <si>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</si>
  <si>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</si>
  <si>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</si>
  <si>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</si>
  <si>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</si>
  <si>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</si>
  <si>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</si>
  <si>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</si>
  <si>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</si>
  <si>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</si>
  <si>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</si>
  <si>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</si>
  <si>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</si>
  <si>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</si>
  <si>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</si>
  <si>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</si>
  <si>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</si>
  <si>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</si>
  <si>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</si>
  <si>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</si>
  <si>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</si>
  <si>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</si>
  <si>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</si>
  <si>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</si>
  <si>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</si>
  <si>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</si>
  <si>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</si>
  <si>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</si>
  <si>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</si>
  <si>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</si>
  <si>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</si>
  <si>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</si>
  <si>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</si>
  <si>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</si>
  <si>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</si>
  <si>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</si>
  <si>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</si>
  <si>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</si>
  <si>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</si>
  <si>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</si>
  <si>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</si>
  <si>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</si>
  <si>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</si>
  <si>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</si>
  <si>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</si>
  <si>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</si>
  <si>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</si>
  <si>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</si>
  <si>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</si>
  <si>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</si>
  <si>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</si>
  <si>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</si>
  <si>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</si>
  <si>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</si>
  <si>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</si>
  <si>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</si>
  <si>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</si>
  <si>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</si>
  <si>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</si>
  <si>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</si>
  <si>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</si>
  <si>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</si>
  <si>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</si>
  <si>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</si>
  <si>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</si>
  <si>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</si>
  <si>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</si>
  <si>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</si>
  <si>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</si>
  <si>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</si>
  <si>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</si>
  <si>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</si>
  <si>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</si>
  <si>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</si>
  <si>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</si>
  <si>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</si>
  <si>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</si>
  <si>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</si>
  <si>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</si>
  <si>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</si>
  <si>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</si>
  <si>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</si>
  <si>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</si>
  <si>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</si>
  <si>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</si>
  <si>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</si>
  <si>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</si>
  <si>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</si>
  <si>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</si>
  <si>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</si>
  <si>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</si>
  <si>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</si>
  <si>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</si>
  <si>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</si>
  <si>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</si>
  <si>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</si>
  <si>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</si>
  <si>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</si>
  <si>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</si>
  <si>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</si>
  <si>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</si>
  <si>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</si>
  <si>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</si>
  <si>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</si>
  <si>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</si>
  <si>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</si>
  <si>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</si>
  <si>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</si>
  <si>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</si>
  <si>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</si>
  <si>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</si>
  <si>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</si>
  <si>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</si>
  <si>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</si>
  <si>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</si>
  <si>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</si>
  <si>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</si>
  <si>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</si>
  <si>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</si>
  <si>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</si>
  <si>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</si>
  <si>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</si>
  <si>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</si>
  <si>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</si>
  <si>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</si>
  <si>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</si>
  <si>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</si>
  <si>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</si>
  <si>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</si>
  <si>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</si>
  <si>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</si>
  <si>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</si>
  <si>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</si>
  <si>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</si>
  <si>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</si>
  <si>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</si>
  <si>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</si>
  <si>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</si>
  <si>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</si>
  <si>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</si>
  <si>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</si>
  <si>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</si>
  <si>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</si>
  <si>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</si>
  <si>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</si>
  <si>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</si>
  <si>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</si>
  <si>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</si>
  <si>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</si>
  <si>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</si>
  <si>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</si>
  <si>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</si>
  <si>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</si>
  <si>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</si>
  <si>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</si>
  <si>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</si>
  <si>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</si>
  <si>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</si>
  <si>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</si>
  <si>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</si>
  <si>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</si>
  <si>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</si>
  <si>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</si>
  <si>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</si>
  <si>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</si>
  <si>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</si>
  <si>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</si>
  <si>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</si>
  <si>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</si>
  <si>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</si>
  <si>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</si>
  <si>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</si>
  <si>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</si>
  <si>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</si>
  <si>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</si>
  <si>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</si>
  <si>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</si>
  <si>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</si>
  <si>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</si>
  <si>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</si>
  <si>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</si>
  <si>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</si>
  <si>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</si>
  <si>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DFLTPGCOH_001261</t>
  </si>
  <si>
    <t>G000000634_IO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</si>
  <si>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</si>
  <si>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</si>
  <si>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</si>
  <si>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</si>
  <si>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</si>
  <si>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</si>
  <si>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</si>
  <si>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</si>
  <si>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</si>
  <si>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</si>
  <si>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</si>
  <si>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</si>
  <si>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</si>
  <si>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LFF_1000$$$NO50R00005</t>
  </si>
  <si>
    <t>LFF_1000$$$CH75L70000</t>
  </si>
  <si>
    <t>DFLTPGCOH_002060</t>
  </si>
  <si>
    <t>DFLTPGCOH_002119</t>
  </si>
  <si>
    <t>DFLTPGCOH_002145</t>
  </si>
  <si>
    <t>DFLTPGCOH_002072</t>
  </si>
  <si>
    <t>DFLTPGCOH_002002</t>
  </si>
  <si>
    <t>DFLTPGCOH_000000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</si>
  <si>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</si>
  <si>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</si>
  <si>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</si>
  <si>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</si>
  <si>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</si>
  <si>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</si>
  <si>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</si>
  <si>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</si>
  <si>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</si>
  <si>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</si>
  <si>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</si>
  <si>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</si>
  <si>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</si>
  <si>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</si>
  <si>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</si>
  <si>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</si>
  <si>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</si>
  <si>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</si>
  <si>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</si>
  <si>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</si>
  <si>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</si>
  <si>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G000001129</t>
  </si>
  <si>
    <t>CLFF_1000$$$DE10GTX000</t>
  </si>
  <si>
    <t>H000002867_IO</t>
  </si>
  <si>
    <t>H000000772</t>
  </si>
  <si>
    <t>H000004376</t>
  </si>
  <si>
    <t>H000004379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</si>
</sst>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68.911365509259" createdVersion="7" refreshedVersion="7" minRefreshableVersion="3" recordCount="2917" xr:uid="{11839AE3-6158-4318-87AD-2C711D0BF451}">
  <cacheSource type="worksheet">
    <worksheetSource name="Proc"/>
  </cacheSource>
  <cacheFields count="19">
    <cacheField name="App" numFmtId="0">
      <sharedItems containsBlank="1" count="149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7-31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5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1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5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3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2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2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2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2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2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2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2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2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2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2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2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2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2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2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2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2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2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2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2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2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2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2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2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2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2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2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2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2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2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2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2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2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2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2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2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2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2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2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2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2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2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2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2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2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2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2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2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2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2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2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2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2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2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2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2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1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1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1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1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1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1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1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1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1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1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1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1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1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1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1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0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0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0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0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0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0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0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0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0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0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9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9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9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8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8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8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8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8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7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5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5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5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5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5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5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5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5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5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5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5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5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5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5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5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5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5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5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5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5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5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5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5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5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5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5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5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5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5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5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5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5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5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5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5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4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4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4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4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4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4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4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3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3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3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3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3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3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3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3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3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3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3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3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3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2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2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2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2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2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21"/>
    <s v="Jay-R Lizardo"/>
    <m/>
  </r>
  <r>
    <x v="272"/>
    <x v="1"/>
    <x v="5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2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2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2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4"/>
    <s v="Thomas Mervoyer"/>
    <m/>
  </r>
  <r>
    <x v="290"/>
    <x v="0"/>
    <x v="2"/>
    <s v="CLFF_1000$$$DE50O00001"/>
    <s v="H000004396"/>
    <e v="#N/A"/>
    <s v="LFF (MDG-F)"/>
    <s v="DE50O00001"/>
    <m/>
    <e v="#N/A"/>
    <x v="1"/>
    <x v="3"/>
    <d v="2025-07-14T21:50:37"/>
    <m/>
    <m/>
    <x v="1"/>
    <n v="12"/>
    <s v="Henry Ifurung Jr."/>
    <m/>
  </r>
  <r>
    <x v="291"/>
    <x v="0"/>
    <x v="2"/>
    <s v="CTEMPLA_1000BR10500161"/>
    <s v="L000013386"/>
    <e v="#N/A"/>
    <s v="Non-LFF"/>
    <s v=""/>
    <m/>
    <e v="#N/A"/>
    <x v="1"/>
    <x v="3"/>
    <d v="2025-07-15T21:50:37"/>
    <m/>
    <m/>
    <x v="1"/>
    <n v="11"/>
    <s v="Henry Ifurung Jr."/>
    <m/>
  </r>
  <r>
    <x v="292"/>
    <x v="0"/>
    <x v="2"/>
    <s v="D00120000000000"/>
    <s v="P000001232"/>
    <e v="#N/A"/>
    <s v="Non-LFF"/>
    <s v=""/>
    <m/>
    <e v="#N/A"/>
    <x v="3"/>
    <x v="3"/>
    <d v="2025-07-15T21:50:37"/>
    <m/>
    <m/>
    <x v="1"/>
    <n v="11"/>
    <s v="Roselle Delos Angeles"/>
    <m/>
  </r>
  <r>
    <x v="292"/>
    <x v="0"/>
    <x v="2"/>
    <s v="D00128200000000"/>
    <s v="P000000698"/>
    <e v="#N/A"/>
    <s v="Non-LFF"/>
    <s v=""/>
    <m/>
    <e v="#N/A"/>
    <x v="3"/>
    <x v="3"/>
    <d v="2025-07-15T21:50:37"/>
    <m/>
    <m/>
    <x v="1"/>
    <n v="1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"/>
    <s v="Diana William"/>
    <m/>
  </r>
  <r>
    <x v="294"/>
    <x v="0"/>
    <x v="2"/>
    <s v="CSCALA_1248$LSQR"/>
    <s v="L000011363"/>
    <e v="#N/A"/>
    <s v="Non-LFF"/>
    <s v=""/>
    <m/>
    <e v="#N/A"/>
    <x v="0"/>
    <x v="3"/>
    <d v="2025-07-16T21:50:37"/>
    <m/>
    <m/>
    <x v="1"/>
    <n v="10"/>
    <s v="Diana William"/>
    <m/>
  </r>
  <r>
    <x v="295"/>
    <x v="0"/>
    <x v="2"/>
    <s v="CLFF_7210$$$2102TPSZ93 "/>
    <s v="L000013788"/>
    <e v="#N/A"/>
    <s v="LFF (MDG-F)"/>
    <s v="2102TPSZ93"/>
    <m/>
    <e v="#N/A"/>
    <x v="2"/>
    <x v="3"/>
    <d v="2025-07-16T21:50:37"/>
    <m/>
    <m/>
    <x v="1"/>
    <n v="1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0"/>
    <n v="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0"/>
    <n v="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0"/>
    <n v="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0"/>
    <n v="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0"/>
    <n v="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0"/>
    <n v="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0"/>
    <n v="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0"/>
    <n v="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0"/>
    <n v="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0"/>
    <n v="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0"/>
    <n v="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0"/>
    <n v="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0"/>
    <n v="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0"/>
    <n v="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0"/>
    <n v="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0"/>
    <n v="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0"/>
    <n v="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0"/>
    <n v="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0"/>
    <n v="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0"/>
    <n v="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0"/>
    <n v="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0"/>
    <n v="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0"/>
    <n v="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0"/>
    <n v="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0"/>
    <n v="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0"/>
    <n v="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0"/>
    <n v="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0"/>
    <n v="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0"/>
    <n v="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0"/>
    <n v="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0"/>
    <n v="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0"/>
    <n v="2"/>
    <s v="Joan Rose Pena"/>
    <m/>
  </r>
  <r>
    <x v="309"/>
    <x v="1"/>
    <x v="6"/>
    <s v="CLFF_1000$$$NO50R00005"/>
    <s v="H000000729"/>
    <s v="DFLTPGCOH_002367"/>
    <s v="LFF (MDG-F)"/>
    <s v="NO50R00005"/>
    <m/>
    <b v="0"/>
    <x v="1"/>
    <x v="3"/>
    <d v="2025-07-28T12:24:11"/>
    <m/>
    <m/>
    <x v="0"/>
    <n v="2"/>
    <s v="Gay Geanuza del Mundo"/>
    <m/>
  </r>
  <r>
    <x v="309"/>
    <x v="1"/>
    <x v="6"/>
    <s v="CLFF_1000$$$CH75L70000"/>
    <s v="H000000910"/>
    <s v="DFLTPGCOH_001214"/>
    <s v="LFF (MDG-F)"/>
    <s v="CH75L70000"/>
    <m/>
    <b v="0"/>
    <x v="1"/>
    <x v="3"/>
    <d v="2025-07-28T12:24:11"/>
    <m/>
    <m/>
    <x v="0"/>
    <n v="2"/>
    <s v="Gay Geanuza del Mundo"/>
    <m/>
  </r>
  <r>
    <x v="309"/>
    <x v="1"/>
    <x v="6"/>
    <s v="CLFF_1000$$$DE50R06355"/>
    <s v="H000000737"/>
    <s v="DFLTPGCOH_001261"/>
    <s v="LFF (MDG-F)"/>
    <s v="DE50R06355"/>
    <m/>
    <b v="0"/>
    <x v="1"/>
    <x v="3"/>
    <d v="2025-07-28T12:24:11"/>
    <m/>
    <m/>
    <x v="0"/>
    <n v="2"/>
    <s v="Gay Geanuza del Mundo"/>
    <m/>
  </r>
  <r>
    <x v="310"/>
    <x v="1"/>
    <x v="5"/>
    <s v="ITEMPLA_001520001102"/>
    <s v="H000002867"/>
    <s v="G000000634_IO"/>
    <s v="Non-LFF"/>
    <s v=""/>
    <m/>
    <b v="0"/>
    <x v="1"/>
    <x v="3"/>
    <d v="2025-07-28T12:24:11"/>
    <m/>
    <m/>
    <x v="0"/>
    <n v="2"/>
    <s v="Henry Ifurung Jr."/>
    <m/>
  </r>
  <r>
    <x v="311"/>
    <x v="1"/>
    <x v="5"/>
    <s v="CNOW_7210$$$0000056337 "/>
    <s v="L000013375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7210$$$0000052358 "/>
    <s v="L000013120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ROW$$$$0000091826 "/>
    <s v="L000013436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7210$$$0000270009 "/>
    <s v="L000013276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7210$$$0000015416 "/>
    <s v="L000010037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7210$$$0000056421 "/>
    <s v="L000011306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D30013400000000 Project Lotus"/>
    <s v="L000006623"/>
    <m/>
    <s v="Non-LFF"/>
    <s v=""/>
    <m/>
    <b v="0"/>
    <x v="2"/>
    <x v="3"/>
    <d v="2025-07-30T00:00:00"/>
    <m/>
    <m/>
    <x v="0"/>
    <n v="0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494">
        <item m="1" x="878"/>
        <item x="0"/>
        <item m="1" x="948"/>
        <item m="1" x="1369"/>
        <item m="1" x="531"/>
        <item m="1" x="1386"/>
        <item m="1" x="908"/>
        <item m="1" x="998"/>
        <item m="1" x="1419"/>
        <item m="1" x="1213"/>
        <item m="1" x="901"/>
        <item m="1" x="1485"/>
        <item m="1" x="1231"/>
        <item m="1" x="1475"/>
        <item m="1" x="849"/>
        <item m="1" x="750"/>
        <item m="1" x="454"/>
        <item m="1" x="715"/>
        <item m="1" x="1439"/>
        <item m="1" x="507"/>
        <item m="1" x="815"/>
        <item m="1" x="1183"/>
        <item m="1" x="898"/>
        <item m="1" x="991"/>
        <item m="1" x="1287"/>
        <item m="1" x="1472"/>
        <item m="1" x="933"/>
        <item m="1" x="955"/>
        <item m="1" x="720"/>
        <item m="1" x="1121"/>
        <item m="1" x="880"/>
        <item m="1" x="1426"/>
        <item m="1" x="1083"/>
        <item m="1" x="516"/>
        <item m="1" x="624"/>
        <item m="1" x="1411"/>
        <item m="1" x="1175"/>
        <item m="1" x="429"/>
        <item m="1" x="1261"/>
        <item m="1" x="927"/>
        <item m="1" x="1222"/>
        <item m="1" x="808"/>
        <item m="1" x="1160"/>
        <item m="1" x="419"/>
        <item m="1" x="449"/>
        <item m="1" x="1488"/>
        <item m="1" x="1167"/>
        <item m="1" x="1235"/>
        <item m="1" x="1342"/>
        <item m="1" x="1111"/>
        <item m="1" x="1209"/>
        <item m="1" x="1048"/>
        <item m="1" x="503"/>
        <item m="1" x="694"/>
        <item m="1" x="1470"/>
        <item m="1" x="1038"/>
        <item m="1" x="1178"/>
        <item m="1" x="706"/>
        <item m="1" x="667"/>
        <item m="1" x="959"/>
        <item m="1" x="851"/>
        <item m="1" x="884"/>
        <item m="1" x="443"/>
        <item m="1" x="582"/>
        <item m="1" x="1244"/>
        <item m="1" x="1461"/>
        <item m="1" x="647"/>
        <item m="1" x="1052"/>
        <item m="1" x="1062"/>
        <item m="1" x="1239"/>
        <item m="1" x="1349"/>
        <item m="1" x="1227"/>
        <item m="1" x="522"/>
        <item m="1" x="1370"/>
        <item m="1" x="1100"/>
        <item m="1" x="1087"/>
        <item m="1" x="622"/>
        <item m="1" x="975"/>
        <item m="1" x="1322"/>
        <item m="1" x="440"/>
        <item m="1" x="1019"/>
        <item m="1" x="1372"/>
        <item m="1" x="1210"/>
        <item m="1" x="945"/>
        <item m="1" x="987"/>
        <item m="1" x="868"/>
        <item m="1" x="1103"/>
        <item m="1" x="915"/>
        <item m="1" x="1147"/>
        <item m="1" x="631"/>
        <item m="1" x="1460"/>
        <item m="1" x="985"/>
        <item m="1" x="1271"/>
        <item m="1" x="348"/>
        <item m="1" x="1476"/>
        <item m="1" x="1012"/>
        <item m="1" x="1301"/>
        <item m="1" x="1214"/>
        <item m="1" x="992"/>
        <item m="1" x="502"/>
        <item m="1" x="509"/>
        <item m="1" x="549"/>
        <item m="1" x="731"/>
        <item m="1" x="1155"/>
        <item m="1" x="916"/>
        <item m="1" x="1032"/>
        <item m="1" x="1095"/>
        <item m="1" x="1242"/>
        <item m="1" x="1325"/>
        <item m="1" x="887"/>
        <item m="1" x="608"/>
        <item m="1" x="451"/>
        <item m="1" x="594"/>
        <item m="1" x="1469"/>
        <item m="1" x="626"/>
        <item m="1" x="1307"/>
        <item m="1" x="1236"/>
        <item m="1" x="854"/>
        <item m="1" x="926"/>
        <item m="1" x="792"/>
        <item m="1" x="1049"/>
        <item m="1" x="1424"/>
        <item m="1" x="600"/>
        <item m="1" x="548"/>
        <item m="1" x="483"/>
        <item m="1" x="1149"/>
        <item m="1" x="1409"/>
        <item m="1" x="1337"/>
        <item m="1" x="994"/>
        <item m="1" x="518"/>
        <item m="1" x="1243"/>
        <item m="1" x="695"/>
        <item m="1" x="949"/>
        <item m="1" x="1124"/>
        <item m="1" x="1232"/>
        <item m="1" x="352"/>
        <item m="1" x="1181"/>
        <item m="1" x="1144"/>
        <item m="1" x="585"/>
        <item m="1" x="1033"/>
        <item m="1" x="921"/>
        <item m="1" x="874"/>
        <item m="1" x="607"/>
        <item m="1" x="543"/>
        <item m="1" x="783"/>
        <item m="1" x="970"/>
        <item m="1" x="377"/>
        <item m="1" x="716"/>
        <item m="1" x="575"/>
        <item m="1" x="317"/>
        <item m="1" x="827"/>
        <item m="1" x="1028"/>
        <item m="1" x="910"/>
        <item m="1" x="956"/>
        <item m="1" x="1275"/>
        <item m="1" x="857"/>
        <item m="1" x="1383"/>
        <item m="1" x="1107"/>
        <item m="1" x="1046"/>
        <item m="1" x="560"/>
        <item m="1" x="1193"/>
        <item m="1" x="1471"/>
        <item m="1" x="1159"/>
        <item m="1" x="1143"/>
        <item m="1" x="430"/>
        <item m="1" x="478"/>
        <item m="1" x="1013"/>
        <item m="1" x="519"/>
        <item m="1" x="1456"/>
        <item m="1" x="1122"/>
        <item m="1" x="1047"/>
        <item m="1" x="999"/>
        <item m="1" x="800"/>
        <item m="1" x="428"/>
        <item m="1" x="528"/>
        <item m="1" x="634"/>
        <item m="1" x="1367"/>
        <item m="1" x="1399"/>
        <item m="1" x="1098"/>
        <item m="1" x="825"/>
        <item m="1" x="913"/>
        <item m="1" x="423"/>
        <item m="1" x="463"/>
        <item m="1" x="802"/>
        <item m="1" x="1027"/>
        <item m="1" x="940"/>
        <item m="1" x="598"/>
        <item m="1" x="831"/>
        <item m="1" x="545"/>
        <item m="1" x="740"/>
        <item m="1" x="662"/>
        <item m="1" x="497"/>
        <item m="1" x="633"/>
        <item m="1" x="1003"/>
        <item m="1" x="413"/>
        <item m="1" x="652"/>
        <item m="1" x="444"/>
        <item m="1" x="1137"/>
        <item m="1" x="1326"/>
        <item m="1" x="936"/>
        <item m="1" x="580"/>
        <item m="1" x="1230"/>
        <item m="1" x="1075"/>
        <item m="1" x="592"/>
        <item m="1" x="593"/>
        <item m="1" x="778"/>
        <item m="1" x="468"/>
        <item m="1" x="657"/>
        <item m="1" x="452"/>
        <item m="1" x="638"/>
        <item m="1" x="1206"/>
        <item m="1" x="717"/>
        <item m="1" x="1084"/>
        <item m="1" x="1134"/>
        <item m="1" x="1268"/>
        <item m="1" x="1272"/>
        <item m="1" x="989"/>
        <item m="1" x="830"/>
        <item m="1" x="869"/>
        <item m="1" x="1436"/>
        <item m="1" x="729"/>
        <item m="1" x="541"/>
        <item m="1" x="919"/>
        <item m="1" x="376"/>
        <item m="1" x="1440"/>
        <item m="1" x="903"/>
        <item m="1" x="337"/>
        <item m="1" x="1358"/>
        <item m="1" x="1401"/>
        <item m="1" x="1238"/>
        <item m="1" x="615"/>
        <item m="1" x="354"/>
        <item m="1" x="1288"/>
        <item m="1" x="679"/>
        <item m="1" x="315"/>
        <item m="1" x="1459"/>
        <item m="1" x="703"/>
        <item m="1" x="858"/>
        <item m="1" x="1303"/>
        <item m="1" x="390"/>
        <item m="1" x="1215"/>
        <item m="1" x="1023"/>
        <item m="1" x="888"/>
        <item m="1" x="758"/>
        <item m="1" x="505"/>
        <item m="1" x="1006"/>
        <item m="1" x="708"/>
        <item m="1" x="1246"/>
        <item m="1" x="568"/>
        <item m="1" x="1316"/>
        <item m="1" x="1323"/>
        <item m="1" x="1007"/>
        <item m="1" x="1197"/>
        <item m="1" x="614"/>
        <item m="1" x="911"/>
        <item m="1" x="1200"/>
        <item m="1" x="784"/>
        <item m="1" x="1074"/>
        <item m="1" x="713"/>
        <item m="1" x="498"/>
        <item m="1" x="702"/>
        <item m="1" x="1468"/>
        <item m="1" x="1410"/>
        <item m="1" x="555"/>
        <item m="1" x="1356"/>
        <item m="1" x="362"/>
        <item m="1" x="1378"/>
        <item m="1" x="397"/>
        <item m="1" x="699"/>
        <item m="1" x="797"/>
        <item m="1" x="744"/>
        <item m="1" x="1351"/>
        <item m="1" x="1254"/>
        <item m="1" x="495"/>
        <item m="1" x="1065"/>
        <item m="1" x="1273"/>
        <item m="1" x="1407"/>
        <item m="1" x="1314"/>
        <item m="1" x="400"/>
        <item m="1" x="1480"/>
        <item m="1" x="551"/>
        <item m="1" x="832"/>
        <item m="1" x="1276"/>
        <item m="1" x="399"/>
        <item m="1" x="1335"/>
        <item m="1" x="564"/>
        <item m="1" x="1208"/>
        <item m="1" x="1072"/>
        <item m="1" x="1050"/>
        <item m="1" x="629"/>
        <item m="1" x="591"/>
        <item m="1" x="1403"/>
        <item m="1" x="344"/>
        <item m="1" x="526"/>
        <item m="1" x="1185"/>
        <item m="1" x="1296"/>
        <item m="1" x="1223"/>
        <item m="1" x="1427"/>
        <item m="1" x="931"/>
        <item m="1" x="558"/>
        <item m="1" x="678"/>
        <item m="1" x="997"/>
        <item m="1" x="739"/>
        <item m="1" x="1067"/>
        <item m="1" x="680"/>
        <item m="1" x="482"/>
        <item m="1" x="1135"/>
        <item m="1" x="537"/>
        <item m="1" x="417"/>
        <item m="1" x="1269"/>
        <item m="1" x="1416"/>
        <item m="1" x="1117"/>
        <item m="1" x="382"/>
        <item m="1" x="1308"/>
        <item m="1" x="1106"/>
        <item m="1" x="1216"/>
        <item m="1" x="1355"/>
        <item m="1" x="583"/>
        <item m="1" x="775"/>
        <item m="1" x="613"/>
        <item m="1" x="881"/>
        <item m="1" x="805"/>
        <item m="1" x="835"/>
        <item m="1" x="1371"/>
        <item m="1" x="817"/>
        <item m="1" x="1020"/>
        <item m="1" x="552"/>
        <item m="1" x="751"/>
        <item m="1" x="725"/>
        <item m="1" x="1068"/>
        <item m="1" x="971"/>
        <item m="1" x="1199"/>
        <item m="1" x="721"/>
        <item m="1" x="1357"/>
        <item m="1" x="559"/>
        <item m="1" x="485"/>
        <item m="1" x="741"/>
        <item m="1" x="1282"/>
        <item m="1" x="392"/>
        <item m="1" x="393"/>
        <item m="1" x="689"/>
        <item m="1" x="1362"/>
        <item m="1" x="756"/>
        <item m="1" x="401"/>
        <item m="1" x="561"/>
        <item m="1" x="803"/>
        <item m="1" x="1114"/>
        <item m="1" x="1086"/>
        <item m="1" x="757"/>
        <item m="1" x="338"/>
        <item m="1" x="476"/>
        <item m="1" x="688"/>
        <item m="1" x="576"/>
        <item m="1" x="333"/>
        <item m="1" x="1286"/>
        <item m="1" x="1415"/>
        <item m="1" x="885"/>
        <item m="1" x="1315"/>
        <item m="1" x="1375"/>
        <item m="1" x="398"/>
        <item m="1" x="1413"/>
        <item m="1" x="1151"/>
        <item m="1" x="574"/>
        <item m="1" x="760"/>
        <item m="1" x="664"/>
        <item m="1" x="1026"/>
        <item m="1" x="597"/>
        <item m="1" x="813"/>
        <item m="1" x="1108"/>
        <item m="1" x="1233"/>
        <item m="1" x="736"/>
        <item m="1" x="864"/>
        <item m="1" x="676"/>
        <item m="1" x="602"/>
        <item m="1" x="1113"/>
        <item m="1" x="1228"/>
        <item m="1" x="1390"/>
        <item m="1" x="432"/>
        <item m="1" x="636"/>
        <item m="1" x="1076"/>
        <item m="1" x="477"/>
        <item m="1" x="764"/>
        <item m="1" x="1145"/>
        <item m="1" x="410"/>
        <item m="1" x="620"/>
        <item m="1" x="730"/>
        <item m="1" x="1336"/>
        <item m="1" x="569"/>
        <item m="1" x="839"/>
        <item m="1" x="1392"/>
        <item m="1" x="520"/>
        <item m="1" x="709"/>
        <item m="1" x="897"/>
        <item m="1" x="1234"/>
        <item m="1" x="532"/>
        <item m="1" x="788"/>
        <item m="1" x="630"/>
        <item m="1" x="1126"/>
        <item m="1" x="1312"/>
        <item m="1" x="438"/>
        <item m="1" x="658"/>
        <item m="1" x="1394"/>
        <item m="1" x="1359"/>
        <item m="1" x="459"/>
        <item m="1" x="776"/>
        <item m="1" x="1300"/>
        <item m="1" x="1431"/>
        <item m="1" x="1302"/>
        <item m="1" x="1277"/>
        <item m="1" x="408"/>
        <item m="1" x="584"/>
        <item m="1" x="666"/>
        <item m="1" x="655"/>
        <item m="1" x="882"/>
        <item m="1" x="370"/>
        <item m="1" x="1069"/>
        <item m="1" x="1140"/>
        <item m="1" x="322"/>
        <item m="1" x="1400"/>
        <item m="1" x="1262"/>
        <item m="1" x="1391"/>
        <item m="1" x="1421"/>
        <item m="1" x="1457"/>
        <item m="1" x="1395"/>
        <item m="1" x="759"/>
        <item m="1" x="1119"/>
        <item m="1" x="726"/>
        <item m="1" x="1132"/>
        <item m="1" x="1097"/>
        <item m="1" x="535"/>
        <item m="1" x="573"/>
        <item m="1" x="711"/>
        <item m="1" x="1176"/>
        <item m="1" x="696"/>
        <item m="1" x="442"/>
        <item m="1" x="1441"/>
        <item m="1" x="1191"/>
        <item m="1" x="1024"/>
        <item m="1" x="1056"/>
        <item m="1" x="1105"/>
        <item m="1" x="530"/>
        <item m="1" x="872"/>
        <item m="1" x="1217"/>
        <item m="1" x="368"/>
        <item m="1" x="611"/>
        <item m="1" x="511"/>
        <item m="1" x="508"/>
        <item m="1" x="512"/>
        <item m="1" x="313"/>
        <item m="1" x="534"/>
        <item m="1" x="1331"/>
        <item m="1" x="335"/>
        <item m="1" x="981"/>
        <item m="1" x="1418"/>
        <item m="1" x="1229"/>
        <item m="1" x="489"/>
        <item m="1" x="1489"/>
        <item m="1" x="418"/>
        <item m="1" x="785"/>
        <item m="1" x="1008"/>
        <item m="1" x="464"/>
        <item m="1" x="917"/>
        <item m="1" x="1077"/>
        <item m="1" x="1345"/>
        <item m="1" x="1247"/>
        <item m="1" x="326"/>
        <item m="1" x="1009"/>
        <item m="1" x="409"/>
        <item m="1" x="645"/>
        <item m="1" x="617"/>
        <item m="1" x="379"/>
        <item m="1" x="972"/>
        <item m="1" x="979"/>
        <item m="1" x="1079"/>
        <item m="1" x="828"/>
        <item m="1" x="1328"/>
        <item m="1" x="737"/>
        <item m="1" x="1447"/>
        <item m="1" x="1082"/>
        <item m="1" x="973"/>
        <item m="1" x="637"/>
        <item m="1" x="1045"/>
        <item m="1" x="1343"/>
        <item m="1" x="1408"/>
        <item m="1" x="1387"/>
        <item m="1" x="1317"/>
        <item m="1" x="1066"/>
        <item m="1" x="1179"/>
        <item m="1" x="692"/>
        <item m="1" x="1141"/>
        <item m="1" x="966"/>
        <item m="1" x="925"/>
        <item m="1" x="923"/>
        <item m="1" x="924"/>
        <item m="1" x="621"/>
        <item m="1" x="665"/>
        <item m="1" x="1278"/>
        <item m="1" x="843"/>
        <item m="1" x="685"/>
        <item m="1" x="727"/>
        <item m="1" x="773"/>
        <item m="1" x="1025"/>
        <item m="1" x="1363"/>
        <item m="1" x="1452"/>
        <item m="1" x="570"/>
        <item m="1" x="521"/>
        <item m="1" x="358"/>
        <item m="1" x="380"/>
        <item m="1" x="677"/>
        <item m="1" x="465"/>
        <item m="1" x="793"/>
        <item m="1" x="1329"/>
        <item m="1" x="670"/>
        <item m="1" x="462"/>
        <item m="1" x="1221"/>
        <item m="1" x="339"/>
        <item m="1" x="1347"/>
        <item m="1" x="1422"/>
        <item m="1" x="1486"/>
        <item m="1" x="1361"/>
        <item m="1" x="604"/>
        <item m="1" x="381"/>
        <item m="1" x="845"/>
        <item m="1" x="929"/>
        <item m="1" x="1125"/>
        <item m="1" x="1093"/>
        <item m="1" x="1129"/>
        <item m="1" x="906"/>
        <item m="1" x="944"/>
        <item m="1" x="1385"/>
        <item m="1" x="1148"/>
        <item m="1" x="1118"/>
        <item m="1" x="1057"/>
        <item m="1" x="1130"/>
        <item m="1" x="331"/>
        <item m="1" x="336"/>
        <item m="1" x="939"/>
        <item m="1" x="1324"/>
        <item m="1" x="894"/>
        <item m="1" x="1464"/>
        <item m="1" x="863"/>
        <item m="1" x="1039"/>
        <item m="1" x="1110"/>
        <item m="1" x="724"/>
        <item m="1" x="556"/>
        <item m="1" x="932"/>
        <item m="1" x="618"/>
        <item m="1" x="1473"/>
        <item m="1" x="1388"/>
        <item m="1" x="1201"/>
        <item m="1" x="458"/>
        <item m="1" x="385"/>
        <item m="1" x="958"/>
        <item m="1" x="1202"/>
        <item m="1" x="1491"/>
        <item m="1" x="837"/>
        <item m="1" x="1438"/>
        <item m="1" x="372"/>
        <item m="1" x="486"/>
        <item m="1" x="798"/>
        <item m="1" x="889"/>
        <item m="1" x="1318"/>
        <item m="1" x="642"/>
        <item m="1" x="1321"/>
        <item m="1" x="738"/>
        <item m="1" x="1310"/>
        <item m="1" x="1474"/>
        <item m="1" x="402"/>
        <item m="1" x="1458"/>
        <item m="1" x="349"/>
        <item m="1" x="1211"/>
        <item m="1" x="829"/>
        <item m="1" x="660"/>
        <item m="1" x="623"/>
        <item m="1" x="767"/>
        <item m="1" x="366"/>
        <item m="1" x="1451"/>
        <item m="1" x="450"/>
        <item m="1" x="471"/>
        <item m="1" x="1344"/>
        <item m="1" x="1423"/>
        <item m="1" x="937"/>
        <item m="1" x="1078"/>
        <item m="1" x="779"/>
        <item m="1" x="892"/>
        <item m="1" x="1041"/>
        <item m="1" x="1158"/>
        <item m="1" x="745"/>
        <item m="1" x="1021"/>
        <item m="1" x="840"/>
        <item m="1" x="1477"/>
        <item m="1" x="330"/>
        <item m="1" x="769"/>
        <item m="1" x="710"/>
        <item m="1" x="671"/>
        <item m="1" x="1465"/>
        <item m="1" x="1283"/>
        <item m="1" x="1414"/>
        <item m="1" x="427"/>
        <item m="1" x="1425"/>
        <item m="1" x="1412"/>
        <item m="1" x="1289"/>
        <item m="1" x="524"/>
        <item m="1" x="893"/>
        <item m="1" x="986"/>
        <item m="1" x="732"/>
        <item m="1" x="1330"/>
        <item m="1" x="1116"/>
        <item m="1" x="1136"/>
        <item m="1" x="1030"/>
        <item m="1" x="373"/>
        <item m="1" x="1203"/>
        <item m="1" x="1365"/>
        <item m="1" x="770"/>
        <item m="1" x="1484"/>
        <item m="1" x="978"/>
        <item m="1" x="565"/>
        <item m="1" x="698"/>
        <item m="1" x="734"/>
        <item m="1" x="1393"/>
        <item m="1" x="1377"/>
        <item m="1" x="437"/>
        <item m="1" x="439"/>
        <item m="1" x="353"/>
        <item m="1" x="1313"/>
        <item m="1" x="355"/>
        <item m="1" x="772"/>
        <item m="1" x="672"/>
        <item m="1" x="1128"/>
        <item m="1" x="1071"/>
        <item m="1" x="1420"/>
        <item m="1" x="1352"/>
        <item m="1" x="844"/>
        <item m="1" x="1058"/>
        <item m="1" x="1293"/>
        <item m="1" x="406"/>
        <item m="1" x="838"/>
        <item m="1" x="768"/>
        <item m="1" x="1462"/>
        <item m="1" x="1429"/>
        <item m="1" x="860"/>
        <item m="1" x="466"/>
        <item m="1" x="761"/>
        <item m="1" x="934"/>
        <item m="1" x="388"/>
        <item m="1" x="1224"/>
        <item m="1" x="818"/>
        <item m="1" x="628"/>
        <item m="1" x="722"/>
        <item m="1" x="1168"/>
        <item m="1" x="1467"/>
        <item m="1" x="546"/>
        <item m="1" x="1319"/>
        <item m="1" x="540"/>
        <item m="1" x="1104"/>
        <item m="1" x="876"/>
        <item m="1" x="807"/>
        <item m="1" x="529"/>
        <item m="1" x="596"/>
        <item m="1" x="384"/>
        <item m="1" x="1184"/>
        <item m="1" x="697"/>
        <item m="1" x="421"/>
        <item m="1" x="1035"/>
        <item m="1" x="1350"/>
        <item m="1" x="890"/>
        <item m="1" x="848"/>
        <item m="1" x="319"/>
        <item m="1" x="1455"/>
        <item m="1" x="705"/>
        <item m="1" x="765"/>
        <item m="1" x="1172"/>
        <item m="1" x="1449"/>
        <item m="1" x="1374"/>
        <item m="1" x="1225"/>
        <item m="1" x="1340"/>
        <item m="1" x="501"/>
        <item m="1" x="700"/>
        <item m="1" x="533"/>
        <item m="1" x="325"/>
        <item m="1" x="938"/>
        <item m="1" x="387"/>
        <item m="1" x="609"/>
        <item m="1" x="553"/>
        <item m="1" x="499"/>
        <item m="1" x="1454"/>
        <item m="1" x="550"/>
        <item m="1" x="1152"/>
        <item m="1" x="1364"/>
        <item m="1" x="490"/>
        <item m="1" x="394"/>
        <item m="1" x="1187"/>
        <item m="1" x="1163"/>
        <item m="1" x="1204"/>
        <item m="1" x="1123"/>
        <item m="1" x="467"/>
        <item m="1" x="823"/>
        <item m="1" x="1091"/>
        <item m="1" x="1341"/>
        <item m="1" x="935"/>
        <item m="1" x="1053"/>
        <item m="1" x="1397"/>
        <item m="1" x="809"/>
        <item m="1" x="653"/>
        <item m="1" x="886"/>
        <item m="1" x="833"/>
        <item m="1" x="763"/>
        <item m="1" x="1280"/>
        <item m="1" x="967"/>
        <item m="1" x="1063"/>
        <item m="1" x="314"/>
        <item m="1" x="859"/>
        <item m="1" x="461"/>
        <item m="1" x="728"/>
        <item m="1" x="866"/>
        <item m="1" x="396"/>
        <item m="1" x="513"/>
        <item m="1" x="968"/>
        <item m="1" x="1165"/>
        <item m="1" x="1435"/>
        <item m="1" x="1478"/>
        <item m="1" x="1088"/>
        <item m="1" x="436"/>
        <item m="1" x="364"/>
        <item m="1" x="950"/>
        <item m="1" x="572"/>
        <item m="1" x="846"/>
        <item m="1" x="474"/>
        <item m="1" x="577"/>
        <item m="1" x="1004"/>
        <item m="1" x="1360"/>
        <item m="1" x="1291"/>
        <item m="1" x="707"/>
        <item m="1" x="742"/>
        <item m="1" x="1018"/>
        <item m="1" x="1448"/>
        <item m="1" x="1174"/>
        <item m="1" x="340"/>
        <item m="1" x="1402"/>
        <item m="1" x="448"/>
        <item m="1" x="1094"/>
        <item m="1" x="1139"/>
        <item m="1" x="1142"/>
        <item m="1" x="1482"/>
        <item m="1" x="375"/>
        <item m="1" x="1153"/>
        <item m="1" x="1250"/>
        <item m="1" x="1022"/>
        <item m="1" x="1192"/>
        <item m="1" x="434"/>
        <item m="1" x="826"/>
        <item m="1" x="673"/>
        <item m="1" x="1285"/>
        <item m="1" x="1380"/>
        <item m="1" x="909"/>
        <item m="1" x="1348"/>
        <item m="1" x="1396"/>
        <item m="1" x="749"/>
        <item m="1" x="1252"/>
        <item m="1" x="1115"/>
        <item m="1" x="1398"/>
        <item m="1" x="1442"/>
        <item m="1" x="1180"/>
        <item m="1" x="790"/>
        <item m="1" x="595"/>
        <item m="1" x="1430"/>
        <item m="1" x="977"/>
        <item m="1" x="951"/>
        <item m="1" x="960"/>
        <item m="1" x="1481"/>
        <item m="1" x="1205"/>
        <item m="1" x="900"/>
        <item m="1" x="1169"/>
        <item m="1" x="1146"/>
        <item m="1" x="762"/>
        <item m="1" x="663"/>
        <item m="1" x="1162"/>
        <item m="1" x="557"/>
        <item m="1" x="514"/>
        <item m="1" x="456"/>
        <item m="1" x="1443"/>
        <item m="1" x="1059"/>
        <item m="1" x="794"/>
        <item m="1" x="875"/>
        <item m="1" x="356"/>
        <item m="1" x="1432"/>
        <item m="1" x="983"/>
        <item m="1" x="1131"/>
        <item m="1" x="579"/>
        <item m="1" x="1263"/>
        <item m="1" x="766"/>
        <item m="1" x="659"/>
        <item m="1" x="1487"/>
        <item m="1" x="789"/>
        <item m="1" x="1428"/>
        <item m="1" x="1014"/>
        <item m="1" x="690"/>
        <item m="1" x="481"/>
        <item m="1" x="424"/>
        <item m="1" x="718"/>
        <item m="1" x="415"/>
        <item m="1" x="386"/>
        <item m="1" x="403"/>
        <item m="1" x="682"/>
        <item m="1" x="527"/>
        <item m="1" x="834"/>
        <item m="1" x="891"/>
        <item m="1" x="990"/>
        <item m="1" x="861"/>
        <item m="1" x="1194"/>
        <item m="1" x="1258"/>
        <item m="1" x="470"/>
        <item m="1" x="480"/>
        <item m="1" x="669"/>
        <item m="1" x="811"/>
        <item m="1" x="601"/>
        <item m="1" x="1154"/>
        <item m="1" x="904"/>
        <item m="1" x="821"/>
        <item m="1" x="954"/>
        <item m="1" x="1260"/>
        <item m="1" x="1198"/>
        <item m="1" x="1284"/>
        <item m="1" x="1040"/>
        <item m="1" x="460"/>
        <item m="1" x="1466"/>
        <item m="1" x="879"/>
        <item m="1" x="494"/>
        <item m="1" x="318"/>
        <item m="1" x="1463"/>
        <item m="1" x="947"/>
        <item m="1" x="914"/>
        <item m="1" x="686"/>
        <item m="1" x="566"/>
        <item m="1" x="650"/>
        <item m="1" x="804"/>
        <item m="1" x="1379"/>
        <item m="1" x="1298"/>
        <item m="1" x="674"/>
        <item m="1" x="747"/>
        <item m="1" x="754"/>
        <item m="1" x="1292"/>
        <item m="1" x="895"/>
        <item m="1" x="367"/>
        <item m="1" x="928"/>
        <item m="1" x="1207"/>
        <item m="1" x="1333"/>
        <item m="1" x="1226"/>
        <item m="1" x="1034"/>
        <item m="1" x="1332"/>
        <item m="1" x="346"/>
        <item m="1" x="1249"/>
        <item m="1" x="328"/>
        <item m="1" x="668"/>
        <item m="1" x="332"/>
        <item m="1" x="491"/>
        <item m="1" x="581"/>
        <item m="1" x="587"/>
        <item m="1" x="1005"/>
        <item m="1" x="1259"/>
        <item m="1" x="786"/>
        <item m="1" x="357"/>
        <item m="1" x="563"/>
        <item m="1" x="351"/>
        <item m="1" x="1346"/>
        <item m="1" x="571"/>
        <item m="1" x="907"/>
        <item m="1" x="1366"/>
        <item m="1" x="693"/>
        <item m="1" x="635"/>
        <item m="1" x="1031"/>
        <item m="1" x="588"/>
        <item m="1" x="896"/>
        <item m="1" x="1190"/>
        <item m="1" x="329"/>
        <item m="1" x="842"/>
        <item m="1" x="961"/>
        <item m="1" x="453"/>
        <item m="1" x="795"/>
        <item m="1" x="930"/>
        <item m="1" x="681"/>
        <item m="1" x="719"/>
        <item m="1" x="446"/>
        <item m="1" x="852"/>
        <item m="1" x="316"/>
        <item m="1" x="988"/>
        <item m="1" x="1381"/>
        <item m="1" x="1102"/>
        <item m="1" x="1096"/>
        <item m="1" x="995"/>
        <item m="1" x="321"/>
        <item m="1" x="1127"/>
        <item m="1" x="1170"/>
        <item m="1" x="976"/>
        <item m="1" x="320"/>
        <item m="1" x="1327"/>
        <item m="1" x="1294"/>
        <item m="1" x="324"/>
        <item m="1" x="603"/>
        <item m="1" x="993"/>
        <item m="1" x="1248"/>
        <item m="1" x="445"/>
        <item m="1" x="341"/>
        <item m="1" x="500"/>
        <item m="1" x="391"/>
        <item m="1" x="799"/>
        <item m="1" x="612"/>
        <item m="1" x="610"/>
        <item m="1" x="781"/>
        <item m="1" x="883"/>
        <item m="1" x="787"/>
        <item m="1" x="984"/>
        <item m="1" x="836"/>
        <item m="1" x="701"/>
        <item m="1" x="816"/>
        <item m="1" x="1309"/>
        <item m="1" x="1404"/>
        <item m="1" x="661"/>
        <item m="1" x="1384"/>
        <item m="1" x="426"/>
        <item m="1" x="1373"/>
        <item m="1" x="1070"/>
        <item m="1" x="1241"/>
        <item m="1" x="1320"/>
        <item m="1" x="1000"/>
        <item m="1" x="1212"/>
        <item m="1" x="504"/>
        <item m="1" x="487"/>
        <item m="1" x="1109"/>
        <item m="1" x="1081"/>
        <item m="1" x="643"/>
        <item m="1" x="1479"/>
        <item m="1" x="1051"/>
        <item m="1" x="791"/>
        <item m="1" x="865"/>
        <item m="1" x="824"/>
        <item m="1" x="1334"/>
        <item m="1" x="1338"/>
        <item m="1" x="334"/>
        <item m="1" x="1218"/>
        <item m="1" x="1264"/>
        <item m="1" x="383"/>
        <item m="1" x="755"/>
        <item m="1" x="746"/>
        <item m="1" x="1253"/>
        <item m="1" x="952"/>
        <item m="1" x="1156"/>
        <item m="1" x="822"/>
        <item m="1" x="1173"/>
        <item m="1" x="361"/>
        <item m="1" x="484"/>
        <item m="1" x="1453"/>
        <item m="1" x="1073"/>
        <item m="1" x="1445"/>
        <item m="1" x="365"/>
        <item m="1" x="625"/>
        <item m="1" x="441"/>
        <item m="1" x="374"/>
        <item m="1" x="389"/>
        <item m="1" x="941"/>
        <item m="1" x="974"/>
        <item m="1" x="646"/>
        <item m="1" x="1064"/>
        <item m="1" x="1382"/>
        <item m="1" x="733"/>
        <item m="1" x="812"/>
        <item m="1" x="962"/>
        <item m="1" x="1450"/>
        <item m="1" x="627"/>
        <item m="1" x="639"/>
        <item m="1" x="649"/>
        <item m="1" x="1270"/>
        <item m="1" x="1406"/>
        <item m="1" x="323"/>
        <item m="1" x="1150"/>
        <item m="1" x="1446"/>
        <item m="1" x="547"/>
        <item m="1" x="862"/>
        <item m="1" x="1483"/>
        <item m="1" x="1389"/>
        <item m="1" x="536"/>
        <item m="1" x="648"/>
        <item m="1" x="735"/>
        <item m="1" x="1060"/>
        <item m="1" x="1257"/>
        <item m="1" x="492"/>
        <item m="1" x="963"/>
        <item m="1" x="488"/>
        <item m="1" x="457"/>
        <item m="1" x="405"/>
        <item m="1" x="1376"/>
        <item m="1" x="969"/>
        <item m="1" x="1417"/>
        <item m="1" x="810"/>
        <item m="1" x="1434"/>
        <item m="1" x="1186"/>
        <item m="1" x="475"/>
        <item m="1" x="1290"/>
        <item m="1" x="1304"/>
        <item m="1" x="964"/>
        <item m="1" x="1339"/>
        <item m="1" x="1177"/>
        <item m="1" x="1042"/>
        <item m="1" x="359"/>
        <item m="1" x="1188"/>
        <item m="1" x="920"/>
        <item m="1" x="853"/>
        <item m="1" x="1196"/>
        <item m="1" x="780"/>
        <item m="1" x="414"/>
        <item m="1" x="586"/>
        <item m="1" x="363"/>
        <item m="1" x="712"/>
        <item m="1" x="1090"/>
        <item m="1" x="675"/>
        <item m="1" x="538"/>
        <item m="1" x="753"/>
        <item m="1" x="431"/>
        <item m="1" x="683"/>
        <item m="1" x="554"/>
        <item m="1" x="905"/>
        <item m="1" x="1492"/>
        <item m="1" x="946"/>
        <item m="1" x="542"/>
        <item m="1" x="819"/>
        <item m="1" x="525"/>
        <item m="1" x="578"/>
        <item m="1" x="870"/>
        <item m="1" x="1138"/>
        <item m="1" x="855"/>
        <item m="1" x="1305"/>
        <item m="1" x="867"/>
        <item m="1" x="1101"/>
        <item m="1" x="416"/>
        <item m="1" x="899"/>
        <item m="1" x="539"/>
        <item m="1" x="469"/>
        <item m="1" x="1195"/>
        <item m="1" x="510"/>
        <item m="1" x="1219"/>
        <item m="1" x="411"/>
        <item m="1" x="1036"/>
        <item m="1" x="1043"/>
        <item m="1" x="447"/>
        <item m="1" x="965"/>
        <item m="1" x="343"/>
        <item m="1" x="1166"/>
        <item m="1" x="871"/>
        <item m="1" x="1092"/>
        <item m="1" x="1061"/>
        <item m="1" x="1281"/>
        <item m="1" x="1054"/>
        <item m="1" x="632"/>
        <item m="1" x="1133"/>
        <item m="1" x="1267"/>
        <item m="1" x="957"/>
        <item m="1" x="1089"/>
        <item m="1" x="422"/>
        <item m="1" x="1255"/>
        <item m="1" x="912"/>
        <item m="1" x="777"/>
        <item m="1" x="1161"/>
        <item m="1" x="687"/>
        <item m="1" x="1010"/>
        <item m="1" x="544"/>
        <item m="1" x="640"/>
        <item m="1" x="1037"/>
        <item m="1" x="806"/>
        <item m="1" x="350"/>
        <item m="1" x="684"/>
        <item m="1" x="1164"/>
        <item m="1" x="1266"/>
        <item m="1" x="369"/>
        <item m="1" x="654"/>
        <item m="1" x="589"/>
        <item m="1" x="922"/>
        <item m="1" x="1015"/>
        <item m="1" x="455"/>
        <item m="1" x="1437"/>
        <item m="1" x="420"/>
        <item m="1" x="493"/>
        <item m="1" x="1274"/>
        <item m="1" x="782"/>
        <item m="1" x="796"/>
        <item m="1" x="850"/>
        <item m="1" x="425"/>
        <item m="1" x="704"/>
        <item m="1" x="1099"/>
        <item m="1" x="1011"/>
        <item m="1" x="801"/>
        <item m="1" x="748"/>
        <item m="1" x="378"/>
        <item m="1" x="616"/>
        <item m="1" x="1080"/>
        <item m="1" x="714"/>
        <item m="1" x="877"/>
        <item m="1" x="814"/>
        <item m="1" x="996"/>
        <item m="1" x="360"/>
        <item m="1" x="841"/>
        <item m="1" x="515"/>
        <item m="1" x="918"/>
        <item m="1" x="1044"/>
        <item m="1" x="1120"/>
        <item m="1" x="1055"/>
        <item m="1" x="1016"/>
        <item m="1" x="942"/>
        <item m="1" x="1353"/>
        <item m="1" x="1245"/>
        <item m="1" x="496"/>
        <item m="1" x="1237"/>
        <item m="1" x="691"/>
        <item m="1" x="1001"/>
        <item m="1" x="407"/>
        <item m="1" x="980"/>
        <item m="1" x="847"/>
        <item m="1" x="1279"/>
        <item m="1" x="433"/>
        <item m="1" x="1490"/>
        <item m="1" x="472"/>
        <item m="1" x="412"/>
        <item m="1" x="982"/>
        <item m="1" x="1182"/>
        <item m="1" x="1085"/>
        <item m="1" x="371"/>
        <item m="1" x="523"/>
        <item m="1" x="1311"/>
        <item m="1" x="1251"/>
        <item m="1" x="506"/>
        <item m="1" x="479"/>
        <item m="1" x="774"/>
        <item m="1" x="395"/>
        <item m="1" x="1002"/>
        <item m="1" x="435"/>
        <item m="1" x="605"/>
        <item m="1" x="902"/>
        <item m="1" x="1433"/>
        <item m="1" x="473"/>
        <item m="1" x="743"/>
        <item m="1" x="590"/>
        <item m="1" x="752"/>
        <item m="1" x="1306"/>
        <item m="1" x="1189"/>
        <item m="1" x="651"/>
        <item m="1" x="404"/>
        <item m="1" x="1354"/>
        <item m="1" x="517"/>
        <item m="1" x="1299"/>
        <item m="1" x="856"/>
        <item m="1" x="1240"/>
        <item m="1" x="599"/>
        <item m="1" x="771"/>
        <item m="1" x="1256"/>
        <item m="1" x="1444"/>
        <item m="1" x="1220"/>
        <item m="1" x="619"/>
        <item m="1" x="562"/>
        <item m="1" x="1265"/>
        <item m="1" x="1029"/>
        <item m="1" x="873"/>
        <item m="1" x="1297"/>
        <item m="1" x="345"/>
        <item m="1" x="342"/>
        <item m="1" x="1017"/>
        <item m="1" x="1157"/>
        <item m="1" x="1112"/>
        <item m="1" x="1295"/>
        <item m="1" x="820"/>
        <item m="1" x="567"/>
        <item m="1" x="641"/>
        <item m="1" x="1171"/>
        <item m="1" x="723"/>
        <item m="1" x="953"/>
        <item m="1" x="1368"/>
        <item m="1" x="606"/>
        <item m="1" x="943"/>
        <item m="1" x="327"/>
        <item m="1" x="65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m="1" x="644"/>
        <item m="1" x="1405"/>
        <item m="1" x="347"/>
        <item m="1" x="31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486"/>
    </i>
    <i r="2">
      <x v="11"/>
    </i>
    <i r="1">
      <x v="1487"/>
    </i>
    <i r="2">
      <x v="8"/>
    </i>
    <i r="1">
      <x v="1488"/>
    </i>
    <i r="2">
      <x v="8"/>
    </i>
    <i>
      <x v="1"/>
    </i>
    <i r="1">
      <x v="1450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32" totalsRowShown="0" totalsRowDxfId="23">
  <autoFilter ref="A1:C1232" xr:uid="{43456A03-EFD4-416A-B021-C441A7C21E4E}"/>
  <tableColumns count="3">
    <tableColumn id="1" xr3:uid="{96F9219D-1D74-4611-A7AA-8AB4E044352A}" name="Ticket" totalsRowDxfId="22"/>
    <tableColumn id="2" xr3:uid="{D6F02EDE-42BA-4EF9-A278-EA070340E315}" name="Number" totalsRowDxfId="21"/>
    <tableColumn id="3" xr3:uid="{F6A90E5F-0E5C-41D7-A40C-1CC9A86DC194}" name="Status" totalsRow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936" totalsRowShown="0">
  <autoFilter ref="A1:S2936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17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6"/>
    <tableColumn id="7" xr3:uid="{D69C8A00-2CB4-4F31-920A-C1D332375D40}" name="type"/>
    <tableColumn id="9" xr3:uid="{3D246B09-CC89-411A-9E7E-B79496797F29}" name="LFF_ID" dataDxfId="15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4">
      <calculatedColumnFormula>Proc[[#This Row],[Requested]]=Proc[[#This Row],[CurrentParent]]</calculatedColumnFormula>
    </tableColumn>
    <tableColumn id="24" xr3:uid="{9DAA192A-7AAB-4460-A9EA-787D5AF7E069}" name="Sector" dataDxfId="13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2"/>
    <tableColumn id="15" xr3:uid="{F0BFEDC5-AB85-4752-8DBE-1E2D2A86C38C}" name="DateOpened" dataDxfId="11"/>
    <tableColumn id="17" xr3:uid="{78B7D816-31FE-4F8F-8018-91CE8D5DE9A2}" name="DateMapped" dataDxfId="10"/>
    <tableColumn id="16" xr3:uid="{37F76675-DAA7-497A-B0C3-D5ADC87396FC}" name="DateClosed" dataDxfId="9"/>
    <tableColumn id="23" xr3:uid="{77371810-6F86-4EEF-85D0-5FCFC20B88DC}" name="Delayed?" dataDxfId="8">
      <calculatedColumnFormula>IF(Proc[[#This Row],[DaysAgeing]]&gt;5,"yep","on track")</calculatedColumnFormula>
    </tableColumn>
    <tableColumn id="18" xr3:uid="{6AC4A96E-CE6C-49CA-A4F1-794160BB5940}" name="DaysAgeing" dataDxfId="7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6"/>
    <tableColumn id="22" xr3:uid="{87389AE1-9ECE-4C7F-80F9-48A35BE78A62}" name="Prognosis" dataDxfId="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1" totalsRowShown="0">
  <autoFilter ref="A1:B13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4"/>
    <tableColumn id="6" xr3:uid="{73647D57-303F-4AF5-983C-1CCB32EBD08D}" name="Forecast Period" dataDxfId="3"/>
    <tableColumn id="4" xr3:uid="{FA11B267-B5E3-452C-A4E3-1668B4A12A28}" name="Number of Tickets Raised" dataDxfId="2"/>
    <tableColumn id="1" xr3:uid="{441BC59C-A1EA-4CA8-B944-D602CD57D89D}" name="Delayed Tickets"/>
    <tableColumn id="5" xr3:uid="{29680677-3B0F-4EC4-81FF-46A6FDD4C5F7}" name="Number of Total Objects" dataDxfId="1"/>
    <tableColumn id="2" xr3:uid="{3D96D299-AEA2-4D9C-9BE6-F98ADF0CDB84}" name="Commentary for delayed tickets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18" sqref="C18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5">
        <v>1016</v>
      </c>
    </row>
    <row r="5" spans="1:2">
      <c r="A5" s="111" t="s">
        <v>369</v>
      </c>
      <c r="B5" s="125">
        <v>978</v>
      </c>
    </row>
    <row r="6" spans="1:2">
      <c r="A6" s="111" t="s">
        <v>404</v>
      </c>
      <c r="B6" s="125"/>
    </row>
    <row r="7" spans="1:2">
      <c r="A7" s="111" t="s">
        <v>370</v>
      </c>
      <c r="B7" s="125">
        <v>1</v>
      </c>
    </row>
    <row r="8" spans="1:2">
      <c r="A8" s="111" t="s">
        <v>403</v>
      </c>
      <c r="B8" s="125"/>
    </row>
    <row r="9" spans="1:2">
      <c r="A9" s="111" t="s">
        <v>398</v>
      </c>
      <c r="B9" s="125"/>
    </row>
    <row r="10" spans="1:2">
      <c r="A10" s="111" t="s">
        <v>377</v>
      </c>
      <c r="B10" s="125">
        <v>37</v>
      </c>
    </row>
    <row r="11" spans="1:2">
      <c r="A11" s="111" t="s">
        <v>375</v>
      </c>
      <c r="B11" s="125"/>
    </row>
    <row r="12" spans="1:2">
      <c r="A12" s="111" t="s">
        <v>405</v>
      </c>
      <c r="B12" s="125"/>
    </row>
    <row r="13" spans="1:2">
      <c r="A13" s="111" t="s">
        <v>692</v>
      </c>
      <c r="B13" s="125"/>
    </row>
    <row r="14" spans="1:2">
      <c r="A14" s="17" t="s">
        <v>568</v>
      </c>
      <c r="B14" s="125">
        <v>832</v>
      </c>
    </row>
    <row r="15" spans="1:2">
      <c r="A15" s="111" t="s">
        <v>369</v>
      </c>
      <c r="B15" s="125">
        <v>803</v>
      </c>
    </row>
    <row r="16" spans="1:2">
      <c r="A16" s="111" t="s">
        <v>370</v>
      </c>
      <c r="B16" s="125">
        <v>7</v>
      </c>
    </row>
    <row r="17" spans="1:2">
      <c r="A17" s="111" t="s">
        <v>398</v>
      </c>
      <c r="B17" s="125">
        <v>13</v>
      </c>
    </row>
    <row r="18" spans="1:2">
      <c r="A18" s="111" t="s">
        <v>377</v>
      </c>
      <c r="B18" s="125">
        <v>9</v>
      </c>
    </row>
    <row r="19" spans="1:2">
      <c r="A19" s="17" t="s">
        <v>569</v>
      </c>
      <c r="B19" s="125">
        <v>922</v>
      </c>
    </row>
    <row r="20" spans="1:2">
      <c r="A20" s="111" t="s">
        <v>369</v>
      </c>
      <c r="B20" s="125">
        <v>903</v>
      </c>
    </row>
    <row r="21" spans="1:2">
      <c r="A21" s="111" t="s">
        <v>370</v>
      </c>
      <c r="B21" s="125">
        <v>1</v>
      </c>
    </row>
    <row r="22" spans="1:2">
      <c r="A22" s="111" t="s">
        <v>398</v>
      </c>
      <c r="B22" s="125">
        <v>8</v>
      </c>
    </row>
    <row r="23" spans="1:2">
      <c r="A23" s="111" t="s">
        <v>377</v>
      </c>
      <c r="B23" s="125">
        <v>7</v>
      </c>
    </row>
    <row r="24" spans="1:2">
      <c r="A24" s="111" t="s">
        <v>375</v>
      </c>
      <c r="B24" s="125">
        <v>3</v>
      </c>
    </row>
    <row r="25" spans="1:2">
      <c r="A25" s="17" t="s">
        <v>570</v>
      </c>
      <c r="B25" s="125">
        <v>138</v>
      </c>
    </row>
    <row r="26" spans="1:2">
      <c r="A26" s="111" t="s">
        <v>369</v>
      </c>
      <c r="B26" s="125">
        <v>136</v>
      </c>
    </row>
    <row r="27" spans="1:2">
      <c r="A27" s="111" t="s">
        <v>377</v>
      </c>
      <c r="B27" s="125">
        <v>2</v>
      </c>
    </row>
    <row r="28" spans="1:2">
      <c r="A28" s="17" t="s">
        <v>381</v>
      </c>
      <c r="B28" s="125">
        <v>2908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5"/>
  <sheetViews>
    <sheetView zoomScale="115" zoomScaleNormal="115" workbookViewId="0">
      <selection activeCell="A21" sqref="A21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5">
        <v>11</v>
      </c>
      <c r="C5"/>
      <c r="D5"/>
      <c r="E5"/>
    </row>
    <row r="6" spans="1:6">
      <c r="A6" s="111" t="s">
        <v>4920</v>
      </c>
      <c r="B6" s="125">
        <v>3</v>
      </c>
      <c r="C6"/>
      <c r="D6" s="124"/>
      <c r="E6" s="124"/>
    </row>
    <row r="7" spans="1:6">
      <c r="A7" s="112" t="s">
        <v>375</v>
      </c>
      <c r="B7" s="125">
        <v>3</v>
      </c>
      <c r="C7"/>
      <c r="D7"/>
      <c r="E7"/>
    </row>
    <row r="8" spans="1:6">
      <c r="A8" s="111" t="s">
        <v>4922</v>
      </c>
      <c r="B8" s="125">
        <v>1</v>
      </c>
      <c r="C8" s="56"/>
      <c r="D8" s="124"/>
      <c r="E8" s="124"/>
    </row>
    <row r="9" spans="1:6">
      <c r="A9" s="112" t="s">
        <v>370</v>
      </c>
      <c r="B9" s="125">
        <v>1</v>
      </c>
      <c r="C9"/>
      <c r="D9"/>
    </row>
    <row r="10" spans="1:6">
      <c r="A10" s="111" t="s">
        <v>4938</v>
      </c>
      <c r="B10" s="125">
        <v>7</v>
      </c>
      <c r="C10" s="53"/>
      <c r="D10" s="124"/>
      <c r="E10" s="124"/>
    </row>
    <row r="11" spans="1:6">
      <c r="A11" s="112" t="s">
        <v>370</v>
      </c>
      <c r="B11" s="125">
        <v>7</v>
      </c>
      <c r="C11"/>
      <c r="D11"/>
    </row>
    <row r="12" spans="1:6">
      <c r="A12" s="17" t="s">
        <v>4328</v>
      </c>
      <c r="B12" s="125">
        <v>11</v>
      </c>
      <c r="C12"/>
      <c r="D12"/>
    </row>
    <row r="13" spans="1:6">
      <c r="A13" s="111" t="s">
        <v>4415</v>
      </c>
      <c r="B13" s="125">
        <v>11</v>
      </c>
      <c r="C13"/>
      <c r="D13"/>
    </row>
    <row r="14" spans="1:6">
      <c r="A14" s="112" t="s">
        <v>369</v>
      </c>
      <c r="B14" s="125">
        <v>10</v>
      </c>
      <c r="C14" s="53"/>
      <c r="D14"/>
    </row>
    <row r="15" spans="1:6">
      <c r="A15" s="112" t="s">
        <v>370</v>
      </c>
      <c r="B15" s="125">
        <v>1</v>
      </c>
      <c r="C15"/>
      <c r="D15" s="124"/>
      <c r="E15" s="124"/>
    </row>
    <row r="16" spans="1:6">
      <c r="A16" s="17" t="s">
        <v>381</v>
      </c>
      <c r="B16" s="125">
        <v>22</v>
      </c>
      <c r="C16"/>
      <c r="D16"/>
    </row>
    <row r="17" spans="3:5">
      <c r="C17"/>
      <c r="D17" s="124"/>
      <c r="E17" s="124"/>
    </row>
    <row r="18" spans="3:5">
      <c r="C18"/>
      <c r="D18"/>
    </row>
    <row r="19" spans="3:5">
      <c r="C19" s="47"/>
      <c r="D19"/>
    </row>
    <row r="21" spans="3:5" ht="17.25" customHeight="1"/>
    <row r="25" spans="3:5">
      <c r="D25" s="124"/>
      <c r="E25" s="124"/>
    </row>
  </sheetData>
  <autoFilter ref="A2:F1358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32"/>
  <sheetViews>
    <sheetView topLeftCell="A1215" workbookViewId="0">
      <selection activeCell="C1229" sqref="C1229:C123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4418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4785</v>
      </c>
      <c r="B1197">
        <v>2</v>
      </c>
      <c r="C1197" s="117" t="s">
        <v>4</v>
      </c>
    </row>
    <row r="1198" spans="1:3">
      <c r="A1198" t="s">
        <v>4768</v>
      </c>
      <c r="B1198">
        <v>12</v>
      </c>
      <c r="C1198" s="117" t="s">
        <v>4</v>
      </c>
    </row>
    <row r="1199" spans="1:3">
      <c r="A1199" t="s">
        <v>4758</v>
      </c>
      <c r="B1199">
        <v>8</v>
      </c>
      <c r="C1199" s="117" t="s">
        <v>4</v>
      </c>
    </row>
    <row r="1200" spans="1:3">
      <c r="A1200" t="s">
        <v>4423</v>
      </c>
      <c r="B1200">
        <v>1</v>
      </c>
      <c r="C1200" s="117" t="s">
        <v>4</v>
      </c>
    </row>
    <row r="1201" spans="1:3">
      <c r="A1201" t="s">
        <v>4425</v>
      </c>
      <c r="B1201">
        <v>311</v>
      </c>
      <c r="C1201" s="117" t="s">
        <v>4</v>
      </c>
    </row>
    <row r="1202" spans="1:3">
      <c r="A1202" t="s">
        <v>4421</v>
      </c>
      <c r="B1202">
        <v>1</v>
      </c>
      <c r="C1202" s="117" t="s">
        <v>4</v>
      </c>
    </row>
    <row r="1203" spans="1:3">
      <c r="A1203" t="s">
        <v>4789</v>
      </c>
      <c r="B1203">
        <v>1</v>
      </c>
      <c r="C1203" s="117" t="s">
        <v>4</v>
      </c>
    </row>
    <row r="1204" spans="1:3">
      <c r="A1204" t="s">
        <v>4791</v>
      </c>
      <c r="B1204">
        <v>7</v>
      </c>
      <c r="C1204" s="117" t="s">
        <v>4</v>
      </c>
    </row>
    <row r="1205" spans="1:3">
      <c r="A1205" t="s">
        <v>4799</v>
      </c>
      <c r="B1205">
        <v>1</v>
      </c>
      <c r="C1205" s="117" t="s">
        <v>4</v>
      </c>
    </row>
    <row r="1206" spans="1:3">
      <c r="A1206" t="s">
        <v>4802</v>
      </c>
      <c r="B1206">
        <v>1</v>
      </c>
      <c r="C1206" s="117" t="s">
        <v>4</v>
      </c>
    </row>
    <row r="1207" spans="1:3">
      <c r="A1207" t="s">
        <v>4811</v>
      </c>
      <c r="B1207">
        <v>3</v>
      </c>
      <c r="C1207" s="117" t="s">
        <v>4</v>
      </c>
    </row>
    <row r="1208" spans="1:3">
      <c r="A1208" t="s">
        <v>4815</v>
      </c>
      <c r="B1208">
        <v>1</v>
      </c>
      <c r="C1208" s="117" t="s">
        <v>4</v>
      </c>
    </row>
    <row r="1209" spans="1:3">
      <c r="A1209" t="s">
        <v>4817</v>
      </c>
      <c r="B1209">
        <v>3</v>
      </c>
      <c r="C1209" s="117" t="s">
        <v>4</v>
      </c>
    </row>
    <row r="1210" spans="1:3">
      <c r="A1210" t="s">
        <v>4819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4826</v>
      </c>
      <c r="B1212">
        <v>1</v>
      </c>
      <c r="C1212" s="117" t="s">
        <v>4</v>
      </c>
    </row>
    <row r="1213" spans="1:3">
      <c r="A1213" t="s">
        <v>4828</v>
      </c>
      <c r="B1213">
        <v>1</v>
      </c>
      <c r="C1213" s="117" t="s">
        <v>4</v>
      </c>
    </row>
    <row r="1214" spans="1:3">
      <c r="A1214" t="s">
        <v>4833</v>
      </c>
      <c r="B1214">
        <v>1</v>
      </c>
      <c r="C1214" s="121" t="s">
        <v>4</v>
      </c>
    </row>
    <row r="1215" spans="1:3">
      <c r="A1215" t="s">
        <v>4837</v>
      </c>
      <c r="B1215">
        <v>1</v>
      </c>
      <c r="C1215" s="121" t="s">
        <v>4</v>
      </c>
    </row>
    <row r="1216" spans="1:3">
      <c r="A1216" t="s">
        <v>4841</v>
      </c>
      <c r="B1216">
        <v>2</v>
      </c>
      <c r="C1216" s="121" t="s">
        <v>4</v>
      </c>
    </row>
    <row r="1217" spans="1:3">
      <c r="A1217" t="s">
        <v>4845</v>
      </c>
      <c r="B1217">
        <v>1</v>
      </c>
      <c r="C1217" s="124" t="s">
        <v>4</v>
      </c>
    </row>
    <row r="1218" spans="1:3">
      <c r="A1218" t="s">
        <v>4847</v>
      </c>
      <c r="B1218">
        <v>1</v>
      </c>
      <c r="C1218" s="124" t="s">
        <v>4</v>
      </c>
    </row>
    <row r="1219" spans="1:3">
      <c r="A1219" t="s">
        <v>4849</v>
      </c>
      <c r="B1219">
        <v>1</v>
      </c>
      <c r="C1219" s="124" t="s">
        <v>4</v>
      </c>
    </row>
    <row r="1220" spans="1:3">
      <c r="A1220" t="s">
        <v>4857</v>
      </c>
      <c r="B1220">
        <v>1</v>
      </c>
      <c r="C1220" s="124" t="s">
        <v>4</v>
      </c>
    </row>
    <row r="1221" spans="1:3">
      <c r="A1221" t="s">
        <v>4860</v>
      </c>
      <c r="B1221">
        <v>1</v>
      </c>
      <c r="C1221" s="124" t="s">
        <v>4</v>
      </c>
    </row>
    <row r="1222" spans="1:3">
      <c r="A1222" t="s">
        <v>4861</v>
      </c>
      <c r="B1222">
        <v>1</v>
      </c>
      <c r="C1222" s="124" t="s">
        <v>4</v>
      </c>
    </row>
    <row r="1223" spans="1:3">
      <c r="A1223" t="s">
        <v>4851</v>
      </c>
      <c r="B1223">
        <v>1</v>
      </c>
      <c r="C1223" s="124" t="s">
        <v>4</v>
      </c>
    </row>
    <row r="1224" spans="1:3">
      <c r="A1224" t="s">
        <v>4856</v>
      </c>
      <c r="B1224">
        <v>4</v>
      </c>
      <c r="C1224" s="124" t="s">
        <v>4</v>
      </c>
    </row>
    <row r="1225" spans="1:3">
      <c r="A1225" t="s">
        <v>4865</v>
      </c>
      <c r="B1225">
        <v>1</v>
      </c>
      <c r="C1225" s="124" t="s">
        <v>4</v>
      </c>
    </row>
    <row r="1226" spans="1:3">
      <c r="A1226" t="s">
        <v>4869</v>
      </c>
      <c r="B1226">
        <v>18</v>
      </c>
      <c r="C1226" s="124" t="s">
        <v>4</v>
      </c>
    </row>
    <row r="1227" spans="1:3">
      <c r="A1227" t="s">
        <v>4895</v>
      </c>
      <c r="B1227">
        <v>7</v>
      </c>
      <c r="C1227" s="124" t="s">
        <v>4</v>
      </c>
    </row>
    <row r="1228" spans="1:3">
      <c r="A1228" t="s">
        <v>4898</v>
      </c>
      <c r="B1228">
        <v>3</v>
      </c>
      <c r="C1228" s="124" t="s">
        <v>4</v>
      </c>
    </row>
    <row r="1229" spans="1:3">
      <c r="A1229" t="s">
        <v>4905</v>
      </c>
      <c r="B1229">
        <v>2</v>
      </c>
      <c r="C1229" s="124" t="s">
        <v>4</v>
      </c>
    </row>
    <row r="1230" spans="1:3">
      <c r="A1230" t="s">
        <v>4906</v>
      </c>
      <c r="B1230">
        <v>3</v>
      </c>
      <c r="C1230" s="124" t="s">
        <v>4</v>
      </c>
    </row>
    <row r="1231" spans="1:3">
      <c r="A1231" t="s">
        <v>4909</v>
      </c>
      <c r="B1231">
        <v>2</v>
      </c>
      <c r="C1231" s="124" t="s">
        <v>4</v>
      </c>
    </row>
    <row r="1232" spans="1:3">
      <c r="A1232" t="s">
        <v>4910</v>
      </c>
      <c r="B1232">
        <v>1</v>
      </c>
      <c r="C1232" s="124" t="s">
        <v>4</v>
      </c>
    </row>
  </sheetData>
  <conditionalFormatting sqref="A2:A545 A548:A568 A570:A1036 A1038:A1048576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936"/>
  <sheetViews>
    <sheetView tabSelected="1" zoomScale="85" zoomScaleNormal="85" workbookViewId="0">
      <selection activeCell="K2920" sqref="K2920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160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135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135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135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135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135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135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135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135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135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135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135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131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128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128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128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128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128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128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128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128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128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128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128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128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128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128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128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128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128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128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128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128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128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128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128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128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128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128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128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128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128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128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128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128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128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128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128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128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128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128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128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128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128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127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127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127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127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127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127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127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127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127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127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127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127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127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127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127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127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127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127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127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127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127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127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127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127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127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127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127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127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127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127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127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127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127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127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127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127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127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127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127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127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127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127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127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127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127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127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127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127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127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127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127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127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127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127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127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127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127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127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127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126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126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126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126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126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125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125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123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123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122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119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119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119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119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119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119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119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119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119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119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119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119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119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119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119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119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119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119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119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119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119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118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118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118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118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118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113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113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113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108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108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108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108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108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108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108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108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108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108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108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108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108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108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108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108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108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108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104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104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104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99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98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98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98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98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98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98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98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98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98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98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98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98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84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84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83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83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83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73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58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58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58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58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58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58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58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58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58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58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58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58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58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58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58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58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58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58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58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58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55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55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55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55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54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54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54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54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54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54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54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54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54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54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54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54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54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54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54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54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54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54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54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54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54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54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54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54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54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54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54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54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54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54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53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53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53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53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53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53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53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53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53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53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53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53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53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53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53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53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53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53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49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49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49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49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49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49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49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49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49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49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49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49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49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49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49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49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49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49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49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49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49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49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49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49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49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49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49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49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49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49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49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49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49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49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49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49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49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49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49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49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49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49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49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49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49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49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49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49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49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49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49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49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49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49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49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49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49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49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49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49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49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49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49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49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49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49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49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49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49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49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49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49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49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49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49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49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49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49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49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49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49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49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49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49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49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49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49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49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49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49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49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49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43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43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38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38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33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33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33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33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33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33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33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33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33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33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33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33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33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33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33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33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33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33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33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33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33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33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33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33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33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33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33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33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33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33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33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33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33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33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33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33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33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33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33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33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33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33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33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33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33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33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33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33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33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33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33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33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33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33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33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33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33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33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33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33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33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33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33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33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33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33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33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33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33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33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33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33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33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33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33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33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33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33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33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33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33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33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33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33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33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33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33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33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33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33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33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33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33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33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33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33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33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33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33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33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33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33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33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33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33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30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30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30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30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31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4831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28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28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4897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4415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4416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4897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23</v>
      </c>
      <c r="R2488" s="110" t="s">
        <v>1459</v>
      </c>
      <c r="S2488" s="94"/>
    </row>
    <row r="2489" spans="1:19">
      <c r="A2489" s="103" t="s">
        <v>4415</v>
      </c>
      <c r="B2489" s="94" t="str">
        <f>IFERROR(VLOOKUP(Proc[[#This Row],[App]],Table2[],3,0),"open")</f>
        <v>open</v>
      </c>
      <c r="C2489" s="117" t="s">
        <v>370</v>
      </c>
      <c r="D2489" t="s">
        <v>2319</v>
      </c>
      <c r="E2489" t="s">
        <v>430</v>
      </c>
      <c r="F2489" s="94" t="s">
        <v>4414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4897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23</v>
      </c>
      <c r="R2489" s="110" t="s">
        <v>1459</v>
      </c>
      <c r="S2489" s="94"/>
    </row>
    <row r="2490" spans="1:19" hidden="1">
      <c r="A2490" s="103" t="s">
        <v>4415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4416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4897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23</v>
      </c>
      <c r="R2490" s="110" t="s">
        <v>1459</v>
      </c>
      <c r="S2490" s="94"/>
    </row>
    <row r="2491" spans="1:19" hidden="1">
      <c r="A2491" s="103" t="s">
        <v>4415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4416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4897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23</v>
      </c>
      <c r="R2491" s="110" t="s">
        <v>1459</v>
      </c>
      <c r="S2491" s="94"/>
    </row>
    <row r="2492" spans="1:19" hidden="1">
      <c r="A2492" s="103" t="s">
        <v>4415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4897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23</v>
      </c>
      <c r="R2492" s="110" t="s">
        <v>1459</v>
      </c>
      <c r="S2492" s="94"/>
    </row>
    <row r="2493" spans="1:19" hidden="1">
      <c r="A2493" s="103" t="s">
        <v>4415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4897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23</v>
      </c>
      <c r="R2493" s="110" t="s">
        <v>1459</v>
      </c>
      <c r="S2493" s="94"/>
    </row>
    <row r="2494" spans="1:19" hidden="1">
      <c r="A2494" s="103" t="s">
        <v>4415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4897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23</v>
      </c>
      <c r="R2494" s="110" t="s">
        <v>1459</v>
      </c>
      <c r="S2494" s="94"/>
    </row>
    <row r="2495" spans="1:19" hidden="1">
      <c r="A2495" s="103" t="s">
        <v>4415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4897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23</v>
      </c>
      <c r="R2495" s="110" t="s">
        <v>1459</v>
      </c>
      <c r="S2495" s="94"/>
    </row>
    <row r="2496" spans="1:19" hidden="1">
      <c r="A2496" s="103" t="s">
        <v>4415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4897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23</v>
      </c>
      <c r="R2496" s="110" t="s">
        <v>1459</v>
      </c>
      <c r="S2496" s="94"/>
    </row>
    <row r="2497" spans="1:19" hidden="1">
      <c r="A2497" s="103" t="s">
        <v>4415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4897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23</v>
      </c>
      <c r="R2497" s="110" t="s">
        <v>1459</v>
      </c>
      <c r="S2497" s="94"/>
    </row>
    <row r="2498" spans="1:19" hidden="1">
      <c r="A2498" s="103" t="s">
        <v>4415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4897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23</v>
      </c>
      <c r="R2498" s="110" t="s">
        <v>1459</v>
      </c>
      <c r="S2498" s="94"/>
    </row>
    <row r="2499" spans="1:19" hidden="1">
      <c r="A2499" t="s">
        <v>4418</v>
      </c>
      <c r="B2499" s="94" t="str">
        <f>IFERROR(VLOOKUP(Proc[[#This Row],[App]],Table2[],3,0),"open")</f>
        <v>ok</v>
      </c>
      <c r="C2499" s="103" t="s">
        <v>369</v>
      </c>
      <c r="D2499" t="s">
        <v>4417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4897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4419</v>
      </c>
      <c r="S2499" s="94"/>
    </row>
    <row r="2500" spans="1:19" hidden="1">
      <c r="A2500" t="s">
        <v>4421</v>
      </c>
      <c r="B2500" s="94" t="str">
        <f>IFERROR(VLOOKUP(Proc[[#This Row],[App]],Table2[],3,0),"open")</f>
        <v>ok</v>
      </c>
      <c r="C2500" s="103" t="s">
        <v>369</v>
      </c>
      <c r="D2500" t="s">
        <v>4420</v>
      </c>
      <c r="E2500" t="s">
        <v>4806</v>
      </c>
      <c r="F2500" s="94" t="s">
        <v>4806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4897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21</v>
      </c>
      <c r="R2500" s="110" t="s">
        <v>489</v>
      </c>
      <c r="S2500" s="94"/>
    </row>
    <row r="2501" spans="1:19" hidden="1">
      <c r="A2501" t="s">
        <v>4423</v>
      </c>
      <c r="B2501" s="94" t="str">
        <f>IFERROR(VLOOKUP(Proc[[#This Row],[App]],Table2[],3,0),"open")</f>
        <v>ok</v>
      </c>
      <c r="C2501" s="103" t="s">
        <v>369</v>
      </c>
      <c r="D2501" t="s">
        <v>4422</v>
      </c>
      <c r="E2501" t="s">
        <v>4424</v>
      </c>
      <c r="F2501" s="94" t="s">
        <v>4424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4897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21</v>
      </c>
      <c r="R2501" s="110" t="s">
        <v>489</v>
      </c>
      <c r="S2501" s="94"/>
    </row>
    <row r="2502" spans="1:19" hidden="1">
      <c r="A2502" t="s">
        <v>4425</v>
      </c>
      <c r="B2502" s="94" t="str">
        <f>IFERROR(VLOOKUP(Proc[[#This Row],[App]],Table2[],3,0),"open")</f>
        <v>ok</v>
      </c>
      <c r="C2502" s="117" t="s">
        <v>369</v>
      </c>
      <c r="D2502" t="s">
        <v>4426</v>
      </c>
      <c r="E2502" t="s">
        <v>4737</v>
      </c>
      <c r="F2502" s="94" t="s">
        <v>4737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4787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4897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21</v>
      </c>
      <c r="R2502" s="110" t="s">
        <v>485</v>
      </c>
      <c r="S2502" s="94"/>
    </row>
    <row r="2503" spans="1:19" hidden="1">
      <c r="A2503" s="103" t="s">
        <v>4425</v>
      </c>
      <c r="B2503" s="94" t="str">
        <f>IFERROR(VLOOKUP(Proc[[#This Row],[App]],Table2[],3,0),"open")</f>
        <v>ok</v>
      </c>
      <c r="C2503" s="117" t="s">
        <v>369</v>
      </c>
      <c r="D2503" t="s">
        <v>4427</v>
      </c>
      <c r="E2503" t="s">
        <v>4737</v>
      </c>
      <c r="F2503" s="94" t="s">
        <v>4737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4787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4897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21</v>
      </c>
      <c r="R2503" s="110" t="s">
        <v>485</v>
      </c>
      <c r="S2503" s="94"/>
    </row>
    <row r="2504" spans="1:19" hidden="1">
      <c r="A2504" s="103" t="s">
        <v>4425</v>
      </c>
      <c r="B2504" s="94" t="str">
        <f>IFERROR(VLOOKUP(Proc[[#This Row],[App]],Table2[],3,0),"open")</f>
        <v>ok</v>
      </c>
      <c r="C2504" s="117" t="s">
        <v>369</v>
      </c>
      <c r="D2504" t="s">
        <v>4428</v>
      </c>
      <c r="E2504" t="s">
        <v>4738</v>
      </c>
      <c r="F2504" s="94" t="s">
        <v>4738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4787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4897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21</v>
      </c>
      <c r="R2504" s="110" t="s">
        <v>485</v>
      </c>
      <c r="S2504" s="94"/>
    </row>
    <row r="2505" spans="1:19" hidden="1">
      <c r="A2505" s="103" t="s">
        <v>4425</v>
      </c>
      <c r="B2505" s="94" t="str">
        <f>IFERROR(VLOOKUP(Proc[[#This Row],[App]],Table2[],3,0),"open")</f>
        <v>ok</v>
      </c>
      <c r="C2505" s="117" t="s">
        <v>369</v>
      </c>
      <c r="D2505" t="s">
        <v>4429</v>
      </c>
      <c r="E2505" t="s">
        <v>4738</v>
      </c>
      <c r="F2505" s="94" t="s">
        <v>4738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4787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4897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21</v>
      </c>
      <c r="R2505" s="110" t="s">
        <v>485</v>
      </c>
      <c r="S2505" s="94"/>
    </row>
    <row r="2506" spans="1:19" hidden="1">
      <c r="A2506" s="103" t="s">
        <v>4425</v>
      </c>
      <c r="B2506" s="94" t="str">
        <f>IFERROR(VLOOKUP(Proc[[#This Row],[App]],Table2[],3,0),"open")</f>
        <v>ok</v>
      </c>
      <c r="C2506" s="117" t="s">
        <v>369</v>
      </c>
      <c r="D2506" t="s">
        <v>4430</v>
      </c>
      <c r="E2506" t="s">
        <v>4738</v>
      </c>
      <c r="F2506" s="94" t="s">
        <v>4738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4787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4897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21</v>
      </c>
      <c r="R2506" s="110" t="s">
        <v>485</v>
      </c>
      <c r="S2506" s="94"/>
    </row>
    <row r="2507" spans="1:19" hidden="1">
      <c r="A2507" s="103" t="s">
        <v>4425</v>
      </c>
      <c r="B2507" s="94" t="str">
        <f>IFERROR(VLOOKUP(Proc[[#This Row],[App]],Table2[],3,0),"open")</f>
        <v>ok</v>
      </c>
      <c r="C2507" s="117" t="s">
        <v>369</v>
      </c>
      <c r="D2507" t="s">
        <v>4431</v>
      </c>
      <c r="E2507" t="s">
        <v>4739</v>
      </c>
      <c r="F2507" s="94" t="s">
        <v>4739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4787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4897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21</v>
      </c>
      <c r="R2507" s="110" t="s">
        <v>485</v>
      </c>
      <c r="S2507" s="94"/>
    </row>
    <row r="2508" spans="1:19" hidden="1">
      <c r="A2508" s="103" t="s">
        <v>4425</v>
      </c>
      <c r="B2508" s="94" t="str">
        <f>IFERROR(VLOOKUP(Proc[[#This Row],[App]],Table2[],3,0),"open")</f>
        <v>ok</v>
      </c>
      <c r="C2508" s="117" t="s">
        <v>369</v>
      </c>
      <c r="D2508" t="s">
        <v>4432</v>
      </c>
      <c r="E2508" t="s">
        <v>4739</v>
      </c>
      <c r="F2508" s="94" t="s">
        <v>4739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4787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4897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21</v>
      </c>
      <c r="R2508" s="110" t="s">
        <v>485</v>
      </c>
      <c r="S2508" s="94"/>
    </row>
    <row r="2509" spans="1:19" hidden="1">
      <c r="A2509" s="103" t="s">
        <v>4425</v>
      </c>
      <c r="B2509" s="94" t="str">
        <f>IFERROR(VLOOKUP(Proc[[#This Row],[App]],Table2[],3,0),"open")</f>
        <v>ok</v>
      </c>
      <c r="C2509" s="117" t="s">
        <v>369</v>
      </c>
      <c r="D2509" t="s">
        <v>4433</v>
      </c>
      <c r="E2509" t="s">
        <v>4739</v>
      </c>
      <c r="F2509" s="94" t="s">
        <v>4739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4787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4897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21</v>
      </c>
      <c r="R2509" s="110" t="s">
        <v>485</v>
      </c>
      <c r="S2509" s="94"/>
    </row>
    <row r="2510" spans="1:19" hidden="1">
      <c r="A2510" s="103" t="s">
        <v>4425</v>
      </c>
      <c r="B2510" s="94" t="str">
        <f>IFERROR(VLOOKUP(Proc[[#This Row],[App]],Table2[],3,0),"open")</f>
        <v>ok</v>
      </c>
      <c r="C2510" s="117" t="s">
        <v>369</v>
      </c>
      <c r="D2510" t="s">
        <v>4434</v>
      </c>
      <c r="E2510" t="s">
        <v>4739</v>
      </c>
      <c r="F2510" s="94" t="s">
        <v>4739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4787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4897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21</v>
      </c>
      <c r="R2510" s="110" t="s">
        <v>485</v>
      </c>
      <c r="S2510" s="94"/>
    </row>
    <row r="2511" spans="1:19" hidden="1">
      <c r="A2511" s="103" t="s">
        <v>4425</v>
      </c>
      <c r="B2511" s="94" t="str">
        <f>IFERROR(VLOOKUP(Proc[[#This Row],[App]],Table2[],3,0),"open")</f>
        <v>ok</v>
      </c>
      <c r="C2511" s="117" t="s">
        <v>369</v>
      </c>
      <c r="D2511" t="s">
        <v>4435</v>
      </c>
      <c r="E2511" t="s">
        <v>4739</v>
      </c>
      <c r="F2511" s="94" t="s">
        <v>4739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4787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4897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21</v>
      </c>
      <c r="R2511" s="110" t="s">
        <v>485</v>
      </c>
      <c r="S2511" s="94"/>
    </row>
    <row r="2512" spans="1:19" hidden="1">
      <c r="A2512" s="103" t="s">
        <v>4425</v>
      </c>
      <c r="B2512" s="94" t="str">
        <f>IFERROR(VLOOKUP(Proc[[#This Row],[App]],Table2[],3,0),"open")</f>
        <v>ok</v>
      </c>
      <c r="C2512" s="117" t="s">
        <v>369</v>
      </c>
      <c r="D2512" t="s">
        <v>4436</v>
      </c>
      <c r="E2512" t="s">
        <v>4739</v>
      </c>
      <c r="F2512" s="94" t="s">
        <v>4739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4787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4897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21</v>
      </c>
      <c r="R2512" s="110" t="s">
        <v>485</v>
      </c>
      <c r="S2512" s="94"/>
    </row>
    <row r="2513" spans="1:19" hidden="1">
      <c r="A2513" s="103" t="s">
        <v>4425</v>
      </c>
      <c r="B2513" s="94" t="str">
        <f>IFERROR(VLOOKUP(Proc[[#This Row],[App]],Table2[],3,0),"open")</f>
        <v>ok</v>
      </c>
      <c r="C2513" s="117" t="s">
        <v>369</v>
      </c>
      <c r="D2513" t="s">
        <v>4437</v>
      </c>
      <c r="E2513" t="s">
        <v>4739</v>
      </c>
      <c r="F2513" s="94" t="s">
        <v>4739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4787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4897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21</v>
      </c>
      <c r="R2513" s="110" t="s">
        <v>485</v>
      </c>
      <c r="S2513" s="94"/>
    </row>
    <row r="2514" spans="1:19" hidden="1">
      <c r="A2514" s="103" t="s">
        <v>4425</v>
      </c>
      <c r="B2514" s="94" t="str">
        <f>IFERROR(VLOOKUP(Proc[[#This Row],[App]],Table2[],3,0),"open")</f>
        <v>ok</v>
      </c>
      <c r="C2514" s="117" t="s">
        <v>369</v>
      </c>
      <c r="D2514" t="s">
        <v>4438</v>
      </c>
      <c r="E2514" t="s">
        <v>4740</v>
      </c>
      <c r="F2514" s="94" t="s">
        <v>4740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4787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4897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21</v>
      </c>
      <c r="R2514" s="110" t="s">
        <v>485</v>
      </c>
      <c r="S2514" s="94"/>
    </row>
    <row r="2515" spans="1:19" hidden="1">
      <c r="A2515" s="103" t="s">
        <v>4425</v>
      </c>
      <c r="B2515" s="94" t="str">
        <f>IFERROR(VLOOKUP(Proc[[#This Row],[App]],Table2[],3,0),"open")</f>
        <v>ok</v>
      </c>
      <c r="C2515" s="117" t="s">
        <v>369</v>
      </c>
      <c r="D2515" t="s">
        <v>4439</v>
      </c>
      <c r="E2515" t="s">
        <v>4740</v>
      </c>
      <c r="F2515" s="94" t="s">
        <v>4740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4787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4897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21</v>
      </c>
      <c r="R2515" s="110" t="s">
        <v>485</v>
      </c>
      <c r="S2515" s="94"/>
    </row>
    <row r="2516" spans="1:19" hidden="1">
      <c r="A2516" s="103" t="s">
        <v>4425</v>
      </c>
      <c r="B2516" s="94" t="str">
        <f>IFERROR(VLOOKUP(Proc[[#This Row],[App]],Table2[],3,0),"open")</f>
        <v>ok</v>
      </c>
      <c r="C2516" s="117" t="s">
        <v>369</v>
      </c>
      <c r="D2516" t="s">
        <v>4440</v>
      </c>
      <c r="E2516" t="s">
        <v>4740</v>
      </c>
      <c r="F2516" s="94" t="s">
        <v>4740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4787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4897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21</v>
      </c>
      <c r="R2516" s="110" t="s">
        <v>485</v>
      </c>
      <c r="S2516" s="94"/>
    </row>
    <row r="2517" spans="1:19" hidden="1">
      <c r="A2517" s="103" t="s">
        <v>4425</v>
      </c>
      <c r="B2517" s="94" t="str">
        <f>IFERROR(VLOOKUP(Proc[[#This Row],[App]],Table2[],3,0),"open")</f>
        <v>ok</v>
      </c>
      <c r="C2517" s="117" t="s">
        <v>369</v>
      </c>
      <c r="D2517" t="s">
        <v>4441</v>
      </c>
      <c r="E2517" t="s">
        <v>4741</v>
      </c>
      <c r="F2517" s="94" t="s">
        <v>4741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4787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4897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21</v>
      </c>
      <c r="R2517" s="110" t="s">
        <v>485</v>
      </c>
      <c r="S2517" s="94"/>
    </row>
    <row r="2518" spans="1:19" hidden="1">
      <c r="A2518" s="103" t="s">
        <v>4425</v>
      </c>
      <c r="B2518" s="94" t="str">
        <f>IFERROR(VLOOKUP(Proc[[#This Row],[App]],Table2[],3,0),"open")</f>
        <v>ok</v>
      </c>
      <c r="C2518" s="117" t="s">
        <v>369</v>
      </c>
      <c r="D2518" t="s">
        <v>4442</v>
      </c>
      <c r="E2518" t="s">
        <v>4740</v>
      </c>
      <c r="F2518" s="94" t="s">
        <v>4740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4787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4897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21</v>
      </c>
      <c r="R2518" s="110" t="s">
        <v>485</v>
      </c>
      <c r="S2518" s="94"/>
    </row>
    <row r="2519" spans="1:19" hidden="1">
      <c r="A2519" s="103" t="s">
        <v>4425</v>
      </c>
      <c r="B2519" s="94" t="str">
        <f>IFERROR(VLOOKUP(Proc[[#This Row],[App]],Table2[],3,0),"open")</f>
        <v>ok</v>
      </c>
      <c r="C2519" s="117" t="s">
        <v>369</v>
      </c>
      <c r="D2519" t="s">
        <v>4443</v>
      </c>
      <c r="E2519" t="s">
        <v>4741</v>
      </c>
      <c r="F2519" s="94" t="s">
        <v>4741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4787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4897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21</v>
      </c>
      <c r="R2519" s="110" t="s">
        <v>485</v>
      </c>
      <c r="S2519" s="94"/>
    </row>
    <row r="2520" spans="1:19" hidden="1">
      <c r="A2520" s="103" t="s">
        <v>4425</v>
      </c>
      <c r="B2520" s="94" t="str">
        <f>IFERROR(VLOOKUP(Proc[[#This Row],[App]],Table2[],3,0),"open")</f>
        <v>ok</v>
      </c>
      <c r="C2520" s="117" t="s">
        <v>369</v>
      </c>
      <c r="D2520" t="s">
        <v>4444</v>
      </c>
      <c r="E2520" t="s">
        <v>4742</v>
      </c>
      <c r="F2520" s="94" t="s">
        <v>4742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4787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4897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21</v>
      </c>
      <c r="R2520" s="110" t="s">
        <v>485</v>
      </c>
      <c r="S2520" s="94"/>
    </row>
    <row r="2521" spans="1:19" hidden="1">
      <c r="A2521" s="103" t="s">
        <v>4425</v>
      </c>
      <c r="B2521" s="94" t="str">
        <f>IFERROR(VLOOKUP(Proc[[#This Row],[App]],Table2[],3,0),"open")</f>
        <v>ok</v>
      </c>
      <c r="C2521" s="117" t="s">
        <v>369</v>
      </c>
      <c r="D2521" t="s">
        <v>4445</v>
      </c>
      <c r="E2521" t="s">
        <v>4741</v>
      </c>
      <c r="F2521" s="94" t="s">
        <v>4741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4787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4897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21</v>
      </c>
      <c r="R2521" s="110" t="s">
        <v>485</v>
      </c>
      <c r="S2521" s="94"/>
    </row>
    <row r="2522" spans="1:19" hidden="1">
      <c r="A2522" s="103" t="s">
        <v>4425</v>
      </c>
      <c r="B2522" s="94" t="str">
        <f>IFERROR(VLOOKUP(Proc[[#This Row],[App]],Table2[],3,0),"open")</f>
        <v>ok</v>
      </c>
      <c r="C2522" s="117" t="s">
        <v>369</v>
      </c>
      <c r="D2522" t="s">
        <v>4446</v>
      </c>
      <c r="E2522" t="s">
        <v>4741</v>
      </c>
      <c r="F2522" s="94" t="s">
        <v>4741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4787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4897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21</v>
      </c>
      <c r="R2522" s="110" t="s">
        <v>485</v>
      </c>
      <c r="S2522" s="94"/>
    </row>
    <row r="2523" spans="1:19" hidden="1">
      <c r="A2523" s="103" t="s">
        <v>4425</v>
      </c>
      <c r="B2523" s="94" t="str">
        <f>IFERROR(VLOOKUP(Proc[[#This Row],[App]],Table2[],3,0),"open")</f>
        <v>ok</v>
      </c>
      <c r="C2523" s="117" t="s">
        <v>369</v>
      </c>
      <c r="D2523" t="s">
        <v>4447</v>
      </c>
      <c r="E2523" t="s">
        <v>4740</v>
      </c>
      <c r="F2523" s="94" t="s">
        <v>4740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4787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4897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21</v>
      </c>
      <c r="R2523" s="110" t="s">
        <v>485</v>
      </c>
      <c r="S2523" s="94"/>
    </row>
    <row r="2524" spans="1:19" hidden="1">
      <c r="A2524" s="103" t="s">
        <v>4425</v>
      </c>
      <c r="B2524" s="94" t="str">
        <f>IFERROR(VLOOKUP(Proc[[#This Row],[App]],Table2[],3,0),"open")</f>
        <v>ok</v>
      </c>
      <c r="C2524" s="117" t="s">
        <v>369</v>
      </c>
      <c r="D2524" t="s">
        <v>4448</v>
      </c>
      <c r="E2524" t="s">
        <v>4740</v>
      </c>
      <c r="F2524" s="94" t="s">
        <v>4740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4787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4897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21</v>
      </c>
      <c r="R2524" s="110" t="s">
        <v>485</v>
      </c>
      <c r="S2524" s="94"/>
    </row>
    <row r="2525" spans="1:19" hidden="1">
      <c r="A2525" s="103" t="s">
        <v>4425</v>
      </c>
      <c r="B2525" s="94" t="str">
        <f>IFERROR(VLOOKUP(Proc[[#This Row],[App]],Table2[],3,0),"open")</f>
        <v>ok</v>
      </c>
      <c r="C2525" s="117" t="s">
        <v>369</v>
      </c>
      <c r="D2525" t="s">
        <v>4449</v>
      </c>
      <c r="E2525" t="s">
        <v>4740</v>
      </c>
      <c r="F2525" s="94" t="s">
        <v>4740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4787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4897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21</v>
      </c>
      <c r="R2525" s="110" t="s">
        <v>485</v>
      </c>
      <c r="S2525" s="94"/>
    </row>
    <row r="2526" spans="1:19" hidden="1">
      <c r="A2526" s="103" t="s">
        <v>4425</v>
      </c>
      <c r="B2526" s="94" t="str">
        <f>IFERROR(VLOOKUP(Proc[[#This Row],[App]],Table2[],3,0),"open")</f>
        <v>ok</v>
      </c>
      <c r="C2526" s="117" t="s">
        <v>369</v>
      </c>
      <c r="D2526" t="s">
        <v>4450</v>
      </c>
      <c r="E2526" t="s">
        <v>4740</v>
      </c>
      <c r="F2526" s="94" t="s">
        <v>4740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4787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4897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21</v>
      </c>
      <c r="R2526" s="110" t="s">
        <v>485</v>
      </c>
      <c r="S2526" s="94"/>
    </row>
    <row r="2527" spans="1:19" hidden="1">
      <c r="A2527" s="103" t="s">
        <v>4425</v>
      </c>
      <c r="B2527" s="94" t="str">
        <f>IFERROR(VLOOKUP(Proc[[#This Row],[App]],Table2[],3,0),"open")</f>
        <v>ok</v>
      </c>
      <c r="C2527" s="117" t="s">
        <v>369</v>
      </c>
      <c r="D2527" t="s">
        <v>4451</v>
      </c>
      <c r="E2527" t="s">
        <v>4740</v>
      </c>
      <c r="F2527" s="94" t="s">
        <v>4740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4787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4897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21</v>
      </c>
      <c r="R2527" s="110" t="s">
        <v>485</v>
      </c>
      <c r="S2527" s="94"/>
    </row>
    <row r="2528" spans="1:19" hidden="1">
      <c r="A2528" s="103" t="s">
        <v>4425</v>
      </c>
      <c r="B2528" s="94" t="str">
        <f>IFERROR(VLOOKUP(Proc[[#This Row],[App]],Table2[],3,0),"open")</f>
        <v>ok</v>
      </c>
      <c r="C2528" s="117" t="s">
        <v>369</v>
      </c>
      <c r="D2528" t="s">
        <v>4452</v>
      </c>
      <c r="E2528" t="s">
        <v>4742</v>
      </c>
      <c r="F2528" s="94" t="s">
        <v>4742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4787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4897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21</v>
      </c>
      <c r="R2528" s="110" t="s">
        <v>485</v>
      </c>
      <c r="S2528" s="94"/>
    </row>
    <row r="2529" spans="1:19" hidden="1">
      <c r="A2529" s="103" t="s">
        <v>4425</v>
      </c>
      <c r="B2529" s="94" t="str">
        <f>IFERROR(VLOOKUP(Proc[[#This Row],[App]],Table2[],3,0),"open")</f>
        <v>ok</v>
      </c>
      <c r="C2529" s="117" t="s">
        <v>369</v>
      </c>
      <c r="D2529" t="s">
        <v>4453</v>
      </c>
      <c r="E2529" t="s">
        <v>4740</v>
      </c>
      <c r="F2529" s="94" t="s">
        <v>4740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4787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4897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21</v>
      </c>
      <c r="R2529" s="110" t="s">
        <v>485</v>
      </c>
      <c r="S2529" s="94"/>
    </row>
    <row r="2530" spans="1:19" hidden="1">
      <c r="A2530" s="103" t="s">
        <v>4425</v>
      </c>
      <c r="B2530" s="94" t="str">
        <f>IFERROR(VLOOKUP(Proc[[#This Row],[App]],Table2[],3,0),"open")</f>
        <v>ok</v>
      </c>
      <c r="C2530" s="117" t="s">
        <v>369</v>
      </c>
      <c r="D2530" t="s">
        <v>4454</v>
      </c>
      <c r="E2530" t="s">
        <v>4740</v>
      </c>
      <c r="F2530" s="94" t="s">
        <v>4740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4787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4897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21</v>
      </c>
      <c r="R2530" s="110" t="s">
        <v>485</v>
      </c>
      <c r="S2530" s="94"/>
    </row>
    <row r="2531" spans="1:19" hidden="1">
      <c r="A2531" s="103" t="s">
        <v>4425</v>
      </c>
      <c r="B2531" s="94" t="str">
        <f>IFERROR(VLOOKUP(Proc[[#This Row],[App]],Table2[],3,0),"open")</f>
        <v>ok</v>
      </c>
      <c r="C2531" s="117" t="s">
        <v>369</v>
      </c>
      <c r="D2531" t="s">
        <v>4455</v>
      </c>
      <c r="E2531" t="s">
        <v>4740</v>
      </c>
      <c r="F2531" s="94" t="s">
        <v>4740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4787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4897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21</v>
      </c>
      <c r="R2531" s="110" t="s">
        <v>485</v>
      </c>
      <c r="S2531" s="94"/>
    </row>
    <row r="2532" spans="1:19" hidden="1">
      <c r="A2532" s="103" t="s">
        <v>4425</v>
      </c>
      <c r="B2532" s="94" t="str">
        <f>IFERROR(VLOOKUP(Proc[[#This Row],[App]],Table2[],3,0),"open")</f>
        <v>ok</v>
      </c>
      <c r="C2532" s="117" t="s">
        <v>369</v>
      </c>
      <c r="D2532" t="s">
        <v>4456</v>
      </c>
      <c r="E2532" t="s">
        <v>4742</v>
      </c>
      <c r="F2532" s="94" t="s">
        <v>4742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4787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4897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21</v>
      </c>
      <c r="R2532" s="110" t="s">
        <v>485</v>
      </c>
      <c r="S2532" s="94"/>
    </row>
    <row r="2533" spans="1:19" hidden="1">
      <c r="A2533" s="103" t="s">
        <v>4425</v>
      </c>
      <c r="B2533" s="94" t="str">
        <f>IFERROR(VLOOKUP(Proc[[#This Row],[App]],Table2[],3,0),"open")</f>
        <v>ok</v>
      </c>
      <c r="C2533" s="117" t="s">
        <v>369</v>
      </c>
      <c r="D2533" t="s">
        <v>4457</v>
      </c>
      <c r="E2533" t="s">
        <v>4740</v>
      </c>
      <c r="F2533" s="94" t="s">
        <v>4740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4787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4897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21</v>
      </c>
      <c r="R2533" s="110" t="s">
        <v>485</v>
      </c>
      <c r="S2533" s="94"/>
    </row>
    <row r="2534" spans="1:19" hidden="1">
      <c r="A2534" s="103" t="s">
        <v>4425</v>
      </c>
      <c r="B2534" s="94" t="str">
        <f>IFERROR(VLOOKUP(Proc[[#This Row],[App]],Table2[],3,0),"open")</f>
        <v>ok</v>
      </c>
      <c r="C2534" s="117" t="s">
        <v>369</v>
      </c>
      <c r="D2534" t="s">
        <v>4458</v>
      </c>
      <c r="E2534" t="s">
        <v>4740</v>
      </c>
      <c r="F2534" s="94" t="s">
        <v>4740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4787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4897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21</v>
      </c>
      <c r="R2534" s="110" t="s">
        <v>485</v>
      </c>
      <c r="S2534" s="94"/>
    </row>
    <row r="2535" spans="1:19" hidden="1">
      <c r="A2535" s="103" t="s">
        <v>4425</v>
      </c>
      <c r="B2535" s="94" t="str">
        <f>IFERROR(VLOOKUP(Proc[[#This Row],[App]],Table2[],3,0),"open")</f>
        <v>ok</v>
      </c>
      <c r="C2535" s="117" t="s">
        <v>369</v>
      </c>
      <c r="D2535" t="s">
        <v>4459</v>
      </c>
      <c r="E2535" t="s">
        <v>4740</v>
      </c>
      <c r="F2535" s="94" t="s">
        <v>4740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4787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4897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21</v>
      </c>
      <c r="R2535" s="110" t="s">
        <v>485</v>
      </c>
      <c r="S2535" s="94"/>
    </row>
    <row r="2536" spans="1:19" hidden="1">
      <c r="A2536" s="103" t="s">
        <v>4425</v>
      </c>
      <c r="B2536" s="94" t="str">
        <f>IFERROR(VLOOKUP(Proc[[#This Row],[App]],Table2[],3,0),"open")</f>
        <v>ok</v>
      </c>
      <c r="C2536" s="117" t="s">
        <v>369</v>
      </c>
      <c r="D2536" t="s">
        <v>4460</v>
      </c>
      <c r="E2536" t="s">
        <v>4741</v>
      </c>
      <c r="F2536" s="94" t="s">
        <v>4741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4787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4897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21</v>
      </c>
      <c r="R2536" s="110" t="s">
        <v>485</v>
      </c>
      <c r="S2536" s="94"/>
    </row>
    <row r="2537" spans="1:19" hidden="1">
      <c r="A2537" s="103" t="s">
        <v>4425</v>
      </c>
      <c r="B2537" s="94" t="str">
        <f>IFERROR(VLOOKUP(Proc[[#This Row],[App]],Table2[],3,0),"open")</f>
        <v>ok</v>
      </c>
      <c r="C2537" s="117" t="s">
        <v>369</v>
      </c>
      <c r="D2537" t="s">
        <v>4461</v>
      </c>
      <c r="E2537" t="s">
        <v>4740</v>
      </c>
      <c r="F2537" s="94" t="s">
        <v>4740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4787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4897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21</v>
      </c>
      <c r="R2537" s="110" t="s">
        <v>485</v>
      </c>
      <c r="S2537" s="94"/>
    </row>
    <row r="2538" spans="1:19" hidden="1">
      <c r="A2538" s="103" t="s">
        <v>4425</v>
      </c>
      <c r="B2538" s="94" t="str">
        <f>IFERROR(VLOOKUP(Proc[[#This Row],[App]],Table2[],3,0),"open")</f>
        <v>ok</v>
      </c>
      <c r="C2538" s="117" t="s">
        <v>369</v>
      </c>
      <c r="D2538" t="s">
        <v>4462</v>
      </c>
      <c r="E2538" t="s">
        <v>4742</v>
      </c>
      <c r="F2538" s="94" t="s">
        <v>4742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4787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4897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21</v>
      </c>
      <c r="R2538" s="110" t="s">
        <v>485</v>
      </c>
      <c r="S2538" s="94"/>
    </row>
    <row r="2539" spans="1:19" hidden="1">
      <c r="A2539" s="103" t="s">
        <v>4425</v>
      </c>
      <c r="B2539" s="94" t="str">
        <f>IFERROR(VLOOKUP(Proc[[#This Row],[App]],Table2[],3,0),"open")</f>
        <v>ok</v>
      </c>
      <c r="C2539" s="117" t="s">
        <v>369</v>
      </c>
      <c r="D2539" t="s">
        <v>4463</v>
      </c>
      <c r="E2539" t="s">
        <v>4742</v>
      </c>
      <c r="F2539" s="94" t="s">
        <v>4742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4787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4897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21</v>
      </c>
      <c r="R2539" s="110" t="s">
        <v>485</v>
      </c>
      <c r="S2539" s="94"/>
    </row>
    <row r="2540" spans="1:19" hidden="1">
      <c r="A2540" s="103" t="s">
        <v>4425</v>
      </c>
      <c r="B2540" s="94" t="str">
        <f>IFERROR(VLOOKUP(Proc[[#This Row],[App]],Table2[],3,0),"open")</f>
        <v>ok</v>
      </c>
      <c r="C2540" s="117" t="s">
        <v>369</v>
      </c>
      <c r="D2540" t="s">
        <v>4464</v>
      </c>
      <c r="E2540" t="s">
        <v>4740</v>
      </c>
      <c r="F2540" s="94" t="s">
        <v>4740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4787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4897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21</v>
      </c>
      <c r="R2540" s="110" t="s">
        <v>485</v>
      </c>
      <c r="S2540" s="94"/>
    </row>
    <row r="2541" spans="1:19" hidden="1">
      <c r="A2541" s="103" t="s">
        <v>4425</v>
      </c>
      <c r="B2541" s="94" t="str">
        <f>IFERROR(VLOOKUP(Proc[[#This Row],[App]],Table2[],3,0),"open")</f>
        <v>ok</v>
      </c>
      <c r="C2541" s="117" t="s">
        <v>369</v>
      </c>
      <c r="D2541" t="s">
        <v>4465</v>
      </c>
      <c r="E2541" t="s">
        <v>4740</v>
      </c>
      <c r="F2541" s="94" t="s">
        <v>4740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4787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4897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21</v>
      </c>
      <c r="R2541" s="110" t="s">
        <v>485</v>
      </c>
      <c r="S2541" s="94"/>
    </row>
    <row r="2542" spans="1:19" hidden="1">
      <c r="A2542" s="103" t="s">
        <v>4425</v>
      </c>
      <c r="B2542" s="94" t="str">
        <f>IFERROR(VLOOKUP(Proc[[#This Row],[App]],Table2[],3,0),"open")</f>
        <v>ok</v>
      </c>
      <c r="C2542" s="117" t="s">
        <v>369</v>
      </c>
      <c r="D2542" t="s">
        <v>4466</v>
      </c>
      <c r="E2542" t="s">
        <v>4740</v>
      </c>
      <c r="F2542" s="94" t="s">
        <v>4740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4787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4897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21</v>
      </c>
      <c r="R2542" s="110" t="s">
        <v>485</v>
      </c>
      <c r="S2542" s="94"/>
    </row>
    <row r="2543" spans="1:19" hidden="1">
      <c r="A2543" s="103" t="s">
        <v>4425</v>
      </c>
      <c r="B2543" s="94" t="str">
        <f>IFERROR(VLOOKUP(Proc[[#This Row],[App]],Table2[],3,0),"open")</f>
        <v>ok</v>
      </c>
      <c r="C2543" s="117" t="s">
        <v>369</v>
      </c>
      <c r="D2543" t="s">
        <v>4467</v>
      </c>
      <c r="E2543" t="s">
        <v>4741</v>
      </c>
      <c r="F2543" s="94" t="s">
        <v>4741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4787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4897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21</v>
      </c>
      <c r="R2543" s="110" t="s">
        <v>485</v>
      </c>
      <c r="S2543" s="94"/>
    </row>
    <row r="2544" spans="1:19" hidden="1">
      <c r="A2544" s="103" t="s">
        <v>4425</v>
      </c>
      <c r="B2544" s="94" t="str">
        <f>IFERROR(VLOOKUP(Proc[[#This Row],[App]],Table2[],3,0),"open")</f>
        <v>ok</v>
      </c>
      <c r="C2544" s="117" t="s">
        <v>369</v>
      </c>
      <c r="D2544" t="s">
        <v>4468</v>
      </c>
      <c r="E2544" t="s">
        <v>4741</v>
      </c>
      <c r="F2544" s="94" t="s">
        <v>4741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4787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4897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21</v>
      </c>
      <c r="R2544" s="110" t="s">
        <v>485</v>
      </c>
      <c r="S2544" s="94"/>
    </row>
    <row r="2545" spans="1:19" hidden="1">
      <c r="A2545" s="103" t="s">
        <v>4425</v>
      </c>
      <c r="B2545" s="94" t="str">
        <f>IFERROR(VLOOKUP(Proc[[#This Row],[App]],Table2[],3,0),"open")</f>
        <v>ok</v>
      </c>
      <c r="C2545" s="117" t="s">
        <v>369</v>
      </c>
      <c r="D2545" t="s">
        <v>4469</v>
      </c>
      <c r="E2545" t="s">
        <v>4741</v>
      </c>
      <c r="F2545" s="94" t="s">
        <v>4741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4787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4897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21</v>
      </c>
      <c r="R2545" s="110" t="s">
        <v>485</v>
      </c>
      <c r="S2545" s="94"/>
    </row>
    <row r="2546" spans="1:19" hidden="1">
      <c r="A2546" s="103" t="s">
        <v>4425</v>
      </c>
      <c r="B2546" s="94" t="str">
        <f>IFERROR(VLOOKUP(Proc[[#This Row],[App]],Table2[],3,0),"open")</f>
        <v>ok</v>
      </c>
      <c r="C2546" s="117" t="s">
        <v>369</v>
      </c>
      <c r="D2546" t="s">
        <v>4470</v>
      </c>
      <c r="E2546" t="s">
        <v>4741</v>
      </c>
      <c r="F2546" s="94" t="s">
        <v>4741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4787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4897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21</v>
      </c>
      <c r="R2546" s="110" t="s">
        <v>485</v>
      </c>
      <c r="S2546" s="94"/>
    </row>
    <row r="2547" spans="1:19" hidden="1">
      <c r="A2547" s="103" t="s">
        <v>4425</v>
      </c>
      <c r="B2547" s="94" t="str">
        <f>IFERROR(VLOOKUP(Proc[[#This Row],[App]],Table2[],3,0),"open")</f>
        <v>ok</v>
      </c>
      <c r="C2547" s="117" t="s">
        <v>369</v>
      </c>
      <c r="D2547" t="s">
        <v>4471</v>
      </c>
      <c r="E2547" t="s">
        <v>4741</v>
      </c>
      <c r="F2547" s="94" t="s">
        <v>4741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4787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4897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21</v>
      </c>
      <c r="R2547" s="110" t="s">
        <v>485</v>
      </c>
      <c r="S2547" s="94"/>
    </row>
    <row r="2548" spans="1:19" hidden="1">
      <c r="A2548" s="103" t="s">
        <v>4425</v>
      </c>
      <c r="B2548" s="94" t="str">
        <f>IFERROR(VLOOKUP(Proc[[#This Row],[App]],Table2[],3,0),"open")</f>
        <v>ok</v>
      </c>
      <c r="C2548" s="117" t="s">
        <v>369</v>
      </c>
      <c r="D2548" t="s">
        <v>4472</v>
      </c>
      <c r="E2548" t="s">
        <v>4741</v>
      </c>
      <c r="F2548" s="94" t="s">
        <v>4741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4787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4897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21</v>
      </c>
      <c r="R2548" s="110" t="s">
        <v>485</v>
      </c>
      <c r="S2548" s="94"/>
    </row>
    <row r="2549" spans="1:19" hidden="1">
      <c r="A2549" s="103" t="s">
        <v>4425</v>
      </c>
      <c r="B2549" s="94" t="str">
        <f>IFERROR(VLOOKUP(Proc[[#This Row],[App]],Table2[],3,0),"open")</f>
        <v>ok</v>
      </c>
      <c r="C2549" s="117" t="s">
        <v>369</v>
      </c>
      <c r="D2549" t="s">
        <v>4473</v>
      </c>
      <c r="E2549" t="s">
        <v>4741</v>
      </c>
      <c r="F2549" s="94" t="s">
        <v>4741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4787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4897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21</v>
      </c>
      <c r="R2549" s="110" t="s">
        <v>485</v>
      </c>
      <c r="S2549" s="94"/>
    </row>
    <row r="2550" spans="1:19" hidden="1">
      <c r="A2550" s="103" t="s">
        <v>4425</v>
      </c>
      <c r="B2550" s="94" t="str">
        <f>IFERROR(VLOOKUP(Proc[[#This Row],[App]],Table2[],3,0),"open")</f>
        <v>ok</v>
      </c>
      <c r="C2550" s="117" t="s">
        <v>369</v>
      </c>
      <c r="D2550" t="s">
        <v>4474</v>
      </c>
      <c r="E2550" t="s">
        <v>4741</v>
      </c>
      <c r="F2550" s="94" t="s">
        <v>4741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4787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4897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21</v>
      </c>
      <c r="R2550" s="110" t="s">
        <v>485</v>
      </c>
      <c r="S2550" s="94"/>
    </row>
    <row r="2551" spans="1:19" hidden="1">
      <c r="A2551" s="103" t="s">
        <v>4425</v>
      </c>
      <c r="B2551" s="94" t="str">
        <f>IFERROR(VLOOKUP(Proc[[#This Row],[App]],Table2[],3,0),"open")</f>
        <v>ok</v>
      </c>
      <c r="C2551" s="117" t="s">
        <v>369</v>
      </c>
      <c r="D2551" t="s">
        <v>4475</v>
      </c>
      <c r="E2551" t="s">
        <v>4741</v>
      </c>
      <c r="F2551" s="94" t="s">
        <v>4741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4787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4897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21</v>
      </c>
      <c r="R2551" s="110" t="s">
        <v>485</v>
      </c>
      <c r="S2551" s="94"/>
    </row>
    <row r="2552" spans="1:19" hidden="1">
      <c r="A2552" s="103" t="s">
        <v>4425</v>
      </c>
      <c r="B2552" s="94" t="str">
        <f>IFERROR(VLOOKUP(Proc[[#This Row],[App]],Table2[],3,0),"open")</f>
        <v>ok</v>
      </c>
      <c r="C2552" s="117" t="s">
        <v>369</v>
      </c>
      <c r="D2552" t="s">
        <v>4476</v>
      </c>
      <c r="E2552" t="s">
        <v>4741</v>
      </c>
      <c r="F2552" s="94" t="s">
        <v>4741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4787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4897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21</v>
      </c>
      <c r="R2552" s="110" t="s">
        <v>485</v>
      </c>
      <c r="S2552" s="94"/>
    </row>
    <row r="2553" spans="1:19" hidden="1">
      <c r="A2553" s="103" t="s">
        <v>4425</v>
      </c>
      <c r="B2553" s="94" t="str">
        <f>IFERROR(VLOOKUP(Proc[[#This Row],[App]],Table2[],3,0),"open")</f>
        <v>ok</v>
      </c>
      <c r="C2553" s="117" t="s">
        <v>369</v>
      </c>
      <c r="D2553" t="s">
        <v>4477</v>
      </c>
      <c r="E2553" t="s">
        <v>4741</v>
      </c>
      <c r="F2553" s="94" t="s">
        <v>4741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4787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4897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21</v>
      </c>
      <c r="R2553" s="110" t="s">
        <v>485</v>
      </c>
      <c r="S2553" s="94"/>
    </row>
    <row r="2554" spans="1:19" hidden="1">
      <c r="A2554" s="103" t="s">
        <v>4425</v>
      </c>
      <c r="B2554" s="94" t="str">
        <f>IFERROR(VLOOKUP(Proc[[#This Row],[App]],Table2[],3,0),"open")</f>
        <v>ok</v>
      </c>
      <c r="C2554" s="117" t="s">
        <v>369</v>
      </c>
      <c r="D2554" t="s">
        <v>4478</v>
      </c>
      <c r="E2554" t="s">
        <v>4741</v>
      </c>
      <c r="F2554" s="94" t="s">
        <v>4741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4787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4897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21</v>
      </c>
      <c r="R2554" s="110" t="s">
        <v>485</v>
      </c>
      <c r="S2554" s="94"/>
    </row>
    <row r="2555" spans="1:19" hidden="1">
      <c r="A2555" s="103" t="s">
        <v>4425</v>
      </c>
      <c r="B2555" s="94" t="str">
        <f>IFERROR(VLOOKUP(Proc[[#This Row],[App]],Table2[],3,0),"open")</f>
        <v>ok</v>
      </c>
      <c r="C2555" s="117" t="s">
        <v>369</v>
      </c>
      <c r="D2555" t="s">
        <v>4479</v>
      </c>
      <c r="E2555" t="s">
        <v>4741</v>
      </c>
      <c r="F2555" s="94" t="s">
        <v>4741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4787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4897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21</v>
      </c>
      <c r="R2555" s="110" t="s">
        <v>485</v>
      </c>
      <c r="S2555" s="94"/>
    </row>
    <row r="2556" spans="1:19" hidden="1">
      <c r="A2556" s="103" t="s">
        <v>4425</v>
      </c>
      <c r="B2556" s="94" t="str">
        <f>IFERROR(VLOOKUP(Proc[[#This Row],[App]],Table2[],3,0),"open")</f>
        <v>ok</v>
      </c>
      <c r="C2556" s="117" t="s">
        <v>369</v>
      </c>
      <c r="D2556" t="s">
        <v>4480</v>
      </c>
      <c r="E2556" t="s">
        <v>4741</v>
      </c>
      <c r="F2556" s="94" t="s">
        <v>4741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4787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4897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21</v>
      </c>
      <c r="R2556" s="110" t="s">
        <v>485</v>
      </c>
      <c r="S2556" s="94"/>
    </row>
    <row r="2557" spans="1:19" hidden="1">
      <c r="A2557" s="103" t="s">
        <v>4425</v>
      </c>
      <c r="B2557" s="94" t="str">
        <f>IFERROR(VLOOKUP(Proc[[#This Row],[App]],Table2[],3,0),"open")</f>
        <v>ok</v>
      </c>
      <c r="C2557" s="117" t="s">
        <v>369</v>
      </c>
      <c r="D2557" t="s">
        <v>4481</v>
      </c>
      <c r="E2557" t="s">
        <v>4740</v>
      </c>
      <c r="F2557" s="94" t="s">
        <v>4740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4787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4897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21</v>
      </c>
      <c r="R2557" s="110" t="s">
        <v>485</v>
      </c>
      <c r="S2557" s="94"/>
    </row>
    <row r="2558" spans="1:19" hidden="1">
      <c r="A2558" s="103" t="s">
        <v>4425</v>
      </c>
      <c r="B2558" s="94" t="str">
        <f>IFERROR(VLOOKUP(Proc[[#This Row],[App]],Table2[],3,0),"open")</f>
        <v>ok</v>
      </c>
      <c r="C2558" s="117" t="s">
        <v>369</v>
      </c>
      <c r="D2558" t="s">
        <v>4482</v>
      </c>
      <c r="E2558" t="s">
        <v>4740</v>
      </c>
      <c r="F2558" s="94" t="s">
        <v>4740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4787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4897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21</v>
      </c>
      <c r="R2558" s="110" t="s">
        <v>485</v>
      </c>
      <c r="S2558" s="94"/>
    </row>
    <row r="2559" spans="1:19" hidden="1">
      <c r="A2559" s="103" t="s">
        <v>4425</v>
      </c>
      <c r="B2559" s="94" t="str">
        <f>IFERROR(VLOOKUP(Proc[[#This Row],[App]],Table2[],3,0),"open")</f>
        <v>ok</v>
      </c>
      <c r="C2559" s="117" t="s">
        <v>369</v>
      </c>
      <c r="D2559" t="s">
        <v>4483</v>
      </c>
      <c r="E2559" t="s">
        <v>4740</v>
      </c>
      <c r="F2559" s="94" t="s">
        <v>4740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4787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4897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21</v>
      </c>
      <c r="R2559" s="110" t="s">
        <v>485</v>
      </c>
      <c r="S2559" s="94"/>
    </row>
    <row r="2560" spans="1:19" hidden="1">
      <c r="A2560" s="103" t="s">
        <v>4425</v>
      </c>
      <c r="B2560" s="94" t="str">
        <f>IFERROR(VLOOKUP(Proc[[#This Row],[App]],Table2[],3,0),"open")</f>
        <v>ok</v>
      </c>
      <c r="C2560" s="117" t="s">
        <v>369</v>
      </c>
      <c r="D2560" t="s">
        <v>4484</v>
      </c>
      <c r="E2560" t="s">
        <v>4741</v>
      </c>
      <c r="F2560" s="94" t="s">
        <v>4741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4787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4897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21</v>
      </c>
      <c r="R2560" s="110" t="s">
        <v>485</v>
      </c>
      <c r="S2560" s="94"/>
    </row>
    <row r="2561" spans="1:19" hidden="1">
      <c r="A2561" s="103" t="s">
        <v>4425</v>
      </c>
      <c r="B2561" s="94" t="str">
        <f>IFERROR(VLOOKUP(Proc[[#This Row],[App]],Table2[],3,0),"open")</f>
        <v>ok</v>
      </c>
      <c r="C2561" s="117" t="s">
        <v>369</v>
      </c>
      <c r="D2561" t="s">
        <v>4485</v>
      </c>
      <c r="E2561" t="s">
        <v>4741</v>
      </c>
      <c r="F2561" s="94" t="s">
        <v>4741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4787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4897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21</v>
      </c>
      <c r="R2561" s="110" t="s">
        <v>485</v>
      </c>
      <c r="S2561" s="94"/>
    </row>
    <row r="2562" spans="1:19" hidden="1">
      <c r="A2562" s="103" t="s">
        <v>4425</v>
      </c>
      <c r="B2562" s="94" t="str">
        <f>IFERROR(VLOOKUP(Proc[[#This Row],[App]],Table2[],3,0),"open")</f>
        <v>ok</v>
      </c>
      <c r="C2562" s="117" t="s">
        <v>369</v>
      </c>
      <c r="D2562" t="s">
        <v>4486</v>
      </c>
      <c r="E2562" t="s">
        <v>4741</v>
      </c>
      <c r="F2562" s="94" t="s">
        <v>4741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4787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4897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21</v>
      </c>
      <c r="R2562" s="110" t="s">
        <v>485</v>
      </c>
      <c r="S2562" s="94"/>
    </row>
    <row r="2563" spans="1:19" hidden="1">
      <c r="A2563" s="103" t="s">
        <v>4425</v>
      </c>
      <c r="B2563" s="94" t="str">
        <f>IFERROR(VLOOKUP(Proc[[#This Row],[App]],Table2[],3,0),"open")</f>
        <v>ok</v>
      </c>
      <c r="C2563" s="117" t="s">
        <v>369</v>
      </c>
      <c r="D2563" t="s">
        <v>4487</v>
      </c>
      <c r="E2563" t="s">
        <v>4741</v>
      </c>
      <c r="F2563" s="94" t="s">
        <v>4741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4787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4897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21</v>
      </c>
      <c r="R2563" s="110" t="s">
        <v>485</v>
      </c>
      <c r="S2563" s="94"/>
    </row>
    <row r="2564" spans="1:19" hidden="1">
      <c r="A2564" s="103" t="s">
        <v>4425</v>
      </c>
      <c r="B2564" s="94" t="str">
        <f>IFERROR(VLOOKUP(Proc[[#This Row],[App]],Table2[],3,0),"open")</f>
        <v>ok</v>
      </c>
      <c r="C2564" s="117" t="s">
        <v>369</v>
      </c>
      <c r="D2564" t="s">
        <v>4488</v>
      </c>
      <c r="E2564" t="s">
        <v>4741</v>
      </c>
      <c r="F2564" s="94" t="s">
        <v>4741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4787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4897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21</v>
      </c>
      <c r="R2564" s="110" t="s">
        <v>485</v>
      </c>
      <c r="S2564" s="94"/>
    </row>
    <row r="2565" spans="1:19" hidden="1">
      <c r="A2565" s="103" t="s">
        <v>4425</v>
      </c>
      <c r="B2565" s="94" t="str">
        <f>IFERROR(VLOOKUP(Proc[[#This Row],[App]],Table2[],3,0),"open")</f>
        <v>ok</v>
      </c>
      <c r="C2565" s="117" t="s">
        <v>369</v>
      </c>
      <c r="D2565" t="s">
        <v>4489</v>
      </c>
      <c r="E2565" t="s">
        <v>4741</v>
      </c>
      <c r="F2565" s="94" t="s">
        <v>4741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4787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4897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21</v>
      </c>
      <c r="R2565" s="110" t="s">
        <v>485</v>
      </c>
      <c r="S2565" s="94"/>
    </row>
    <row r="2566" spans="1:19" hidden="1">
      <c r="A2566" s="103" t="s">
        <v>4425</v>
      </c>
      <c r="B2566" s="94" t="str">
        <f>IFERROR(VLOOKUP(Proc[[#This Row],[App]],Table2[],3,0),"open")</f>
        <v>ok</v>
      </c>
      <c r="C2566" s="117" t="s">
        <v>369</v>
      </c>
      <c r="D2566" t="s">
        <v>4490</v>
      </c>
      <c r="E2566" t="s">
        <v>4741</v>
      </c>
      <c r="F2566" s="94" t="s">
        <v>4741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4787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4897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21</v>
      </c>
      <c r="R2566" s="110" t="s">
        <v>485</v>
      </c>
      <c r="S2566" s="94"/>
    </row>
    <row r="2567" spans="1:19" hidden="1">
      <c r="A2567" s="103" t="s">
        <v>4425</v>
      </c>
      <c r="B2567" s="94" t="str">
        <f>IFERROR(VLOOKUP(Proc[[#This Row],[App]],Table2[],3,0),"open")</f>
        <v>ok</v>
      </c>
      <c r="C2567" s="117" t="s">
        <v>369</v>
      </c>
      <c r="D2567" t="s">
        <v>4491</v>
      </c>
      <c r="E2567" t="s">
        <v>4741</v>
      </c>
      <c r="F2567" s="94" t="s">
        <v>4741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4787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4897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21</v>
      </c>
      <c r="R2567" s="110" t="s">
        <v>485</v>
      </c>
      <c r="S2567" s="94"/>
    </row>
    <row r="2568" spans="1:19" hidden="1">
      <c r="A2568" s="103" t="s">
        <v>4425</v>
      </c>
      <c r="B2568" s="94" t="str">
        <f>IFERROR(VLOOKUP(Proc[[#This Row],[App]],Table2[],3,0),"open")</f>
        <v>ok</v>
      </c>
      <c r="C2568" s="117" t="s">
        <v>369</v>
      </c>
      <c r="D2568" t="s">
        <v>4492</v>
      </c>
      <c r="E2568" t="s">
        <v>4741</v>
      </c>
      <c r="F2568" s="94" t="s">
        <v>4741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4787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4897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21</v>
      </c>
      <c r="R2568" s="110" t="s">
        <v>485</v>
      </c>
      <c r="S2568" s="94"/>
    </row>
    <row r="2569" spans="1:19" hidden="1">
      <c r="A2569" s="103" t="s">
        <v>4425</v>
      </c>
      <c r="B2569" s="94" t="str">
        <f>IFERROR(VLOOKUP(Proc[[#This Row],[App]],Table2[],3,0),"open")</f>
        <v>ok</v>
      </c>
      <c r="C2569" s="117" t="s">
        <v>369</v>
      </c>
      <c r="D2569" t="s">
        <v>4493</v>
      </c>
      <c r="E2569" t="s">
        <v>4741</v>
      </c>
      <c r="F2569" s="94" t="s">
        <v>4741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4787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4897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21</v>
      </c>
      <c r="R2569" s="110" t="s">
        <v>485</v>
      </c>
      <c r="S2569" s="94"/>
    </row>
    <row r="2570" spans="1:19" hidden="1">
      <c r="A2570" s="103" t="s">
        <v>4425</v>
      </c>
      <c r="B2570" s="94" t="str">
        <f>IFERROR(VLOOKUP(Proc[[#This Row],[App]],Table2[],3,0),"open")</f>
        <v>ok</v>
      </c>
      <c r="C2570" s="117" t="s">
        <v>369</v>
      </c>
      <c r="D2570" t="s">
        <v>4494</v>
      </c>
      <c r="E2570" t="s">
        <v>4741</v>
      </c>
      <c r="F2570" s="94" t="s">
        <v>4741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4787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4897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21</v>
      </c>
      <c r="R2570" s="110" t="s">
        <v>485</v>
      </c>
      <c r="S2570" s="94"/>
    </row>
    <row r="2571" spans="1:19" hidden="1">
      <c r="A2571" s="103" t="s">
        <v>4425</v>
      </c>
      <c r="B2571" s="94" t="str">
        <f>IFERROR(VLOOKUP(Proc[[#This Row],[App]],Table2[],3,0),"open")</f>
        <v>ok</v>
      </c>
      <c r="C2571" s="117" t="s">
        <v>369</v>
      </c>
      <c r="D2571" t="s">
        <v>4495</v>
      </c>
      <c r="E2571" t="s">
        <v>4741</v>
      </c>
      <c r="F2571" s="94" t="s">
        <v>4741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4787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4897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21</v>
      </c>
      <c r="R2571" s="110" t="s">
        <v>485</v>
      </c>
      <c r="S2571" s="94"/>
    </row>
    <row r="2572" spans="1:19" hidden="1">
      <c r="A2572" s="103" t="s">
        <v>4425</v>
      </c>
      <c r="B2572" s="94" t="str">
        <f>IFERROR(VLOOKUP(Proc[[#This Row],[App]],Table2[],3,0),"open")</f>
        <v>ok</v>
      </c>
      <c r="C2572" s="117" t="s">
        <v>369</v>
      </c>
      <c r="D2572" t="s">
        <v>4496</v>
      </c>
      <c r="E2572" t="s">
        <v>4741</v>
      </c>
      <c r="F2572" s="94" t="s">
        <v>4741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4787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4897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21</v>
      </c>
      <c r="R2572" s="110" t="s">
        <v>485</v>
      </c>
      <c r="S2572" s="94"/>
    </row>
    <row r="2573" spans="1:19" hidden="1">
      <c r="A2573" s="103" t="s">
        <v>4425</v>
      </c>
      <c r="B2573" s="94" t="str">
        <f>IFERROR(VLOOKUP(Proc[[#This Row],[App]],Table2[],3,0),"open")</f>
        <v>ok</v>
      </c>
      <c r="C2573" s="117" t="s">
        <v>369</v>
      </c>
      <c r="D2573" t="s">
        <v>4497</v>
      </c>
      <c r="E2573" t="s">
        <v>4741</v>
      </c>
      <c r="F2573" s="94" t="s">
        <v>4741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4787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4897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21</v>
      </c>
      <c r="R2573" s="110" t="s">
        <v>485</v>
      </c>
      <c r="S2573" s="94"/>
    </row>
    <row r="2574" spans="1:19" hidden="1">
      <c r="A2574" s="103" t="s">
        <v>4425</v>
      </c>
      <c r="B2574" s="94" t="str">
        <f>IFERROR(VLOOKUP(Proc[[#This Row],[App]],Table2[],3,0),"open")</f>
        <v>ok</v>
      </c>
      <c r="C2574" s="117" t="s">
        <v>369</v>
      </c>
      <c r="D2574" t="s">
        <v>4498</v>
      </c>
      <c r="E2574" t="s">
        <v>4741</v>
      </c>
      <c r="F2574" s="94" t="s">
        <v>4741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4787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4897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21</v>
      </c>
      <c r="R2574" s="110" t="s">
        <v>485</v>
      </c>
      <c r="S2574" s="94"/>
    </row>
    <row r="2575" spans="1:19" hidden="1">
      <c r="A2575" s="103" t="s">
        <v>4425</v>
      </c>
      <c r="B2575" s="94" t="str">
        <f>IFERROR(VLOOKUP(Proc[[#This Row],[App]],Table2[],3,0),"open")</f>
        <v>ok</v>
      </c>
      <c r="C2575" s="117" t="s">
        <v>369</v>
      </c>
      <c r="D2575" t="s">
        <v>4499</v>
      </c>
      <c r="E2575" t="s">
        <v>4741</v>
      </c>
      <c r="F2575" s="94" t="s">
        <v>4741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4787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4897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21</v>
      </c>
      <c r="R2575" s="110" t="s">
        <v>485</v>
      </c>
      <c r="S2575" s="94"/>
    </row>
    <row r="2576" spans="1:19" hidden="1">
      <c r="A2576" s="103" t="s">
        <v>4425</v>
      </c>
      <c r="B2576" s="94" t="str">
        <f>IFERROR(VLOOKUP(Proc[[#This Row],[App]],Table2[],3,0),"open")</f>
        <v>ok</v>
      </c>
      <c r="C2576" s="117" t="s">
        <v>369</v>
      </c>
      <c r="D2576" t="s">
        <v>4500</v>
      </c>
      <c r="E2576" t="s">
        <v>4741</v>
      </c>
      <c r="F2576" s="94" t="s">
        <v>4741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4787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4897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21</v>
      </c>
      <c r="R2576" s="110" t="s">
        <v>485</v>
      </c>
      <c r="S2576" s="94"/>
    </row>
    <row r="2577" spans="1:19" hidden="1">
      <c r="A2577" s="103" t="s">
        <v>4425</v>
      </c>
      <c r="B2577" s="94" t="str">
        <f>IFERROR(VLOOKUP(Proc[[#This Row],[App]],Table2[],3,0),"open")</f>
        <v>ok</v>
      </c>
      <c r="C2577" s="117" t="s">
        <v>369</v>
      </c>
      <c r="D2577" t="s">
        <v>4501</v>
      </c>
      <c r="E2577" t="s">
        <v>4741</v>
      </c>
      <c r="F2577" s="94" t="s">
        <v>4741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4787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4897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21</v>
      </c>
      <c r="R2577" s="110" t="s">
        <v>485</v>
      </c>
      <c r="S2577" s="94"/>
    </row>
    <row r="2578" spans="1:19" hidden="1">
      <c r="A2578" s="103" t="s">
        <v>4425</v>
      </c>
      <c r="B2578" s="94" t="str">
        <f>IFERROR(VLOOKUP(Proc[[#This Row],[App]],Table2[],3,0),"open")</f>
        <v>ok</v>
      </c>
      <c r="C2578" s="117" t="s">
        <v>369</v>
      </c>
      <c r="D2578" t="s">
        <v>4502</v>
      </c>
      <c r="E2578" t="s">
        <v>4743</v>
      </c>
      <c r="F2578" s="94" t="s">
        <v>4743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4787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4897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21</v>
      </c>
      <c r="R2578" s="110" t="s">
        <v>485</v>
      </c>
      <c r="S2578" s="94"/>
    </row>
    <row r="2579" spans="1:19" hidden="1">
      <c r="A2579" s="103" t="s">
        <v>4425</v>
      </c>
      <c r="B2579" s="94" t="str">
        <f>IFERROR(VLOOKUP(Proc[[#This Row],[App]],Table2[],3,0),"open")</f>
        <v>ok</v>
      </c>
      <c r="C2579" s="117" t="s">
        <v>369</v>
      </c>
      <c r="D2579" t="s">
        <v>4503</v>
      </c>
      <c r="E2579" t="s">
        <v>4744</v>
      </c>
      <c r="F2579" s="94" t="s">
        <v>4744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4787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4897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21</v>
      </c>
      <c r="R2579" s="110" t="s">
        <v>485</v>
      </c>
      <c r="S2579" s="94"/>
    </row>
    <row r="2580" spans="1:19" hidden="1">
      <c r="A2580" s="103" t="s">
        <v>4425</v>
      </c>
      <c r="B2580" s="94" t="str">
        <f>IFERROR(VLOOKUP(Proc[[#This Row],[App]],Table2[],3,0),"open")</f>
        <v>ok</v>
      </c>
      <c r="C2580" s="117" t="s">
        <v>369</v>
      </c>
      <c r="D2580" t="s">
        <v>4504</v>
      </c>
      <c r="E2580" t="s">
        <v>4743</v>
      </c>
      <c r="F2580" s="94" t="s">
        <v>4743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4787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4897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21</v>
      </c>
      <c r="R2580" s="110" t="s">
        <v>485</v>
      </c>
      <c r="S2580" s="94"/>
    </row>
    <row r="2581" spans="1:19" hidden="1">
      <c r="A2581" s="103" t="s">
        <v>4425</v>
      </c>
      <c r="B2581" s="94" t="str">
        <f>IFERROR(VLOOKUP(Proc[[#This Row],[App]],Table2[],3,0),"open")</f>
        <v>ok</v>
      </c>
      <c r="C2581" s="117" t="s">
        <v>369</v>
      </c>
      <c r="D2581" t="s">
        <v>4505</v>
      </c>
      <c r="E2581" t="s">
        <v>4745</v>
      </c>
      <c r="F2581" s="94" t="s">
        <v>4745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4787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4897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21</v>
      </c>
      <c r="R2581" s="110" t="s">
        <v>485</v>
      </c>
      <c r="S2581" s="94"/>
    </row>
    <row r="2582" spans="1:19" hidden="1">
      <c r="A2582" s="103" t="s">
        <v>4425</v>
      </c>
      <c r="B2582" s="94" t="str">
        <f>IFERROR(VLOOKUP(Proc[[#This Row],[App]],Table2[],3,0),"open")</f>
        <v>ok</v>
      </c>
      <c r="C2582" s="117" t="s">
        <v>369</v>
      </c>
      <c r="D2582" t="s">
        <v>4506</v>
      </c>
      <c r="E2582" t="s">
        <v>4743</v>
      </c>
      <c r="F2582" s="94" t="s">
        <v>4743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4787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4897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21</v>
      </c>
      <c r="R2582" s="110" t="s">
        <v>485</v>
      </c>
      <c r="S2582" s="94"/>
    </row>
    <row r="2583" spans="1:19" hidden="1">
      <c r="A2583" s="103" t="s">
        <v>4425</v>
      </c>
      <c r="B2583" s="94" t="str">
        <f>IFERROR(VLOOKUP(Proc[[#This Row],[App]],Table2[],3,0),"open")</f>
        <v>ok</v>
      </c>
      <c r="C2583" s="117" t="s">
        <v>369</v>
      </c>
      <c r="D2583" t="s">
        <v>4507</v>
      </c>
      <c r="E2583" t="s">
        <v>4743</v>
      </c>
      <c r="F2583" s="94" t="s">
        <v>4743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4787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4897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21</v>
      </c>
      <c r="R2583" s="110" t="s">
        <v>485</v>
      </c>
      <c r="S2583" s="94"/>
    </row>
    <row r="2584" spans="1:19" hidden="1">
      <c r="A2584" s="103" t="s">
        <v>4425</v>
      </c>
      <c r="B2584" s="94" t="str">
        <f>IFERROR(VLOOKUP(Proc[[#This Row],[App]],Table2[],3,0),"open")</f>
        <v>ok</v>
      </c>
      <c r="C2584" s="117" t="s">
        <v>369</v>
      </c>
      <c r="D2584" t="s">
        <v>4508</v>
      </c>
      <c r="E2584" t="s">
        <v>4743</v>
      </c>
      <c r="F2584" s="94" t="s">
        <v>4743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4787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4897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21</v>
      </c>
      <c r="R2584" s="110" t="s">
        <v>485</v>
      </c>
      <c r="S2584" s="94"/>
    </row>
    <row r="2585" spans="1:19" hidden="1">
      <c r="A2585" s="103" t="s">
        <v>4425</v>
      </c>
      <c r="B2585" s="94" t="str">
        <f>IFERROR(VLOOKUP(Proc[[#This Row],[App]],Table2[],3,0),"open")</f>
        <v>ok</v>
      </c>
      <c r="C2585" s="117" t="s">
        <v>369</v>
      </c>
      <c r="D2585" t="s">
        <v>4509</v>
      </c>
      <c r="E2585" t="s">
        <v>4745</v>
      </c>
      <c r="F2585" s="94" t="s">
        <v>4745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4787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4897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21</v>
      </c>
      <c r="R2585" s="110" t="s">
        <v>485</v>
      </c>
      <c r="S2585" s="94"/>
    </row>
    <row r="2586" spans="1:19" hidden="1">
      <c r="A2586" s="103" t="s">
        <v>4425</v>
      </c>
      <c r="B2586" s="94" t="str">
        <f>IFERROR(VLOOKUP(Proc[[#This Row],[App]],Table2[],3,0),"open")</f>
        <v>ok</v>
      </c>
      <c r="C2586" s="117" t="s">
        <v>369</v>
      </c>
      <c r="D2586" t="s">
        <v>4510</v>
      </c>
      <c r="E2586" t="s">
        <v>4744</v>
      </c>
      <c r="F2586" s="94" t="s">
        <v>4744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4787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4897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21</v>
      </c>
      <c r="R2586" s="110" t="s">
        <v>485</v>
      </c>
      <c r="S2586" s="94"/>
    </row>
    <row r="2587" spans="1:19" hidden="1">
      <c r="A2587" s="103" t="s">
        <v>4425</v>
      </c>
      <c r="B2587" s="94" t="str">
        <f>IFERROR(VLOOKUP(Proc[[#This Row],[App]],Table2[],3,0),"open")</f>
        <v>ok</v>
      </c>
      <c r="C2587" s="117" t="s">
        <v>369</v>
      </c>
      <c r="D2587" t="s">
        <v>4511</v>
      </c>
      <c r="E2587" t="s">
        <v>4743</v>
      </c>
      <c r="F2587" s="94" t="s">
        <v>4743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4787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4897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21</v>
      </c>
      <c r="R2587" s="110" t="s">
        <v>485</v>
      </c>
      <c r="S2587" s="94"/>
    </row>
    <row r="2588" spans="1:19" hidden="1">
      <c r="A2588" s="103" t="s">
        <v>4425</v>
      </c>
      <c r="B2588" s="94" t="str">
        <f>IFERROR(VLOOKUP(Proc[[#This Row],[App]],Table2[],3,0),"open")</f>
        <v>ok</v>
      </c>
      <c r="C2588" s="117" t="s">
        <v>369</v>
      </c>
      <c r="D2588" t="s">
        <v>4512</v>
      </c>
      <c r="E2588" t="s">
        <v>4743</v>
      </c>
      <c r="F2588" s="94" t="s">
        <v>4743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4787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4897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21</v>
      </c>
      <c r="R2588" s="110" t="s">
        <v>485</v>
      </c>
      <c r="S2588" s="94"/>
    </row>
    <row r="2589" spans="1:19" hidden="1">
      <c r="A2589" s="103" t="s">
        <v>4425</v>
      </c>
      <c r="B2589" s="94" t="str">
        <f>IFERROR(VLOOKUP(Proc[[#This Row],[App]],Table2[],3,0),"open")</f>
        <v>ok</v>
      </c>
      <c r="C2589" s="117" t="s">
        <v>369</v>
      </c>
      <c r="D2589" t="s">
        <v>4513</v>
      </c>
      <c r="E2589" t="s">
        <v>4743</v>
      </c>
      <c r="F2589" s="94" t="s">
        <v>4743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4787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4897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21</v>
      </c>
      <c r="R2589" s="110" t="s">
        <v>485</v>
      </c>
      <c r="S2589" s="94"/>
    </row>
    <row r="2590" spans="1:19" hidden="1">
      <c r="A2590" s="103" t="s">
        <v>4425</v>
      </c>
      <c r="B2590" s="94" t="str">
        <f>IFERROR(VLOOKUP(Proc[[#This Row],[App]],Table2[],3,0),"open")</f>
        <v>ok</v>
      </c>
      <c r="C2590" s="117" t="s">
        <v>369</v>
      </c>
      <c r="D2590" t="s">
        <v>4514</v>
      </c>
      <c r="E2590" t="s">
        <v>4743</v>
      </c>
      <c r="F2590" s="94" t="s">
        <v>4743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4787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4897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21</v>
      </c>
      <c r="R2590" s="110" t="s">
        <v>485</v>
      </c>
      <c r="S2590" s="94"/>
    </row>
    <row r="2591" spans="1:19" hidden="1">
      <c r="A2591" s="103" t="s">
        <v>4425</v>
      </c>
      <c r="B2591" s="94" t="str">
        <f>IFERROR(VLOOKUP(Proc[[#This Row],[App]],Table2[],3,0),"open")</f>
        <v>ok</v>
      </c>
      <c r="C2591" s="117" t="s">
        <v>369</v>
      </c>
      <c r="D2591" t="s">
        <v>4515</v>
      </c>
      <c r="E2591" t="s">
        <v>4743</v>
      </c>
      <c r="F2591" s="94" t="s">
        <v>4743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4787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4897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21</v>
      </c>
      <c r="R2591" s="110" t="s">
        <v>485</v>
      </c>
      <c r="S2591" s="94"/>
    </row>
    <row r="2592" spans="1:19" hidden="1">
      <c r="A2592" s="103" t="s">
        <v>4425</v>
      </c>
      <c r="B2592" s="94" t="str">
        <f>IFERROR(VLOOKUP(Proc[[#This Row],[App]],Table2[],3,0),"open")</f>
        <v>ok</v>
      </c>
      <c r="C2592" s="117" t="s">
        <v>369</v>
      </c>
      <c r="D2592" t="s">
        <v>4516</v>
      </c>
      <c r="E2592" t="s">
        <v>4743</v>
      </c>
      <c r="F2592" s="94" t="s">
        <v>4743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4787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4897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21</v>
      </c>
      <c r="R2592" s="110" t="s">
        <v>485</v>
      </c>
      <c r="S2592" s="94"/>
    </row>
    <row r="2593" spans="1:19" hidden="1">
      <c r="A2593" s="103" t="s">
        <v>4425</v>
      </c>
      <c r="B2593" s="94" t="str">
        <f>IFERROR(VLOOKUP(Proc[[#This Row],[App]],Table2[],3,0),"open")</f>
        <v>ok</v>
      </c>
      <c r="C2593" s="117" t="s">
        <v>369</v>
      </c>
      <c r="D2593" t="s">
        <v>4517</v>
      </c>
      <c r="E2593" t="s">
        <v>4743</v>
      </c>
      <c r="F2593" s="94" t="s">
        <v>4743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4787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4897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21</v>
      </c>
      <c r="R2593" s="110" t="s">
        <v>485</v>
      </c>
      <c r="S2593" s="94"/>
    </row>
    <row r="2594" spans="1:19" hidden="1">
      <c r="A2594" s="103" t="s">
        <v>4425</v>
      </c>
      <c r="B2594" s="94" t="str">
        <f>IFERROR(VLOOKUP(Proc[[#This Row],[App]],Table2[],3,0),"open")</f>
        <v>ok</v>
      </c>
      <c r="C2594" s="117" t="s">
        <v>369</v>
      </c>
      <c r="D2594" t="s">
        <v>4518</v>
      </c>
      <c r="E2594" t="s">
        <v>4743</v>
      </c>
      <c r="F2594" s="94" t="s">
        <v>4743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4787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4897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21</v>
      </c>
      <c r="R2594" s="110" t="s">
        <v>485</v>
      </c>
      <c r="S2594" s="94"/>
    </row>
    <row r="2595" spans="1:19" hidden="1">
      <c r="A2595" s="103" t="s">
        <v>4425</v>
      </c>
      <c r="B2595" s="94" t="str">
        <f>IFERROR(VLOOKUP(Proc[[#This Row],[App]],Table2[],3,0),"open")</f>
        <v>ok</v>
      </c>
      <c r="C2595" s="117" t="s">
        <v>369</v>
      </c>
      <c r="D2595" t="s">
        <v>4519</v>
      </c>
      <c r="E2595" t="s">
        <v>4743</v>
      </c>
      <c r="F2595" s="94" t="s">
        <v>4743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4787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4897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21</v>
      </c>
      <c r="R2595" s="110" t="s">
        <v>485</v>
      </c>
      <c r="S2595" s="94"/>
    </row>
    <row r="2596" spans="1:19" hidden="1">
      <c r="A2596" s="103" t="s">
        <v>4425</v>
      </c>
      <c r="B2596" s="94" t="str">
        <f>IFERROR(VLOOKUP(Proc[[#This Row],[App]],Table2[],3,0),"open")</f>
        <v>ok</v>
      </c>
      <c r="C2596" s="117" t="s">
        <v>369</v>
      </c>
      <c r="D2596" t="s">
        <v>4520</v>
      </c>
      <c r="E2596" t="s">
        <v>4743</v>
      </c>
      <c r="F2596" s="94" t="s">
        <v>4743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4787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4897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21</v>
      </c>
      <c r="R2596" s="110" t="s">
        <v>485</v>
      </c>
      <c r="S2596" s="94"/>
    </row>
    <row r="2597" spans="1:19" hidden="1">
      <c r="A2597" s="103" t="s">
        <v>4425</v>
      </c>
      <c r="B2597" s="94" t="str">
        <f>IFERROR(VLOOKUP(Proc[[#This Row],[App]],Table2[],3,0),"open")</f>
        <v>ok</v>
      </c>
      <c r="C2597" s="117" t="s">
        <v>369</v>
      </c>
      <c r="D2597" t="s">
        <v>4521</v>
      </c>
      <c r="E2597" t="s">
        <v>4743</v>
      </c>
      <c r="F2597" s="94" t="s">
        <v>4743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4787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4897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21</v>
      </c>
      <c r="R2597" s="110" t="s">
        <v>485</v>
      </c>
      <c r="S2597" s="94"/>
    </row>
    <row r="2598" spans="1:19" hidden="1">
      <c r="A2598" s="103" t="s">
        <v>4425</v>
      </c>
      <c r="B2598" s="94" t="str">
        <f>IFERROR(VLOOKUP(Proc[[#This Row],[App]],Table2[],3,0),"open")</f>
        <v>ok</v>
      </c>
      <c r="C2598" s="117" t="s">
        <v>369</v>
      </c>
      <c r="D2598" t="s">
        <v>4522</v>
      </c>
      <c r="E2598" t="s">
        <v>4743</v>
      </c>
      <c r="F2598" s="94" t="s">
        <v>4743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4787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4897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21</v>
      </c>
      <c r="R2598" s="110" t="s">
        <v>485</v>
      </c>
      <c r="S2598" s="94"/>
    </row>
    <row r="2599" spans="1:19" hidden="1">
      <c r="A2599" s="103" t="s">
        <v>4425</v>
      </c>
      <c r="B2599" s="94" t="str">
        <f>IFERROR(VLOOKUP(Proc[[#This Row],[App]],Table2[],3,0),"open")</f>
        <v>ok</v>
      </c>
      <c r="C2599" s="117" t="s">
        <v>369</v>
      </c>
      <c r="D2599" t="s">
        <v>4523</v>
      </c>
      <c r="E2599" t="s">
        <v>4743</v>
      </c>
      <c r="F2599" s="94" t="s">
        <v>4743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4787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4897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21</v>
      </c>
      <c r="R2599" s="110" t="s">
        <v>485</v>
      </c>
      <c r="S2599" s="94"/>
    </row>
    <row r="2600" spans="1:19" hidden="1">
      <c r="A2600" s="103" t="s">
        <v>4425</v>
      </c>
      <c r="B2600" s="94" t="str">
        <f>IFERROR(VLOOKUP(Proc[[#This Row],[App]],Table2[],3,0),"open")</f>
        <v>ok</v>
      </c>
      <c r="C2600" s="117" t="s">
        <v>369</v>
      </c>
      <c r="D2600" t="s">
        <v>4524</v>
      </c>
      <c r="E2600" t="s">
        <v>4743</v>
      </c>
      <c r="F2600" s="94" t="s">
        <v>4743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4787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4897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21</v>
      </c>
      <c r="R2600" s="110" t="s">
        <v>485</v>
      </c>
      <c r="S2600" s="94"/>
    </row>
    <row r="2601" spans="1:19" hidden="1">
      <c r="A2601" s="103" t="s">
        <v>4425</v>
      </c>
      <c r="B2601" s="94" t="str">
        <f>IFERROR(VLOOKUP(Proc[[#This Row],[App]],Table2[],3,0),"open")</f>
        <v>ok</v>
      </c>
      <c r="C2601" s="117" t="s">
        <v>369</v>
      </c>
      <c r="D2601" t="s">
        <v>4525</v>
      </c>
      <c r="E2601" t="s">
        <v>4743</v>
      </c>
      <c r="F2601" s="94" t="s">
        <v>4743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4787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4897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21</v>
      </c>
      <c r="R2601" s="110" t="s">
        <v>485</v>
      </c>
      <c r="S2601" s="94"/>
    </row>
    <row r="2602" spans="1:19" hidden="1">
      <c r="A2602" s="103" t="s">
        <v>4425</v>
      </c>
      <c r="B2602" s="94" t="str">
        <f>IFERROR(VLOOKUP(Proc[[#This Row],[App]],Table2[],3,0),"open")</f>
        <v>ok</v>
      </c>
      <c r="C2602" s="117" t="s">
        <v>369</v>
      </c>
      <c r="D2602" t="s">
        <v>4526</v>
      </c>
      <c r="E2602" t="s">
        <v>4743</v>
      </c>
      <c r="F2602" s="94" t="s">
        <v>4743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4788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4897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21</v>
      </c>
      <c r="R2602" s="110" t="s">
        <v>485</v>
      </c>
      <c r="S2602" s="94"/>
    </row>
    <row r="2603" spans="1:19" hidden="1">
      <c r="A2603" s="103" t="s">
        <v>4425</v>
      </c>
      <c r="B2603" s="94" t="str">
        <f>IFERROR(VLOOKUP(Proc[[#This Row],[App]],Table2[],3,0),"open")</f>
        <v>ok</v>
      </c>
      <c r="C2603" s="117" t="s">
        <v>369</v>
      </c>
      <c r="D2603" t="s">
        <v>4527</v>
      </c>
      <c r="E2603" t="s">
        <v>4744</v>
      </c>
      <c r="F2603" s="94" t="s">
        <v>4744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4788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4897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21</v>
      </c>
      <c r="R2603" s="110" t="s">
        <v>485</v>
      </c>
      <c r="S2603" s="94"/>
    </row>
    <row r="2604" spans="1:19" hidden="1">
      <c r="A2604" s="103" t="s">
        <v>4425</v>
      </c>
      <c r="B2604" s="94" t="str">
        <f>IFERROR(VLOOKUP(Proc[[#This Row],[App]],Table2[],3,0),"open")</f>
        <v>ok</v>
      </c>
      <c r="C2604" s="117" t="s">
        <v>369</v>
      </c>
      <c r="D2604" t="s">
        <v>4528</v>
      </c>
      <c r="E2604" t="s">
        <v>4744</v>
      </c>
      <c r="F2604" s="94" t="s">
        <v>4744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4788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4897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21</v>
      </c>
      <c r="R2604" s="110" t="s">
        <v>485</v>
      </c>
      <c r="S2604" s="94"/>
    </row>
    <row r="2605" spans="1:19" hidden="1">
      <c r="A2605" s="103" t="s">
        <v>4425</v>
      </c>
      <c r="B2605" s="94" t="str">
        <f>IFERROR(VLOOKUP(Proc[[#This Row],[App]],Table2[],3,0),"open")</f>
        <v>ok</v>
      </c>
      <c r="C2605" s="117" t="s">
        <v>369</v>
      </c>
      <c r="D2605" t="s">
        <v>4529</v>
      </c>
      <c r="E2605" t="s">
        <v>4743</v>
      </c>
      <c r="F2605" s="94" t="s">
        <v>4743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4788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4897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21</v>
      </c>
      <c r="R2605" s="110" t="s">
        <v>485</v>
      </c>
      <c r="S2605" s="94"/>
    </row>
    <row r="2606" spans="1:19" hidden="1">
      <c r="A2606" s="103" t="s">
        <v>4425</v>
      </c>
      <c r="B2606" s="94" t="str">
        <f>IFERROR(VLOOKUP(Proc[[#This Row],[App]],Table2[],3,0),"open")</f>
        <v>ok</v>
      </c>
      <c r="C2606" s="117" t="s">
        <v>369</v>
      </c>
      <c r="D2606" t="s">
        <v>4530</v>
      </c>
      <c r="E2606" t="s">
        <v>4744</v>
      </c>
      <c r="F2606" s="94" t="s">
        <v>4744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4788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4897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21</v>
      </c>
      <c r="R2606" s="110" t="s">
        <v>485</v>
      </c>
      <c r="S2606" s="94"/>
    </row>
    <row r="2607" spans="1:19" hidden="1">
      <c r="A2607" s="103" t="s">
        <v>4425</v>
      </c>
      <c r="B2607" s="94" t="str">
        <f>IFERROR(VLOOKUP(Proc[[#This Row],[App]],Table2[],3,0),"open")</f>
        <v>ok</v>
      </c>
      <c r="C2607" s="117" t="s">
        <v>369</v>
      </c>
      <c r="D2607" t="s">
        <v>4531</v>
      </c>
      <c r="E2607" t="s">
        <v>4743</v>
      </c>
      <c r="F2607" s="94" t="s">
        <v>4743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4788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4897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21</v>
      </c>
      <c r="R2607" s="110" t="s">
        <v>485</v>
      </c>
      <c r="S2607" s="94"/>
    </row>
    <row r="2608" spans="1:19" hidden="1">
      <c r="A2608" s="103" t="s">
        <v>4425</v>
      </c>
      <c r="B2608" s="94" t="str">
        <f>IFERROR(VLOOKUP(Proc[[#This Row],[App]],Table2[],3,0),"open")</f>
        <v>ok</v>
      </c>
      <c r="C2608" s="117" t="s">
        <v>369</v>
      </c>
      <c r="D2608" t="s">
        <v>4532</v>
      </c>
      <c r="E2608" t="s">
        <v>4744</v>
      </c>
      <c r="F2608" s="94" t="s">
        <v>4744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4788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4897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21</v>
      </c>
      <c r="R2608" s="110" t="s">
        <v>485</v>
      </c>
      <c r="S2608" s="94"/>
    </row>
    <row r="2609" spans="1:19" hidden="1">
      <c r="A2609" s="103" t="s">
        <v>4425</v>
      </c>
      <c r="B2609" s="94" t="str">
        <f>IFERROR(VLOOKUP(Proc[[#This Row],[App]],Table2[],3,0),"open")</f>
        <v>ok</v>
      </c>
      <c r="C2609" s="117" t="s">
        <v>369</v>
      </c>
      <c r="D2609" t="s">
        <v>4533</v>
      </c>
      <c r="E2609" t="s">
        <v>4743</v>
      </c>
      <c r="F2609" s="94" t="s">
        <v>4743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4788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4897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21</v>
      </c>
      <c r="R2609" s="110" t="s">
        <v>485</v>
      </c>
      <c r="S2609" s="94"/>
    </row>
    <row r="2610" spans="1:19" hidden="1">
      <c r="A2610" s="103" t="s">
        <v>4425</v>
      </c>
      <c r="B2610" s="94" t="str">
        <f>IFERROR(VLOOKUP(Proc[[#This Row],[App]],Table2[],3,0),"open")</f>
        <v>ok</v>
      </c>
      <c r="C2610" s="117" t="s">
        <v>369</v>
      </c>
      <c r="D2610" t="s">
        <v>4534</v>
      </c>
      <c r="E2610" t="s">
        <v>4744</v>
      </c>
      <c r="F2610" s="94" t="s">
        <v>4744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4788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4897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21</v>
      </c>
      <c r="R2610" s="110" t="s">
        <v>485</v>
      </c>
      <c r="S2610" s="94"/>
    </row>
    <row r="2611" spans="1:19" hidden="1">
      <c r="A2611" s="103" t="s">
        <v>4425</v>
      </c>
      <c r="B2611" s="94" t="str">
        <f>IFERROR(VLOOKUP(Proc[[#This Row],[App]],Table2[],3,0),"open")</f>
        <v>ok</v>
      </c>
      <c r="C2611" s="117" t="s">
        <v>369</v>
      </c>
      <c r="D2611" t="s">
        <v>4535</v>
      </c>
      <c r="E2611" t="s">
        <v>4746</v>
      </c>
      <c r="F2611" s="94" t="s">
        <v>4746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4788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4897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21</v>
      </c>
      <c r="R2611" s="110" t="s">
        <v>485</v>
      </c>
      <c r="S2611" s="94"/>
    </row>
    <row r="2612" spans="1:19" hidden="1">
      <c r="A2612" s="103" t="s">
        <v>4425</v>
      </c>
      <c r="B2612" s="94" t="str">
        <f>IFERROR(VLOOKUP(Proc[[#This Row],[App]],Table2[],3,0),"open")</f>
        <v>ok</v>
      </c>
      <c r="C2612" s="117" t="s">
        <v>369</v>
      </c>
      <c r="D2612" t="s">
        <v>4536</v>
      </c>
      <c r="E2612" t="s">
        <v>4744</v>
      </c>
      <c r="F2612" s="94" t="s">
        <v>4744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4788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4897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21</v>
      </c>
      <c r="R2612" s="110" t="s">
        <v>485</v>
      </c>
      <c r="S2612" s="94"/>
    </row>
    <row r="2613" spans="1:19" hidden="1">
      <c r="A2613" s="103" t="s">
        <v>4425</v>
      </c>
      <c r="B2613" s="94" t="str">
        <f>IFERROR(VLOOKUP(Proc[[#This Row],[App]],Table2[],3,0),"open")</f>
        <v>ok</v>
      </c>
      <c r="C2613" s="117" t="s">
        <v>369</v>
      </c>
      <c r="D2613" t="s">
        <v>4537</v>
      </c>
      <c r="E2613" t="s">
        <v>4744</v>
      </c>
      <c r="F2613" s="94" t="s">
        <v>4744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4788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4897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21</v>
      </c>
      <c r="R2613" s="110" t="s">
        <v>485</v>
      </c>
      <c r="S2613" s="94"/>
    </row>
    <row r="2614" spans="1:19" hidden="1">
      <c r="A2614" s="103" t="s">
        <v>4425</v>
      </c>
      <c r="B2614" s="94" t="str">
        <f>IFERROR(VLOOKUP(Proc[[#This Row],[App]],Table2[],3,0),"open")</f>
        <v>ok</v>
      </c>
      <c r="C2614" s="117" t="s">
        <v>369</v>
      </c>
      <c r="D2614" t="s">
        <v>4538</v>
      </c>
      <c r="E2614" t="s">
        <v>4744</v>
      </c>
      <c r="F2614" s="94" t="s">
        <v>4744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4788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4897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21</v>
      </c>
      <c r="R2614" s="110" t="s">
        <v>485</v>
      </c>
      <c r="S2614" s="94"/>
    </row>
    <row r="2615" spans="1:19" hidden="1">
      <c r="A2615" s="103" t="s">
        <v>4425</v>
      </c>
      <c r="B2615" s="94" t="str">
        <f>IFERROR(VLOOKUP(Proc[[#This Row],[App]],Table2[],3,0),"open")</f>
        <v>ok</v>
      </c>
      <c r="C2615" s="117" t="s">
        <v>369</v>
      </c>
      <c r="D2615" t="s">
        <v>4539</v>
      </c>
      <c r="E2615" t="s">
        <v>4744</v>
      </c>
      <c r="F2615" s="94" t="s">
        <v>4744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4788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4897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21</v>
      </c>
      <c r="R2615" s="110" t="s">
        <v>485</v>
      </c>
      <c r="S2615" s="94"/>
    </row>
    <row r="2616" spans="1:19" hidden="1">
      <c r="A2616" s="103" t="s">
        <v>4425</v>
      </c>
      <c r="B2616" s="94" t="str">
        <f>IFERROR(VLOOKUP(Proc[[#This Row],[App]],Table2[],3,0),"open")</f>
        <v>ok</v>
      </c>
      <c r="C2616" s="117" t="s">
        <v>369</v>
      </c>
      <c r="D2616" t="s">
        <v>4540</v>
      </c>
      <c r="E2616" t="s">
        <v>4744</v>
      </c>
      <c r="F2616" s="94" t="s">
        <v>4744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4788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4897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21</v>
      </c>
      <c r="R2616" s="110" t="s">
        <v>485</v>
      </c>
      <c r="S2616" s="94"/>
    </row>
    <row r="2617" spans="1:19" hidden="1">
      <c r="A2617" s="103" t="s">
        <v>4425</v>
      </c>
      <c r="B2617" s="94" t="str">
        <f>IFERROR(VLOOKUP(Proc[[#This Row],[App]],Table2[],3,0),"open")</f>
        <v>ok</v>
      </c>
      <c r="C2617" s="117" t="s">
        <v>369</v>
      </c>
      <c r="D2617" t="s">
        <v>4541</v>
      </c>
      <c r="E2617" t="s">
        <v>4747</v>
      </c>
      <c r="F2617" s="94" t="s">
        <v>4747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4788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4897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21</v>
      </c>
      <c r="R2617" s="110" t="s">
        <v>485</v>
      </c>
      <c r="S2617" s="94"/>
    </row>
    <row r="2618" spans="1:19" hidden="1">
      <c r="A2618" s="103" t="s">
        <v>4425</v>
      </c>
      <c r="B2618" s="94" t="str">
        <f>IFERROR(VLOOKUP(Proc[[#This Row],[App]],Table2[],3,0),"open")</f>
        <v>ok</v>
      </c>
      <c r="C2618" s="117" t="s">
        <v>369</v>
      </c>
      <c r="D2618" t="s">
        <v>4542</v>
      </c>
      <c r="E2618" t="s">
        <v>4744</v>
      </c>
      <c r="F2618" s="94" t="s">
        <v>4744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4788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4897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21</v>
      </c>
      <c r="R2618" s="110" t="s">
        <v>485</v>
      </c>
      <c r="S2618" s="94"/>
    </row>
    <row r="2619" spans="1:19" hidden="1">
      <c r="A2619" s="103" t="s">
        <v>4425</v>
      </c>
      <c r="B2619" s="94" t="str">
        <f>IFERROR(VLOOKUP(Proc[[#This Row],[App]],Table2[],3,0),"open")</f>
        <v>ok</v>
      </c>
      <c r="C2619" s="117" t="s">
        <v>369</v>
      </c>
      <c r="D2619" t="s">
        <v>4543</v>
      </c>
      <c r="E2619" t="s">
        <v>4744</v>
      </c>
      <c r="F2619" s="94" t="s">
        <v>4744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4788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4897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21</v>
      </c>
      <c r="R2619" s="110" t="s">
        <v>485</v>
      </c>
      <c r="S2619" s="94"/>
    </row>
    <row r="2620" spans="1:19" hidden="1">
      <c r="A2620" s="103" t="s">
        <v>4425</v>
      </c>
      <c r="B2620" s="94" t="str">
        <f>IFERROR(VLOOKUP(Proc[[#This Row],[App]],Table2[],3,0),"open")</f>
        <v>ok</v>
      </c>
      <c r="C2620" s="117" t="s">
        <v>369</v>
      </c>
      <c r="D2620" t="s">
        <v>4544</v>
      </c>
      <c r="E2620" t="s">
        <v>4744</v>
      </c>
      <c r="F2620" s="94" t="s">
        <v>4744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4788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4897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21</v>
      </c>
      <c r="R2620" s="110" t="s">
        <v>485</v>
      </c>
      <c r="S2620" s="94"/>
    </row>
    <row r="2621" spans="1:19" hidden="1">
      <c r="A2621" s="103" t="s">
        <v>4425</v>
      </c>
      <c r="B2621" s="94" t="str">
        <f>IFERROR(VLOOKUP(Proc[[#This Row],[App]],Table2[],3,0),"open")</f>
        <v>ok</v>
      </c>
      <c r="C2621" s="117" t="s">
        <v>369</v>
      </c>
      <c r="D2621" t="s">
        <v>4545</v>
      </c>
      <c r="E2621" t="s">
        <v>4744</v>
      </c>
      <c r="F2621" s="94" t="s">
        <v>4744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4788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4897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21</v>
      </c>
      <c r="R2621" s="110" t="s">
        <v>485</v>
      </c>
      <c r="S2621" s="94"/>
    </row>
    <row r="2622" spans="1:19" hidden="1">
      <c r="A2622" s="103" t="s">
        <v>4425</v>
      </c>
      <c r="B2622" s="94" t="str">
        <f>IFERROR(VLOOKUP(Proc[[#This Row],[App]],Table2[],3,0),"open")</f>
        <v>ok</v>
      </c>
      <c r="C2622" s="117" t="s">
        <v>369</v>
      </c>
      <c r="D2622" t="s">
        <v>4546</v>
      </c>
      <c r="E2622" t="s">
        <v>4747</v>
      </c>
      <c r="F2622" s="94" t="s">
        <v>4747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4788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4897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21</v>
      </c>
      <c r="R2622" s="110" t="s">
        <v>485</v>
      </c>
      <c r="S2622" s="94"/>
    </row>
    <row r="2623" spans="1:19" hidden="1">
      <c r="A2623" s="103" t="s">
        <v>4425</v>
      </c>
      <c r="B2623" s="94" t="str">
        <f>IFERROR(VLOOKUP(Proc[[#This Row],[App]],Table2[],3,0),"open")</f>
        <v>ok</v>
      </c>
      <c r="C2623" s="117" t="s">
        <v>369</v>
      </c>
      <c r="D2623" t="s">
        <v>4547</v>
      </c>
      <c r="E2623" t="s">
        <v>4744</v>
      </c>
      <c r="F2623" s="94" t="s">
        <v>4744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4788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4897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21</v>
      </c>
      <c r="R2623" s="110" t="s">
        <v>485</v>
      </c>
      <c r="S2623" s="94"/>
    </row>
    <row r="2624" spans="1:19" hidden="1">
      <c r="A2624" s="103" t="s">
        <v>4425</v>
      </c>
      <c r="B2624" s="94" t="str">
        <f>IFERROR(VLOOKUP(Proc[[#This Row],[App]],Table2[],3,0),"open")</f>
        <v>ok</v>
      </c>
      <c r="C2624" s="117" t="s">
        <v>369</v>
      </c>
      <c r="D2624" t="s">
        <v>4548</v>
      </c>
      <c r="E2624" t="s">
        <v>4744</v>
      </c>
      <c r="F2624" s="94" t="s">
        <v>4744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4788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4897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21</v>
      </c>
      <c r="R2624" s="110" t="s">
        <v>485</v>
      </c>
      <c r="S2624" s="94"/>
    </row>
    <row r="2625" spans="1:19" hidden="1">
      <c r="A2625" s="103" t="s">
        <v>4425</v>
      </c>
      <c r="B2625" s="94" t="str">
        <f>IFERROR(VLOOKUP(Proc[[#This Row],[App]],Table2[],3,0),"open")</f>
        <v>ok</v>
      </c>
      <c r="C2625" s="117" t="s">
        <v>369</v>
      </c>
      <c r="D2625" t="s">
        <v>4549</v>
      </c>
      <c r="E2625" t="s">
        <v>4743</v>
      </c>
      <c r="F2625" s="94" t="s">
        <v>4743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4788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4897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21</v>
      </c>
      <c r="R2625" s="110" t="s">
        <v>485</v>
      </c>
      <c r="S2625" s="94"/>
    </row>
    <row r="2626" spans="1:19" hidden="1">
      <c r="A2626" s="103" t="s">
        <v>4425</v>
      </c>
      <c r="B2626" s="94" t="str">
        <f>IFERROR(VLOOKUP(Proc[[#This Row],[App]],Table2[],3,0),"open")</f>
        <v>ok</v>
      </c>
      <c r="C2626" s="117" t="s">
        <v>369</v>
      </c>
      <c r="D2626" t="s">
        <v>4550</v>
      </c>
      <c r="E2626" t="s">
        <v>4744</v>
      </c>
      <c r="F2626" s="94" t="s">
        <v>4744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4788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4897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21</v>
      </c>
      <c r="R2626" s="110" t="s">
        <v>485</v>
      </c>
      <c r="S2626" s="94"/>
    </row>
    <row r="2627" spans="1:19" hidden="1">
      <c r="A2627" s="103" t="s">
        <v>4425</v>
      </c>
      <c r="B2627" s="94" t="str">
        <f>IFERROR(VLOOKUP(Proc[[#This Row],[App]],Table2[],3,0),"open")</f>
        <v>ok</v>
      </c>
      <c r="C2627" s="117" t="s">
        <v>369</v>
      </c>
      <c r="D2627" t="s">
        <v>4551</v>
      </c>
      <c r="E2627" t="s">
        <v>4744</v>
      </c>
      <c r="F2627" s="94" t="s">
        <v>4744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4788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4897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21</v>
      </c>
      <c r="R2627" s="110" t="s">
        <v>485</v>
      </c>
      <c r="S2627" s="94"/>
    </row>
    <row r="2628" spans="1:19" hidden="1">
      <c r="A2628" s="103" t="s">
        <v>4425</v>
      </c>
      <c r="B2628" s="94" t="str">
        <f>IFERROR(VLOOKUP(Proc[[#This Row],[App]],Table2[],3,0),"open")</f>
        <v>ok</v>
      </c>
      <c r="C2628" s="117" t="s">
        <v>369</v>
      </c>
      <c r="D2628" t="s">
        <v>4552</v>
      </c>
      <c r="E2628" t="s">
        <v>4746</v>
      </c>
      <c r="F2628" s="94" t="s">
        <v>4746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4788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4897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21</v>
      </c>
      <c r="R2628" s="110" t="s">
        <v>485</v>
      </c>
      <c r="S2628" s="94"/>
    </row>
    <row r="2629" spans="1:19" hidden="1">
      <c r="A2629" s="103" t="s">
        <v>4425</v>
      </c>
      <c r="B2629" s="94" t="str">
        <f>IFERROR(VLOOKUP(Proc[[#This Row],[App]],Table2[],3,0),"open")</f>
        <v>ok</v>
      </c>
      <c r="C2629" s="117" t="s">
        <v>369</v>
      </c>
      <c r="D2629" t="s">
        <v>4553</v>
      </c>
      <c r="E2629" t="s">
        <v>4744</v>
      </c>
      <c r="F2629" s="94" t="s">
        <v>4744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4788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4897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21</v>
      </c>
      <c r="R2629" s="110" t="s">
        <v>485</v>
      </c>
      <c r="S2629" s="94"/>
    </row>
    <row r="2630" spans="1:19" hidden="1">
      <c r="A2630" s="103" t="s">
        <v>4425</v>
      </c>
      <c r="B2630" s="94" t="str">
        <f>IFERROR(VLOOKUP(Proc[[#This Row],[App]],Table2[],3,0),"open")</f>
        <v>ok</v>
      </c>
      <c r="C2630" s="117" t="s">
        <v>369</v>
      </c>
      <c r="D2630" t="s">
        <v>4554</v>
      </c>
      <c r="E2630" t="s">
        <v>4744</v>
      </c>
      <c r="F2630" s="94" t="s">
        <v>4744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4788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4897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21</v>
      </c>
      <c r="R2630" s="110" t="s">
        <v>485</v>
      </c>
      <c r="S2630" s="94"/>
    </row>
    <row r="2631" spans="1:19" hidden="1">
      <c r="A2631" s="103" t="s">
        <v>4425</v>
      </c>
      <c r="B2631" s="94" t="str">
        <f>IFERROR(VLOOKUP(Proc[[#This Row],[App]],Table2[],3,0),"open")</f>
        <v>ok</v>
      </c>
      <c r="C2631" s="117" t="s">
        <v>369</v>
      </c>
      <c r="D2631" t="s">
        <v>4555</v>
      </c>
      <c r="E2631" t="s">
        <v>4744</v>
      </c>
      <c r="F2631" s="94" t="s">
        <v>4744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4788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4897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21</v>
      </c>
      <c r="R2631" s="110" t="s">
        <v>485</v>
      </c>
      <c r="S2631" s="94"/>
    </row>
    <row r="2632" spans="1:19" hidden="1">
      <c r="A2632" s="103" t="s">
        <v>4425</v>
      </c>
      <c r="B2632" s="94" t="str">
        <f>IFERROR(VLOOKUP(Proc[[#This Row],[App]],Table2[],3,0),"open")</f>
        <v>ok</v>
      </c>
      <c r="C2632" s="117" t="s">
        <v>369</v>
      </c>
      <c r="D2632" t="s">
        <v>4556</v>
      </c>
      <c r="E2632" t="s">
        <v>4746</v>
      </c>
      <c r="F2632" s="94" t="s">
        <v>4746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4788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4897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21</v>
      </c>
      <c r="R2632" s="110" t="s">
        <v>485</v>
      </c>
      <c r="S2632" s="94"/>
    </row>
    <row r="2633" spans="1:19" hidden="1">
      <c r="A2633" s="103" t="s">
        <v>4425</v>
      </c>
      <c r="B2633" s="94" t="str">
        <f>IFERROR(VLOOKUP(Proc[[#This Row],[App]],Table2[],3,0),"open")</f>
        <v>ok</v>
      </c>
      <c r="C2633" s="117" t="s">
        <v>369</v>
      </c>
      <c r="D2633" t="s">
        <v>4557</v>
      </c>
      <c r="E2633" t="s">
        <v>4746</v>
      </c>
      <c r="F2633" s="94" t="s">
        <v>4746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4788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4897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21</v>
      </c>
      <c r="R2633" s="110" t="s">
        <v>485</v>
      </c>
      <c r="S2633" s="94"/>
    </row>
    <row r="2634" spans="1:19" hidden="1">
      <c r="A2634" s="103" t="s">
        <v>4425</v>
      </c>
      <c r="B2634" s="94" t="str">
        <f>IFERROR(VLOOKUP(Proc[[#This Row],[App]],Table2[],3,0),"open")</f>
        <v>ok</v>
      </c>
      <c r="C2634" s="117" t="s">
        <v>369</v>
      </c>
      <c r="D2634" t="s">
        <v>4558</v>
      </c>
      <c r="E2634" t="s">
        <v>4747</v>
      </c>
      <c r="F2634" s="94" t="s">
        <v>4747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4788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4897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21</v>
      </c>
      <c r="R2634" s="110" t="s">
        <v>485</v>
      </c>
      <c r="S2634" s="94"/>
    </row>
    <row r="2635" spans="1:19" hidden="1">
      <c r="A2635" s="103" t="s">
        <v>4425</v>
      </c>
      <c r="B2635" s="94" t="str">
        <f>IFERROR(VLOOKUP(Proc[[#This Row],[App]],Table2[],3,0),"open")</f>
        <v>ok</v>
      </c>
      <c r="C2635" s="117" t="s">
        <v>369</v>
      </c>
      <c r="D2635" t="s">
        <v>4559</v>
      </c>
      <c r="E2635" t="s">
        <v>4747</v>
      </c>
      <c r="F2635" s="94" t="s">
        <v>4747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4788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4897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21</v>
      </c>
      <c r="R2635" s="110" t="s">
        <v>485</v>
      </c>
      <c r="S2635" s="94"/>
    </row>
    <row r="2636" spans="1:19" hidden="1">
      <c r="A2636" s="103" t="s">
        <v>4425</v>
      </c>
      <c r="B2636" s="94" t="str">
        <f>IFERROR(VLOOKUP(Proc[[#This Row],[App]],Table2[],3,0),"open")</f>
        <v>ok</v>
      </c>
      <c r="C2636" s="117" t="s">
        <v>369</v>
      </c>
      <c r="D2636" t="s">
        <v>4560</v>
      </c>
      <c r="E2636" t="s">
        <v>4747</v>
      </c>
      <c r="F2636" s="94" t="s">
        <v>4747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4788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4897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21</v>
      </c>
      <c r="R2636" s="110" t="s">
        <v>485</v>
      </c>
      <c r="S2636" s="94"/>
    </row>
    <row r="2637" spans="1:19" hidden="1">
      <c r="A2637" s="103" t="s">
        <v>4425</v>
      </c>
      <c r="B2637" s="94" t="str">
        <f>IFERROR(VLOOKUP(Proc[[#This Row],[App]],Table2[],3,0),"open")</f>
        <v>ok</v>
      </c>
      <c r="C2637" s="117" t="s">
        <v>369</v>
      </c>
      <c r="D2637" t="s">
        <v>4561</v>
      </c>
      <c r="E2637" t="s">
        <v>4744</v>
      </c>
      <c r="F2637" s="94" t="s">
        <v>4744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4788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4897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21</v>
      </c>
      <c r="R2637" s="110" t="s">
        <v>485</v>
      </c>
      <c r="S2637" s="94"/>
    </row>
    <row r="2638" spans="1:19" hidden="1">
      <c r="A2638" s="103" t="s">
        <v>4425</v>
      </c>
      <c r="B2638" s="94" t="str">
        <f>IFERROR(VLOOKUP(Proc[[#This Row],[App]],Table2[],3,0),"open")</f>
        <v>ok</v>
      </c>
      <c r="C2638" s="117" t="s">
        <v>369</v>
      </c>
      <c r="D2638" t="s">
        <v>4562</v>
      </c>
      <c r="E2638" t="s">
        <v>4744</v>
      </c>
      <c r="F2638" s="94" t="s">
        <v>4744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4788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4897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21</v>
      </c>
      <c r="R2638" s="110" t="s">
        <v>485</v>
      </c>
      <c r="S2638" s="94"/>
    </row>
    <row r="2639" spans="1:19" hidden="1">
      <c r="A2639" s="103" t="s">
        <v>4425</v>
      </c>
      <c r="B2639" s="94" t="str">
        <f>IFERROR(VLOOKUP(Proc[[#This Row],[App]],Table2[],3,0),"open")</f>
        <v>ok</v>
      </c>
      <c r="C2639" s="117" t="s">
        <v>369</v>
      </c>
      <c r="D2639" t="s">
        <v>4563</v>
      </c>
      <c r="E2639" t="s">
        <v>4746</v>
      </c>
      <c r="F2639" s="94" t="s">
        <v>4746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4788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4897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21</v>
      </c>
      <c r="R2639" s="110" t="s">
        <v>485</v>
      </c>
      <c r="S2639" s="94"/>
    </row>
    <row r="2640" spans="1:19" hidden="1">
      <c r="A2640" s="103" t="s">
        <v>4425</v>
      </c>
      <c r="B2640" s="94" t="str">
        <f>IFERROR(VLOOKUP(Proc[[#This Row],[App]],Table2[],3,0),"open")</f>
        <v>ok</v>
      </c>
      <c r="C2640" s="117" t="s">
        <v>369</v>
      </c>
      <c r="D2640" t="s">
        <v>4564</v>
      </c>
      <c r="E2640" t="s">
        <v>4746</v>
      </c>
      <c r="F2640" s="94" t="s">
        <v>4746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4788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4897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21</v>
      </c>
      <c r="R2640" s="110" t="s">
        <v>485</v>
      </c>
      <c r="S2640" s="94"/>
    </row>
    <row r="2641" spans="1:19" hidden="1">
      <c r="A2641" s="103" t="s">
        <v>4425</v>
      </c>
      <c r="B2641" s="94" t="str">
        <f>IFERROR(VLOOKUP(Proc[[#This Row],[App]],Table2[],3,0),"open")</f>
        <v>ok</v>
      </c>
      <c r="C2641" s="117" t="s">
        <v>369</v>
      </c>
      <c r="D2641" t="s">
        <v>4565</v>
      </c>
      <c r="E2641" t="s">
        <v>4746</v>
      </c>
      <c r="F2641" s="94" t="s">
        <v>4746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4788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4897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21</v>
      </c>
      <c r="R2641" s="110" t="s">
        <v>485</v>
      </c>
      <c r="S2641" s="94"/>
    </row>
    <row r="2642" spans="1:19" hidden="1">
      <c r="A2642" s="103" t="s">
        <v>4425</v>
      </c>
      <c r="B2642" s="94" t="str">
        <f>IFERROR(VLOOKUP(Proc[[#This Row],[App]],Table2[],3,0),"open")</f>
        <v>ok</v>
      </c>
      <c r="C2642" s="117" t="s">
        <v>369</v>
      </c>
      <c r="D2642" t="s">
        <v>4566</v>
      </c>
      <c r="E2642" t="s">
        <v>4746</v>
      </c>
      <c r="F2642" s="94" t="s">
        <v>4746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4788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4897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21</v>
      </c>
      <c r="R2642" s="110" t="s">
        <v>485</v>
      </c>
      <c r="S2642" s="94"/>
    </row>
    <row r="2643" spans="1:19" hidden="1">
      <c r="A2643" s="103" t="s">
        <v>4425</v>
      </c>
      <c r="B2643" s="94" t="str">
        <f>IFERROR(VLOOKUP(Proc[[#This Row],[App]],Table2[],3,0),"open")</f>
        <v>ok</v>
      </c>
      <c r="C2643" s="117" t="s">
        <v>369</v>
      </c>
      <c r="D2643" t="s">
        <v>4567</v>
      </c>
      <c r="E2643" t="s">
        <v>4744</v>
      </c>
      <c r="F2643" s="94" t="s">
        <v>4744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4788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4897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21</v>
      </c>
      <c r="R2643" s="110" t="s">
        <v>485</v>
      </c>
      <c r="S2643" s="94"/>
    </row>
    <row r="2644" spans="1:19" hidden="1">
      <c r="A2644" s="103" t="s">
        <v>4425</v>
      </c>
      <c r="B2644" s="94" t="str">
        <f>IFERROR(VLOOKUP(Proc[[#This Row],[App]],Table2[],3,0),"open")</f>
        <v>ok</v>
      </c>
      <c r="C2644" s="117" t="s">
        <v>369</v>
      </c>
      <c r="D2644" t="s">
        <v>4568</v>
      </c>
      <c r="E2644" t="s">
        <v>4744</v>
      </c>
      <c r="F2644" s="94" t="s">
        <v>4744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4788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4897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21</v>
      </c>
      <c r="R2644" s="110" t="s">
        <v>485</v>
      </c>
      <c r="S2644" s="94"/>
    </row>
    <row r="2645" spans="1:19" hidden="1">
      <c r="A2645" s="103" t="s">
        <v>4425</v>
      </c>
      <c r="B2645" s="94" t="str">
        <f>IFERROR(VLOOKUP(Proc[[#This Row],[App]],Table2[],3,0),"open")</f>
        <v>ok</v>
      </c>
      <c r="C2645" s="117" t="s">
        <v>369</v>
      </c>
      <c r="D2645" t="s">
        <v>4569</v>
      </c>
      <c r="E2645" t="s">
        <v>4744</v>
      </c>
      <c r="F2645" s="94" t="s">
        <v>4744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4788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4897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21</v>
      </c>
      <c r="R2645" s="110" t="s">
        <v>485</v>
      </c>
      <c r="S2645" s="94"/>
    </row>
    <row r="2646" spans="1:19" hidden="1">
      <c r="A2646" s="103" t="s">
        <v>4425</v>
      </c>
      <c r="B2646" s="94" t="str">
        <f>IFERROR(VLOOKUP(Proc[[#This Row],[App]],Table2[],3,0),"open")</f>
        <v>ok</v>
      </c>
      <c r="C2646" s="117" t="s">
        <v>369</v>
      </c>
      <c r="D2646" t="s">
        <v>4570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4788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4897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21</v>
      </c>
      <c r="R2646" s="110" t="s">
        <v>485</v>
      </c>
      <c r="S2646" s="94"/>
    </row>
    <row r="2647" spans="1:19" hidden="1">
      <c r="A2647" s="103" t="s">
        <v>4425</v>
      </c>
      <c r="B2647" s="94" t="str">
        <f>IFERROR(VLOOKUP(Proc[[#This Row],[App]],Table2[],3,0),"open")</f>
        <v>ok</v>
      </c>
      <c r="C2647" s="117" t="s">
        <v>369</v>
      </c>
      <c r="D2647" t="s">
        <v>4571</v>
      </c>
      <c r="E2647" t="s">
        <v>4746</v>
      </c>
      <c r="F2647" s="94" t="s">
        <v>4746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4788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4897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21</v>
      </c>
      <c r="R2647" s="110" t="s">
        <v>485</v>
      </c>
      <c r="S2647" s="94"/>
    </row>
    <row r="2648" spans="1:19" hidden="1">
      <c r="A2648" s="103" t="s">
        <v>4425</v>
      </c>
      <c r="B2648" s="94" t="str">
        <f>IFERROR(VLOOKUP(Proc[[#This Row],[App]],Table2[],3,0),"open")</f>
        <v>ok</v>
      </c>
      <c r="C2648" s="117" t="s">
        <v>369</v>
      </c>
      <c r="D2648" t="s">
        <v>4572</v>
      </c>
      <c r="E2648" t="s">
        <v>4747</v>
      </c>
      <c r="F2648" s="94" t="s">
        <v>4747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4788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4897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21</v>
      </c>
      <c r="R2648" s="110" t="s">
        <v>485</v>
      </c>
      <c r="S2648" s="94"/>
    </row>
    <row r="2649" spans="1:19" hidden="1">
      <c r="A2649" s="103" t="s">
        <v>4425</v>
      </c>
      <c r="B2649" s="94" t="str">
        <f>IFERROR(VLOOKUP(Proc[[#This Row],[App]],Table2[],3,0),"open")</f>
        <v>ok</v>
      </c>
      <c r="C2649" s="117" t="s">
        <v>369</v>
      </c>
      <c r="D2649" t="s">
        <v>4573</v>
      </c>
      <c r="E2649" t="s">
        <v>4747</v>
      </c>
      <c r="F2649" s="94" t="s">
        <v>4747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4788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4897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21</v>
      </c>
      <c r="R2649" s="110" t="s">
        <v>485</v>
      </c>
      <c r="S2649" s="94"/>
    </row>
    <row r="2650" spans="1:19" hidden="1">
      <c r="A2650" s="103" t="s">
        <v>4425</v>
      </c>
      <c r="B2650" s="94" t="str">
        <f>IFERROR(VLOOKUP(Proc[[#This Row],[App]],Table2[],3,0),"open")</f>
        <v>ok</v>
      </c>
      <c r="C2650" s="117" t="s">
        <v>369</v>
      </c>
      <c r="D2650" t="s">
        <v>4574</v>
      </c>
      <c r="E2650" t="s">
        <v>4747</v>
      </c>
      <c r="F2650" s="94" t="s">
        <v>4747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4788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4897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21</v>
      </c>
      <c r="R2650" s="110" t="s">
        <v>485</v>
      </c>
      <c r="S2650" s="94"/>
    </row>
    <row r="2651" spans="1:19" hidden="1">
      <c r="A2651" s="103" t="s">
        <v>4425</v>
      </c>
      <c r="B2651" s="94" t="str">
        <f>IFERROR(VLOOKUP(Proc[[#This Row],[App]],Table2[],3,0),"open")</f>
        <v>ok</v>
      </c>
      <c r="C2651" s="117" t="s">
        <v>369</v>
      </c>
      <c r="D2651" t="s">
        <v>4575</v>
      </c>
      <c r="E2651" t="s">
        <v>4747</v>
      </c>
      <c r="F2651" s="94" t="s">
        <v>4747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4788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4897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21</v>
      </c>
      <c r="R2651" s="110" t="s">
        <v>485</v>
      </c>
      <c r="S2651" s="94"/>
    </row>
    <row r="2652" spans="1:19" hidden="1">
      <c r="A2652" s="103" t="s">
        <v>4425</v>
      </c>
      <c r="B2652" s="94" t="str">
        <f>IFERROR(VLOOKUP(Proc[[#This Row],[App]],Table2[],3,0),"open")</f>
        <v>ok</v>
      </c>
      <c r="C2652" s="117" t="s">
        <v>369</v>
      </c>
      <c r="D2652" t="s">
        <v>4576</v>
      </c>
      <c r="E2652" t="s">
        <v>4744</v>
      </c>
      <c r="F2652" s="94" t="s">
        <v>4744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4788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4897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21</v>
      </c>
      <c r="R2652" s="110" t="s">
        <v>485</v>
      </c>
      <c r="S2652" s="94"/>
    </row>
    <row r="2653" spans="1:19" hidden="1">
      <c r="A2653" s="103" t="s">
        <v>4425</v>
      </c>
      <c r="B2653" s="94" t="str">
        <f>IFERROR(VLOOKUP(Proc[[#This Row],[App]],Table2[],3,0),"open")</f>
        <v>ok</v>
      </c>
      <c r="C2653" s="117" t="s">
        <v>369</v>
      </c>
      <c r="D2653" t="s">
        <v>4577</v>
      </c>
      <c r="E2653" t="s">
        <v>4743</v>
      </c>
      <c r="F2653" s="94" t="s">
        <v>4743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4788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4897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21</v>
      </c>
      <c r="R2653" s="110" t="s">
        <v>485</v>
      </c>
      <c r="S2653" s="94"/>
    </row>
    <row r="2654" spans="1:19" hidden="1">
      <c r="A2654" s="103" t="s">
        <v>4425</v>
      </c>
      <c r="B2654" s="94" t="str">
        <f>IFERROR(VLOOKUP(Proc[[#This Row],[App]],Table2[],3,0),"open")</f>
        <v>ok</v>
      </c>
      <c r="C2654" s="117" t="s">
        <v>369</v>
      </c>
      <c r="D2654" t="s">
        <v>4578</v>
      </c>
      <c r="E2654" t="s">
        <v>4743</v>
      </c>
      <c r="F2654" s="94" t="s">
        <v>4743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4788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4897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21</v>
      </c>
      <c r="R2654" s="110" t="s">
        <v>485</v>
      </c>
      <c r="S2654" s="94"/>
    </row>
    <row r="2655" spans="1:19" hidden="1">
      <c r="A2655" s="103" t="s">
        <v>4425</v>
      </c>
      <c r="B2655" s="94" t="str">
        <f>IFERROR(VLOOKUP(Proc[[#This Row],[App]],Table2[],3,0),"open")</f>
        <v>ok</v>
      </c>
      <c r="C2655" s="117" t="s">
        <v>369</v>
      </c>
      <c r="D2655" t="s">
        <v>4579</v>
      </c>
      <c r="E2655" t="s">
        <v>4747</v>
      </c>
      <c r="F2655" s="94" t="s">
        <v>4747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4788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4897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21</v>
      </c>
      <c r="R2655" s="110" t="s">
        <v>485</v>
      </c>
      <c r="S2655" s="94"/>
    </row>
    <row r="2656" spans="1:19" hidden="1">
      <c r="A2656" s="103" t="s">
        <v>4425</v>
      </c>
      <c r="B2656" s="94" t="str">
        <f>IFERROR(VLOOKUP(Proc[[#This Row],[App]],Table2[],3,0),"open")</f>
        <v>ok</v>
      </c>
      <c r="C2656" s="117" t="s">
        <v>369</v>
      </c>
      <c r="D2656" t="s">
        <v>4580</v>
      </c>
      <c r="E2656" t="s">
        <v>4743</v>
      </c>
      <c r="F2656" s="94" t="s">
        <v>4743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4788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4897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21</v>
      </c>
      <c r="R2656" s="110" t="s">
        <v>485</v>
      </c>
      <c r="S2656" s="94"/>
    </row>
    <row r="2657" spans="1:19" hidden="1">
      <c r="A2657" s="103" t="s">
        <v>4425</v>
      </c>
      <c r="B2657" s="94" t="str">
        <f>IFERROR(VLOOKUP(Proc[[#This Row],[App]],Table2[],3,0),"open")</f>
        <v>ok</v>
      </c>
      <c r="C2657" s="117" t="s">
        <v>369</v>
      </c>
      <c r="D2657" t="s">
        <v>4581</v>
      </c>
      <c r="E2657" t="s">
        <v>4748</v>
      </c>
      <c r="F2657" s="94" t="s">
        <v>4748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4788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4897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21</v>
      </c>
      <c r="R2657" s="110" t="s">
        <v>485</v>
      </c>
      <c r="S2657" s="94"/>
    </row>
    <row r="2658" spans="1:19" hidden="1">
      <c r="A2658" s="103" t="s">
        <v>4425</v>
      </c>
      <c r="B2658" s="94" t="str">
        <f>IFERROR(VLOOKUP(Proc[[#This Row],[App]],Table2[],3,0),"open")</f>
        <v>ok</v>
      </c>
      <c r="C2658" s="117" t="s">
        <v>369</v>
      </c>
      <c r="D2658" t="s">
        <v>4582</v>
      </c>
      <c r="E2658" t="s">
        <v>4748</v>
      </c>
      <c r="F2658" s="94" t="s">
        <v>4748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4788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4897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21</v>
      </c>
      <c r="R2658" s="110" t="s">
        <v>485</v>
      </c>
      <c r="S2658" s="94"/>
    </row>
    <row r="2659" spans="1:19" hidden="1">
      <c r="A2659" s="103" t="s">
        <v>4425</v>
      </c>
      <c r="B2659" s="94" t="str">
        <f>IFERROR(VLOOKUP(Proc[[#This Row],[App]],Table2[],3,0),"open")</f>
        <v>ok</v>
      </c>
      <c r="C2659" s="117" t="s">
        <v>369</v>
      </c>
      <c r="D2659" t="s">
        <v>4583</v>
      </c>
      <c r="E2659" t="s">
        <v>4748</v>
      </c>
      <c r="F2659" s="94" t="s">
        <v>4748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4788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4897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21</v>
      </c>
      <c r="R2659" s="110" t="s">
        <v>485</v>
      </c>
      <c r="S2659" s="94"/>
    </row>
    <row r="2660" spans="1:19" hidden="1">
      <c r="A2660" s="103" t="s">
        <v>4425</v>
      </c>
      <c r="B2660" s="94" t="str">
        <f>IFERROR(VLOOKUP(Proc[[#This Row],[App]],Table2[],3,0),"open")</f>
        <v>ok</v>
      </c>
      <c r="C2660" s="117" t="s">
        <v>369</v>
      </c>
      <c r="D2660" t="s">
        <v>4584</v>
      </c>
      <c r="E2660" t="s">
        <v>4748</v>
      </c>
      <c r="F2660" s="94" t="s">
        <v>4748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4788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4897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21</v>
      </c>
      <c r="R2660" s="110" t="s">
        <v>485</v>
      </c>
      <c r="S2660" s="94"/>
    </row>
    <row r="2661" spans="1:19" hidden="1">
      <c r="A2661" s="103" t="s">
        <v>4425</v>
      </c>
      <c r="B2661" s="94" t="str">
        <f>IFERROR(VLOOKUP(Proc[[#This Row],[App]],Table2[],3,0),"open")</f>
        <v>ok</v>
      </c>
      <c r="C2661" s="117" t="s">
        <v>369</v>
      </c>
      <c r="D2661" t="s">
        <v>4585</v>
      </c>
      <c r="E2661" t="s">
        <v>4748</v>
      </c>
      <c r="F2661" s="94" t="s">
        <v>4748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4788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4897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21</v>
      </c>
      <c r="R2661" s="110" t="s">
        <v>485</v>
      </c>
      <c r="S2661" s="94"/>
    </row>
    <row r="2662" spans="1:19" hidden="1">
      <c r="A2662" s="103" t="s">
        <v>4425</v>
      </c>
      <c r="B2662" s="94" t="str">
        <f>IFERROR(VLOOKUP(Proc[[#This Row],[App]],Table2[],3,0),"open")</f>
        <v>ok</v>
      </c>
      <c r="C2662" s="117" t="s">
        <v>369</v>
      </c>
      <c r="D2662" t="s">
        <v>4586</v>
      </c>
      <c r="E2662" t="s">
        <v>4748</v>
      </c>
      <c r="F2662" s="94" t="s">
        <v>4748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4788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4897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21</v>
      </c>
      <c r="R2662" s="110" t="s">
        <v>485</v>
      </c>
      <c r="S2662" s="94"/>
    </row>
    <row r="2663" spans="1:19" hidden="1">
      <c r="A2663" s="103" t="s">
        <v>4425</v>
      </c>
      <c r="B2663" s="94" t="str">
        <f>IFERROR(VLOOKUP(Proc[[#This Row],[App]],Table2[],3,0),"open")</f>
        <v>ok</v>
      </c>
      <c r="C2663" s="117" t="s">
        <v>369</v>
      </c>
      <c r="D2663" t="s">
        <v>4587</v>
      </c>
      <c r="E2663" t="s">
        <v>4749</v>
      </c>
      <c r="F2663" s="94" t="s">
        <v>4749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4788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4897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21</v>
      </c>
      <c r="R2663" s="110" t="s">
        <v>485</v>
      </c>
      <c r="S2663" s="94"/>
    </row>
    <row r="2664" spans="1:19" hidden="1">
      <c r="A2664" s="103" t="s">
        <v>4425</v>
      </c>
      <c r="B2664" s="94" t="str">
        <f>IFERROR(VLOOKUP(Proc[[#This Row],[App]],Table2[],3,0),"open")</f>
        <v>ok</v>
      </c>
      <c r="C2664" s="117" t="s">
        <v>369</v>
      </c>
      <c r="D2664" t="s">
        <v>4588</v>
      </c>
      <c r="E2664" t="s">
        <v>4749</v>
      </c>
      <c r="F2664" s="94" t="s">
        <v>4749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4788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4897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21</v>
      </c>
      <c r="R2664" s="110" t="s">
        <v>485</v>
      </c>
      <c r="S2664" s="94"/>
    </row>
    <row r="2665" spans="1:19" hidden="1">
      <c r="A2665" s="103" t="s">
        <v>4425</v>
      </c>
      <c r="B2665" s="94" t="str">
        <f>IFERROR(VLOOKUP(Proc[[#This Row],[App]],Table2[],3,0),"open")</f>
        <v>ok</v>
      </c>
      <c r="C2665" s="117" t="s">
        <v>369</v>
      </c>
      <c r="D2665" t="s">
        <v>4589</v>
      </c>
      <c r="E2665" t="s">
        <v>4749</v>
      </c>
      <c r="F2665" s="94" t="s">
        <v>4749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4788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4897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21</v>
      </c>
      <c r="R2665" s="110" t="s">
        <v>485</v>
      </c>
      <c r="S2665" s="94"/>
    </row>
    <row r="2666" spans="1:19" hidden="1">
      <c r="A2666" s="103" t="s">
        <v>4425</v>
      </c>
      <c r="B2666" s="94" t="str">
        <f>IFERROR(VLOOKUP(Proc[[#This Row],[App]],Table2[],3,0),"open")</f>
        <v>ok</v>
      </c>
      <c r="C2666" s="117" t="s">
        <v>369</v>
      </c>
      <c r="D2666" t="s">
        <v>4590</v>
      </c>
      <c r="E2666" t="s">
        <v>4749</v>
      </c>
      <c r="F2666" s="94" t="s">
        <v>4749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4788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4897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21</v>
      </c>
      <c r="R2666" s="110" t="s">
        <v>485</v>
      </c>
      <c r="S2666" s="94"/>
    </row>
    <row r="2667" spans="1:19" hidden="1">
      <c r="A2667" s="103" t="s">
        <v>4425</v>
      </c>
      <c r="B2667" s="94" t="str">
        <f>IFERROR(VLOOKUP(Proc[[#This Row],[App]],Table2[],3,0),"open")</f>
        <v>ok</v>
      </c>
      <c r="C2667" s="117" t="s">
        <v>369</v>
      </c>
      <c r="D2667" t="s">
        <v>4591</v>
      </c>
      <c r="E2667" t="s">
        <v>4749</v>
      </c>
      <c r="F2667" s="94" t="s">
        <v>4749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4788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4897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21</v>
      </c>
      <c r="R2667" s="110" t="s">
        <v>485</v>
      </c>
      <c r="S2667" s="94"/>
    </row>
    <row r="2668" spans="1:19" hidden="1">
      <c r="A2668" s="103" t="s">
        <v>4425</v>
      </c>
      <c r="B2668" s="94" t="str">
        <f>IFERROR(VLOOKUP(Proc[[#This Row],[App]],Table2[],3,0),"open")</f>
        <v>ok</v>
      </c>
      <c r="C2668" s="117" t="s">
        <v>369</v>
      </c>
      <c r="D2668" t="s">
        <v>4592</v>
      </c>
      <c r="E2668" t="s">
        <v>4749</v>
      </c>
      <c r="F2668" s="94" t="s">
        <v>4749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4788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4897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21</v>
      </c>
      <c r="R2668" s="110" t="s">
        <v>485</v>
      </c>
      <c r="S2668" s="94"/>
    </row>
    <row r="2669" spans="1:19" hidden="1">
      <c r="A2669" s="103" t="s">
        <v>4425</v>
      </c>
      <c r="B2669" s="94" t="str">
        <f>IFERROR(VLOOKUP(Proc[[#This Row],[App]],Table2[],3,0),"open")</f>
        <v>ok</v>
      </c>
      <c r="C2669" s="117" t="s">
        <v>369</v>
      </c>
      <c r="D2669" t="s">
        <v>4593</v>
      </c>
      <c r="E2669" t="s">
        <v>4749</v>
      </c>
      <c r="F2669" s="94" t="s">
        <v>4749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4788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4897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21</v>
      </c>
      <c r="R2669" s="110" t="s">
        <v>485</v>
      </c>
      <c r="S2669" s="94"/>
    </row>
    <row r="2670" spans="1:19" hidden="1">
      <c r="A2670" s="103" t="s">
        <v>4425</v>
      </c>
      <c r="B2670" s="94" t="str">
        <f>IFERROR(VLOOKUP(Proc[[#This Row],[App]],Table2[],3,0),"open")</f>
        <v>ok</v>
      </c>
      <c r="C2670" s="117" t="s">
        <v>369</v>
      </c>
      <c r="D2670" t="s">
        <v>4594</v>
      </c>
      <c r="E2670" t="s">
        <v>4750</v>
      </c>
      <c r="F2670" s="94" t="s">
        <v>4750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4788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4897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21</v>
      </c>
      <c r="R2670" s="110" t="s">
        <v>485</v>
      </c>
      <c r="S2670" s="94"/>
    </row>
    <row r="2671" spans="1:19" hidden="1">
      <c r="A2671" s="103" t="s">
        <v>4425</v>
      </c>
      <c r="B2671" s="94" t="str">
        <f>IFERROR(VLOOKUP(Proc[[#This Row],[App]],Table2[],3,0),"open")</f>
        <v>ok</v>
      </c>
      <c r="C2671" s="117" t="s">
        <v>369</v>
      </c>
      <c r="D2671" t="s">
        <v>4595</v>
      </c>
      <c r="E2671" t="s">
        <v>4750</v>
      </c>
      <c r="F2671" s="94" t="s">
        <v>4750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4788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4897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21</v>
      </c>
      <c r="R2671" s="110" t="s">
        <v>485</v>
      </c>
      <c r="S2671" s="94"/>
    </row>
    <row r="2672" spans="1:19" hidden="1">
      <c r="A2672" s="103" t="s">
        <v>4425</v>
      </c>
      <c r="B2672" s="94" t="str">
        <f>IFERROR(VLOOKUP(Proc[[#This Row],[App]],Table2[],3,0),"open")</f>
        <v>ok</v>
      </c>
      <c r="C2672" s="117" t="s">
        <v>369</v>
      </c>
      <c r="D2672" t="s">
        <v>4596</v>
      </c>
      <c r="E2672" t="s">
        <v>4750</v>
      </c>
      <c r="F2672" s="94" t="s">
        <v>4750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4788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4897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21</v>
      </c>
      <c r="R2672" s="110" t="s">
        <v>485</v>
      </c>
      <c r="S2672" s="94"/>
    </row>
    <row r="2673" spans="1:19" hidden="1">
      <c r="A2673" s="103" t="s">
        <v>4425</v>
      </c>
      <c r="B2673" s="94" t="str">
        <f>IFERROR(VLOOKUP(Proc[[#This Row],[App]],Table2[],3,0),"open")</f>
        <v>ok</v>
      </c>
      <c r="C2673" s="117" t="s">
        <v>369</v>
      </c>
      <c r="D2673" t="s">
        <v>4597</v>
      </c>
      <c r="E2673" t="s">
        <v>4751</v>
      </c>
      <c r="F2673" s="94" t="s">
        <v>4751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4788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4897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21</v>
      </c>
      <c r="R2673" s="110" t="s">
        <v>485</v>
      </c>
      <c r="S2673" s="94"/>
    </row>
    <row r="2674" spans="1:19" hidden="1">
      <c r="A2674" s="103" t="s">
        <v>4425</v>
      </c>
      <c r="B2674" s="94" t="str">
        <f>IFERROR(VLOOKUP(Proc[[#This Row],[App]],Table2[],3,0),"open")</f>
        <v>ok</v>
      </c>
      <c r="C2674" s="117" t="s">
        <v>369</v>
      </c>
      <c r="D2674" t="s">
        <v>4598</v>
      </c>
      <c r="E2674" t="s">
        <v>4750</v>
      </c>
      <c r="F2674" s="94" t="s">
        <v>4750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4788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4897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21</v>
      </c>
      <c r="R2674" s="110" t="s">
        <v>485</v>
      </c>
      <c r="S2674" s="94"/>
    </row>
    <row r="2675" spans="1:19" hidden="1">
      <c r="A2675" s="103" t="s">
        <v>4425</v>
      </c>
      <c r="B2675" s="94" t="str">
        <f>IFERROR(VLOOKUP(Proc[[#This Row],[App]],Table2[],3,0),"open")</f>
        <v>ok</v>
      </c>
      <c r="C2675" s="117" t="s">
        <v>369</v>
      </c>
      <c r="D2675" t="s">
        <v>4599</v>
      </c>
      <c r="E2675" t="s">
        <v>4751</v>
      </c>
      <c r="F2675" s="94" t="s">
        <v>4751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4788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4897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21</v>
      </c>
      <c r="R2675" s="110" t="s">
        <v>485</v>
      </c>
      <c r="S2675" s="94"/>
    </row>
    <row r="2676" spans="1:19" hidden="1">
      <c r="A2676" s="103" t="s">
        <v>4425</v>
      </c>
      <c r="B2676" s="94" t="str">
        <f>IFERROR(VLOOKUP(Proc[[#This Row],[App]],Table2[],3,0),"open")</f>
        <v>ok</v>
      </c>
      <c r="C2676" s="117" t="s">
        <v>369</v>
      </c>
      <c r="D2676" t="s">
        <v>4600</v>
      </c>
      <c r="E2676" t="s">
        <v>4752</v>
      </c>
      <c r="F2676" s="94" t="s">
        <v>4752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4788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4897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21</v>
      </c>
      <c r="R2676" s="110" t="s">
        <v>485</v>
      </c>
      <c r="S2676" s="94"/>
    </row>
    <row r="2677" spans="1:19" hidden="1">
      <c r="A2677" s="103" t="s">
        <v>4425</v>
      </c>
      <c r="B2677" s="94" t="str">
        <f>IFERROR(VLOOKUP(Proc[[#This Row],[App]],Table2[],3,0),"open")</f>
        <v>ok</v>
      </c>
      <c r="C2677" s="117" t="s">
        <v>369</v>
      </c>
      <c r="D2677" t="s">
        <v>4601</v>
      </c>
      <c r="E2677" t="s">
        <v>4751</v>
      </c>
      <c r="F2677" s="94" t="s">
        <v>4751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4788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4897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21</v>
      </c>
      <c r="R2677" s="110" t="s">
        <v>485</v>
      </c>
      <c r="S2677" s="94"/>
    </row>
    <row r="2678" spans="1:19" hidden="1">
      <c r="A2678" s="103" t="s">
        <v>4425</v>
      </c>
      <c r="B2678" s="94" t="str">
        <f>IFERROR(VLOOKUP(Proc[[#This Row],[App]],Table2[],3,0),"open")</f>
        <v>ok</v>
      </c>
      <c r="C2678" s="117" t="s">
        <v>369</v>
      </c>
      <c r="D2678" t="s">
        <v>4602</v>
      </c>
      <c r="E2678" t="s">
        <v>4751</v>
      </c>
      <c r="F2678" s="94" t="s">
        <v>4751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4788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4897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21</v>
      </c>
      <c r="R2678" s="110" t="s">
        <v>485</v>
      </c>
      <c r="S2678" s="94"/>
    </row>
    <row r="2679" spans="1:19" hidden="1">
      <c r="A2679" s="103" t="s">
        <v>4425</v>
      </c>
      <c r="B2679" s="94" t="str">
        <f>IFERROR(VLOOKUP(Proc[[#This Row],[App]],Table2[],3,0),"open")</f>
        <v>ok</v>
      </c>
      <c r="C2679" s="117" t="s">
        <v>369</v>
      </c>
      <c r="D2679" t="s">
        <v>4603</v>
      </c>
      <c r="E2679" t="s">
        <v>4750</v>
      </c>
      <c r="F2679" s="94" t="s">
        <v>4750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4788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4897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21</v>
      </c>
      <c r="R2679" s="110" t="s">
        <v>485</v>
      </c>
      <c r="S2679" s="94"/>
    </row>
    <row r="2680" spans="1:19" hidden="1">
      <c r="A2680" s="103" t="s">
        <v>4425</v>
      </c>
      <c r="B2680" s="94" t="str">
        <f>IFERROR(VLOOKUP(Proc[[#This Row],[App]],Table2[],3,0),"open")</f>
        <v>ok</v>
      </c>
      <c r="C2680" s="117" t="s">
        <v>369</v>
      </c>
      <c r="D2680" t="s">
        <v>4604</v>
      </c>
      <c r="E2680" t="s">
        <v>4750</v>
      </c>
      <c r="F2680" s="94" t="s">
        <v>4750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4788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4897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21</v>
      </c>
      <c r="R2680" s="110" t="s">
        <v>485</v>
      </c>
      <c r="S2680" s="94"/>
    </row>
    <row r="2681" spans="1:19" hidden="1">
      <c r="A2681" s="103" t="s">
        <v>4425</v>
      </c>
      <c r="B2681" s="94" t="str">
        <f>IFERROR(VLOOKUP(Proc[[#This Row],[App]],Table2[],3,0),"open")</f>
        <v>ok</v>
      </c>
      <c r="C2681" s="117" t="s">
        <v>369</v>
      </c>
      <c r="D2681" t="s">
        <v>4605</v>
      </c>
      <c r="E2681" t="s">
        <v>4750</v>
      </c>
      <c r="F2681" s="94" t="s">
        <v>4750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4788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4897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21</v>
      </c>
      <c r="R2681" s="110" t="s">
        <v>485</v>
      </c>
      <c r="S2681" s="94"/>
    </row>
    <row r="2682" spans="1:19" hidden="1">
      <c r="A2682" s="103" t="s">
        <v>4425</v>
      </c>
      <c r="B2682" s="94" t="str">
        <f>IFERROR(VLOOKUP(Proc[[#This Row],[App]],Table2[],3,0),"open")</f>
        <v>ok</v>
      </c>
      <c r="C2682" s="117" t="s">
        <v>369</v>
      </c>
      <c r="D2682" t="s">
        <v>4606</v>
      </c>
      <c r="E2682" t="s">
        <v>4750</v>
      </c>
      <c r="F2682" s="94" t="s">
        <v>4750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4788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4897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21</v>
      </c>
      <c r="R2682" s="110" t="s">
        <v>485</v>
      </c>
      <c r="S2682" s="94"/>
    </row>
    <row r="2683" spans="1:19" hidden="1">
      <c r="A2683" s="103" t="s">
        <v>4425</v>
      </c>
      <c r="B2683" s="94" t="str">
        <f>IFERROR(VLOOKUP(Proc[[#This Row],[App]],Table2[],3,0),"open")</f>
        <v>ok</v>
      </c>
      <c r="C2683" s="117" t="s">
        <v>369</v>
      </c>
      <c r="D2683" t="s">
        <v>4607</v>
      </c>
      <c r="E2683" t="s">
        <v>4750</v>
      </c>
      <c r="F2683" s="94" t="s">
        <v>4750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4788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4897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21</v>
      </c>
      <c r="R2683" s="110" t="s">
        <v>485</v>
      </c>
      <c r="S2683" s="94"/>
    </row>
    <row r="2684" spans="1:19" hidden="1">
      <c r="A2684" s="103" t="s">
        <v>4425</v>
      </c>
      <c r="B2684" s="94" t="str">
        <f>IFERROR(VLOOKUP(Proc[[#This Row],[App]],Table2[],3,0),"open")</f>
        <v>ok</v>
      </c>
      <c r="C2684" s="117" t="s">
        <v>369</v>
      </c>
      <c r="D2684" t="s">
        <v>4608</v>
      </c>
      <c r="E2684" t="s">
        <v>4752</v>
      </c>
      <c r="F2684" s="94" t="s">
        <v>4752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4788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4897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21</v>
      </c>
      <c r="R2684" s="110" t="s">
        <v>485</v>
      </c>
      <c r="S2684" s="94"/>
    </row>
    <row r="2685" spans="1:19" hidden="1">
      <c r="A2685" s="103" t="s">
        <v>4425</v>
      </c>
      <c r="B2685" s="94" t="str">
        <f>IFERROR(VLOOKUP(Proc[[#This Row],[App]],Table2[],3,0),"open")</f>
        <v>ok</v>
      </c>
      <c r="C2685" s="117" t="s">
        <v>369</v>
      </c>
      <c r="D2685" t="s">
        <v>4609</v>
      </c>
      <c r="E2685" t="s">
        <v>4750</v>
      </c>
      <c r="F2685" s="94" t="s">
        <v>4750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4788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4897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21</v>
      </c>
      <c r="R2685" s="110" t="s">
        <v>485</v>
      </c>
      <c r="S2685" s="94"/>
    </row>
    <row r="2686" spans="1:19" hidden="1">
      <c r="A2686" s="103" t="s">
        <v>4425</v>
      </c>
      <c r="B2686" s="94" t="str">
        <f>IFERROR(VLOOKUP(Proc[[#This Row],[App]],Table2[],3,0),"open")</f>
        <v>ok</v>
      </c>
      <c r="C2686" s="117" t="s">
        <v>369</v>
      </c>
      <c r="D2686" t="s">
        <v>4610</v>
      </c>
      <c r="E2686" t="s">
        <v>4750</v>
      </c>
      <c r="F2686" s="94" t="s">
        <v>4750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4788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4897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21</v>
      </c>
      <c r="R2686" s="110" t="s">
        <v>485</v>
      </c>
      <c r="S2686" s="94"/>
    </row>
    <row r="2687" spans="1:19" hidden="1">
      <c r="A2687" s="103" t="s">
        <v>4425</v>
      </c>
      <c r="B2687" s="94" t="str">
        <f>IFERROR(VLOOKUP(Proc[[#This Row],[App]],Table2[],3,0),"open")</f>
        <v>ok</v>
      </c>
      <c r="C2687" s="117" t="s">
        <v>369</v>
      </c>
      <c r="D2687" t="s">
        <v>4611</v>
      </c>
      <c r="E2687" t="s">
        <v>4750</v>
      </c>
      <c r="F2687" s="94" t="s">
        <v>4750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4788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4897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21</v>
      </c>
      <c r="R2687" s="110" t="s">
        <v>485</v>
      </c>
      <c r="S2687" s="94"/>
    </row>
    <row r="2688" spans="1:19" hidden="1">
      <c r="A2688" s="103" t="s">
        <v>4425</v>
      </c>
      <c r="B2688" s="94" t="str">
        <f>IFERROR(VLOOKUP(Proc[[#This Row],[App]],Table2[],3,0),"open")</f>
        <v>ok</v>
      </c>
      <c r="C2688" s="117" t="s">
        <v>369</v>
      </c>
      <c r="D2688" t="s">
        <v>4612</v>
      </c>
      <c r="E2688" t="s">
        <v>4752</v>
      </c>
      <c r="F2688" s="94" t="s">
        <v>4752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4788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4897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21</v>
      </c>
      <c r="R2688" s="110" t="s">
        <v>485</v>
      </c>
      <c r="S2688" s="94"/>
    </row>
    <row r="2689" spans="1:19" hidden="1">
      <c r="A2689" s="103" t="s">
        <v>4425</v>
      </c>
      <c r="B2689" s="94" t="str">
        <f>IFERROR(VLOOKUP(Proc[[#This Row],[App]],Table2[],3,0),"open")</f>
        <v>ok</v>
      </c>
      <c r="C2689" s="117" t="s">
        <v>369</v>
      </c>
      <c r="D2689" t="s">
        <v>4613</v>
      </c>
      <c r="E2689" t="s">
        <v>4750</v>
      </c>
      <c r="F2689" s="94" t="s">
        <v>4750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4788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4897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21</v>
      </c>
      <c r="R2689" s="110" t="s">
        <v>485</v>
      </c>
      <c r="S2689" s="94"/>
    </row>
    <row r="2690" spans="1:19" hidden="1">
      <c r="A2690" s="103" t="s">
        <v>4425</v>
      </c>
      <c r="B2690" s="94" t="str">
        <f>IFERROR(VLOOKUP(Proc[[#This Row],[App]],Table2[],3,0),"open")</f>
        <v>ok</v>
      </c>
      <c r="C2690" s="117" t="s">
        <v>369</v>
      </c>
      <c r="D2690" t="s">
        <v>4614</v>
      </c>
      <c r="E2690" t="s">
        <v>4750</v>
      </c>
      <c r="F2690" s="94" t="s">
        <v>4750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4788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4897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21</v>
      </c>
      <c r="R2690" s="110" t="s">
        <v>485</v>
      </c>
      <c r="S2690" s="94"/>
    </row>
    <row r="2691" spans="1:19" hidden="1">
      <c r="A2691" s="103" t="s">
        <v>4425</v>
      </c>
      <c r="B2691" s="94" t="str">
        <f>IFERROR(VLOOKUP(Proc[[#This Row],[App]],Table2[],3,0),"open")</f>
        <v>ok</v>
      </c>
      <c r="C2691" s="117" t="s">
        <v>369</v>
      </c>
      <c r="D2691" t="s">
        <v>4615</v>
      </c>
      <c r="E2691" t="s">
        <v>4750</v>
      </c>
      <c r="F2691" s="94" t="s">
        <v>4750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4788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4897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21</v>
      </c>
      <c r="R2691" s="110" t="s">
        <v>485</v>
      </c>
      <c r="S2691" s="94"/>
    </row>
    <row r="2692" spans="1:19" hidden="1">
      <c r="A2692" s="103" t="s">
        <v>4425</v>
      </c>
      <c r="B2692" s="94" t="str">
        <f>IFERROR(VLOOKUP(Proc[[#This Row],[App]],Table2[],3,0),"open")</f>
        <v>ok</v>
      </c>
      <c r="C2692" s="117" t="s">
        <v>369</v>
      </c>
      <c r="D2692" t="s">
        <v>4616</v>
      </c>
      <c r="E2692" t="s">
        <v>4751</v>
      </c>
      <c r="F2692" s="94" t="s">
        <v>4751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4788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4897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21</v>
      </c>
      <c r="R2692" s="110" t="s">
        <v>485</v>
      </c>
      <c r="S2692" s="94"/>
    </row>
    <row r="2693" spans="1:19" hidden="1">
      <c r="A2693" s="103" t="s">
        <v>4425</v>
      </c>
      <c r="B2693" s="94" t="str">
        <f>IFERROR(VLOOKUP(Proc[[#This Row],[App]],Table2[],3,0),"open")</f>
        <v>ok</v>
      </c>
      <c r="C2693" s="117" t="s">
        <v>369</v>
      </c>
      <c r="D2693" t="s">
        <v>4617</v>
      </c>
      <c r="E2693" t="s">
        <v>4750</v>
      </c>
      <c r="F2693" s="94" t="s">
        <v>4750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4788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4897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21</v>
      </c>
      <c r="R2693" s="110" t="s">
        <v>485</v>
      </c>
      <c r="S2693" s="94"/>
    </row>
    <row r="2694" spans="1:19" hidden="1">
      <c r="A2694" s="103" t="s">
        <v>4425</v>
      </c>
      <c r="B2694" s="94" t="str">
        <f>IFERROR(VLOOKUP(Proc[[#This Row],[App]],Table2[],3,0),"open")</f>
        <v>ok</v>
      </c>
      <c r="C2694" s="117" t="s">
        <v>369</v>
      </c>
      <c r="D2694" t="s">
        <v>4618</v>
      </c>
      <c r="E2694" t="s">
        <v>4752</v>
      </c>
      <c r="F2694" s="94" t="s">
        <v>4752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4788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4897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21</v>
      </c>
      <c r="R2694" s="110" t="s">
        <v>485</v>
      </c>
      <c r="S2694" s="94"/>
    </row>
    <row r="2695" spans="1:19" hidden="1">
      <c r="A2695" s="103" t="s">
        <v>4425</v>
      </c>
      <c r="B2695" s="94" t="str">
        <f>IFERROR(VLOOKUP(Proc[[#This Row],[App]],Table2[],3,0),"open")</f>
        <v>ok</v>
      </c>
      <c r="C2695" s="117" t="s">
        <v>369</v>
      </c>
      <c r="D2695" t="s">
        <v>4619</v>
      </c>
      <c r="E2695" t="s">
        <v>4752</v>
      </c>
      <c r="F2695" s="94" t="s">
        <v>4752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4788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4897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21</v>
      </c>
      <c r="R2695" s="110" t="s">
        <v>485</v>
      </c>
      <c r="S2695" s="94"/>
    </row>
    <row r="2696" spans="1:19" hidden="1">
      <c r="A2696" s="103" t="s">
        <v>4425</v>
      </c>
      <c r="B2696" s="94" t="str">
        <f>IFERROR(VLOOKUP(Proc[[#This Row],[App]],Table2[],3,0),"open")</f>
        <v>ok</v>
      </c>
      <c r="C2696" s="117" t="s">
        <v>369</v>
      </c>
      <c r="D2696" t="s">
        <v>4620</v>
      </c>
      <c r="E2696" t="s">
        <v>4750</v>
      </c>
      <c r="F2696" s="94" t="s">
        <v>4750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4788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4897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21</v>
      </c>
      <c r="R2696" s="110" t="s">
        <v>485</v>
      </c>
      <c r="S2696" s="94"/>
    </row>
    <row r="2697" spans="1:19" hidden="1">
      <c r="A2697" s="103" t="s">
        <v>4425</v>
      </c>
      <c r="B2697" s="94" t="str">
        <f>IFERROR(VLOOKUP(Proc[[#This Row],[App]],Table2[],3,0),"open")</f>
        <v>ok</v>
      </c>
      <c r="C2697" s="117" t="s">
        <v>369</v>
      </c>
      <c r="D2697" t="s">
        <v>4621</v>
      </c>
      <c r="E2697" t="s">
        <v>4750</v>
      </c>
      <c r="F2697" s="94" t="s">
        <v>4750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4788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4897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21</v>
      </c>
      <c r="R2697" s="110" t="s">
        <v>485</v>
      </c>
      <c r="S2697" s="94"/>
    </row>
    <row r="2698" spans="1:19" hidden="1">
      <c r="A2698" s="103" t="s">
        <v>4425</v>
      </c>
      <c r="B2698" s="94" t="str">
        <f>IFERROR(VLOOKUP(Proc[[#This Row],[App]],Table2[],3,0),"open")</f>
        <v>ok</v>
      </c>
      <c r="C2698" s="117" t="s">
        <v>369</v>
      </c>
      <c r="D2698" t="s">
        <v>4622</v>
      </c>
      <c r="E2698" t="s">
        <v>4750</v>
      </c>
      <c r="F2698" s="94" t="s">
        <v>4750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4788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4897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21</v>
      </c>
      <c r="R2698" s="110" t="s">
        <v>485</v>
      </c>
      <c r="S2698" s="94"/>
    </row>
    <row r="2699" spans="1:19" hidden="1">
      <c r="A2699" s="103" t="s">
        <v>4425</v>
      </c>
      <c r="B2699" s="94" t="str">
        <f>IFERROR(VLOOKUP(Proc[[#This Row],[App]],Table2[],3,0),"open")</f>
        <v>ok</v>
      </c>
      <c r="C2699" s="117" t="s">
        <v>369</v>
      </c>
      <c r="D2699" t="s">
        <v>4623</v>
      </c>
      <c r="E2699" t="s">
        <v>4751</v>
      </c>
      <c r="F2699" s="94" t="s">
        <v>4751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4788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4897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21</v>
      </c>
      <c r="R2699" s="110" t="s">
        <v>485</v>
      </c>
      <c r="S2699" s="94"/>
    </row>
    <row r="2700" spans="1:19" hidden="1">
      <c r="A2700" s="103" t="s">
        <v>4425</v>
      </c>
      <c r="B2700" s="94" t="str">
        <f>IFERROR(VLOOKUP(Proc[[#This Row],[App]],Table2[],3,0),"open")</f>
        <v>ok</v>
      </c>
      <c r="C2700" s="117" t="s">
        <v>369</v>
      </c>
      <c r="D2700" t="s">
        <v>4624</v>
      </c>
      <c r="E2700" t="s">
        <v>4751</v>
      </c>
      <c r="F2700" s="94" t="s">
        <v>4751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4788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4897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21</v>
      </c>
      <c r="R2700" s="110" t="s">
        <v>485</v>
      </c>
      <c r="S2700" s="94"/>
    </row>
    <row r="2701" spans="1:19" hidden="1">
      <c r="A2701" s="103" t="s">
        <v>4425</v>
      </c>
      <c r="B2701" s="94" t="str">
        <f>IFERROR(VLOOKUP(Proc[[#This Row],[App]],Table2[],3,0),"open")</f>
        <v>ok</v>
      </c>
      <c r="C2701" s="117" t="s">
        <v>369</v>
      </c>
      <c r="D2701" t="s">
        <v>4625</v>
      </c>
      <c r="E2701" t="s">
        <v>4751</v>
      </c>
      <c r="F2701" s="94" t="s">
        <v>4751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4788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4897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21</v>
      </c>
      <c r="R2701" s="110" t="s">
        <v>485</v>
      </c>
      <c r="S2701" s="94"/>
    </row>
    <row r="2702" spans="1:19" hidden="1">
      <c r="A2702" s="103" t="s">
        <v>4425</v>
      </c>
      <c r="B2702" s="94" t="str">
        <f>IFERROR(VLOOKUP(Proc[[#This Row],[App]],Table2[],3,0),"open")</f>
        <v>ok</v>
      </c>
      <c r="C2702" s="117" t="s">
        <v>369</v>
      </c>
      <c r="D2702" t="s">
        <v>4626</v>
      </c>
      <c r="E2702" t="s">
        <v>4751</v>
      </c>
      <c r="F2702" s="94" t="s">
        <v>4751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4788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4897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21</v>
      </c>
      <c r="R2702" s="110" t="s">
        <v>485</v>
      </c>
      <c r="S2702" s="94"/>
    </row>
    <row r="2703" spans="1:19" hidden="1">
      <c r="A2703" s="103" t="s">
        <v>4425</v>
      </c>
      <c r="B2703" s="94" t="str">
        <f>IFERROR(VLOOKUP(Proc[[#This Row],[App]],Table2[],3,0),"open")</f>
        <v>ok</v>
      </c>
      <c r="C2703" s="117" t="s">
        <v>369</v>
      </c>
      <c r="D2703" t="s">
        <v>4627</v>
      </c>
      <c r="E2703" t="s">
        <v>4751</v>
      </c>
      <c r="F2703" s="94" t="s">
        <v>4751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4788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4897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21</v>
      </c>
      <c r="R2703" s="110" t="s">
        <v>485</v>
      </c>
      <c r="S2703" s="94"/>
    </row>
    <row r="2704" spans="1:19" hidden="1">
      <c r="A2704" s="103" t="s">
        <v>4425</v>
      </c>
      <c r="B2704" s="94" t="str">
        <f>IFERROR(VLOOKUP(Proc[[#This Row],[App]],Table2[],3,0),"open")</f>
        <v>ok</v>
      </c>
      <c r="C2704" s="117" t="s">
        <v>369</v>
      </c>
      <c r="D2704" t="s">
        <v>4628</v>
      </c>
      <c r="E2704" t="s">
        <v>4751</v>
      </c>
      <c r="F2704" s="94" t="s">
        <v>4751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4788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4897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21</v>
      </c>
      <c r="R2704" s="110" t="s">
        <v>485</v>
      </c>
      <c r="S2704" s="94"/>
    </row>
    <row r="2705" spans="1:19" hidden="1">
      <c r="A2705" s="103" t="s">
        <v>4425</v>
      </c>
      <c r="B2705" s="94" t="str">
        <f>IFERROR(VLOOKUP(Proc[[#This Row],[App]],Table2[],3,0),"open")</f>
        <v>ok</v>
      </c>
      <c r="C2705" s="117" t="s">
        <v>369</v>
      </c>
      <c r="D2705" t="s">
        <v>4629</v>
      </c>
      <c r="E2705" t="s">
        <v>4751</v>
      </c>
      <c r="F2705" s="94" t="s">
        <v>4751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4788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4897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21</v>
      </c>
      <c r="R2705" s="110" t="s">
        <v>485</v>
      </c>
      <c r="S2705" s="94"/>
    </row>
    <row r="2706" spans="1:19" hidden="1">
      <c r="A2706" s="103" t="s">
        <v>4425</v>
      </c>
      <c r="B2706" s="94" t="str">
        <f>IFERROR(VLOOKUP(Proc[[#This Row],[App]],Table2[],3,0),"open")</f>
        <v>ok</v>
      </c>
      <c r="C2706" s="117" t="s">
        <v>369</v>
      </c>
      <c r="D2706" t="s">
        <v>4630</v>
      </c>
      <c r="E2706" t="s">
        <v>4751</v>
      </c>
      <c r="F2706" s="94" t="s">
        <v>4751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4788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4897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21</v>
      </c>
      <c r="R2706" s="110" t="s">
        <v>485</v>
      </c>
      <c r="S2706" s="94"/>
    </row>
    <row r="2707" spans="1:19" hidden="1">
      <c r="A2707" s="103" t="s">
        <v>4425</v>
      </c>
      <c r="B2707" s="94" t="str">
        <f>IFERROR(VLOOKUP(Proc[[#This Row],[App]],Table2[],3,0),"open")</f>
        <v>ok</v>
      </c>
      <c r="C2707" s="117" t="s">
        <v>369</v>
      </c>
      <c r="D2707" t="s">
        <v>4631</v>
      </c>
      <c r="E2707" t="s">
        <v>4751</v>
      </c>
      <c r="F2707" s="94" t="s">
        <v>4751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4788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4897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21</v>
      </c>
      <c r="R2707" s="110" t="s">
        <v>485</v>
      </c>
      <c r="S2707" s="94"/>
    </row>
    <row r="2708" spans="1:19" hidden="1">
      <c r="A2708" s="103" t="s">
        <v>4425</v>
      </c>
      <c r="B2708" s="94" t="str">
        <f>IFERROR(VLOOKUP(Proc[[#This Row],[App]],Table2[],3,0),"open")</f>
        <v>ok</v>
      </c>
      <c r="C2708" s="117" t="s">
        <v>369</v>
      </c>
      <c r="D2708" t="s">
        <v>4632</v>
      </c>
      <c r="E2708" t="s">
        <v>4751</v>
      </c>
      <c r="F2708" s="94" t="s">
        <v>4751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4788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4897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21</v>
      </c>
      <c r="R2708" s="110" t="s">
        <v>485</v>
      </c>
      <c r="S2708" s="94"/>
    </row>
    <row r="2709" spans="1:19" hidden="1">
      <c r="A2709" s="103" t="s">
        <v>4425</v>
      </c>
      <c r="B2709" s="94" t="str">
        <f>IFERROR(VLOOKUP(Proc[[#This Row],[App]],Table2[],3,0),"open")</f>
        <v>ok</v>
      </c>
      <c r="C2709" s="117" t="s">
        <v>369</v>
      </c>
      <c r="D2709" t="s">
        <v>4633</v>
      </c>
      <c r="E2709" t="s">
        <v>4751</v>
      </c>
      <c r="F2709" s="94" t="s">
        <v>4751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4788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4897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21</v>
      </c>
      <c r="R2709" s="110" t="s">
        <v>485</v>
      </c>
      <c r="S2709" s="94"/>
    </row>
    <row r="2710" spans="1:19" hidden="1">
      <c r="A2710" s="103" t="s">
        <v>4425</v>
      </c>
      <c r="B2710" s="94" t="str">
        <f>IFERROR(VLOOKUP(Proc[[#This Row],[App]],Table2[],3,0),"open")</f>
        <v>ok</v>
      </c>
      <c r="C2710" s="117" t="s">
        <v>369</v>
      </c>
      <c r="D2710" t="s">
        <v>4634</v>
      </c>
      <c r="E2710" t="s">
        <v>4751</v>
      </c>
      <c r="F2710" s="94" t="s">
        <v>4751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4788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4897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21</v>
      </c>
      <c r="R2710" s="110" t="s">
        <v>485</v>
      </c>
      <c r="S2710" s="94"/>
    </row>
    <row r="2711" spans="1:19" hidden="1">
      <c r="A2711" s="103" t="s">
        <v>4425</v>
      </c>
      <c r="B2711" s="94" t="str">
        <f>IFERROR(VLOOKUP(Proc[[#This Row],[App]],Table2[],3,0),"open")</f>
        <v>ok</v>
      </c>
      <c r="C2711" s="117" t="s">
        <v>369</v>
      </c>
      <c r="D2711" t="s">
        <v>4635</v>
      </c>
      <c r="E2711" t="s">
        <v>4751</v>
      </c>
      <c r="F2711" s="94" t="s">
        <v>4751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4788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4897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21</v>
      </c>
      <c r="R2711" s="110" t="s">
        <v>485</v>
      </c>
      <c r="S2711" s="94"/>
    </row>
    <row r="2712" spans="1:19" hidden="1">
      <c r="A2712" s="103" t="s">
        <v>4425</v>
      </c>
      <c r="B2712" s="94" t="str">
        <f>IFERROR(VLOOKUP(Proc[[#This Row],[App]],Table2[],3,0),"open")</f>
        <v>ok</v>
      </c>
      <c r="C2712" s="117" t="s">
        <v>369</v>
      </c>
      <c r="D2712" t="s">
        <v>4636</v>
      </c>
      <c r="E2712" t="s">
        <v>4751</v>
      </c>
      <c r="F2712" s="94" t="s">
        <v>4751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4788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4897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21</v>
      </c>
      <c r="R2712" s="110" t="s">
        <v>485</v>
      </c>
      <c r="S2712" s="94"/>
    </row>
    <row r="2713" spans="1:19" hidden="1">
      <c r="A2713" s="103" t="s">
        <v>4425</v>
      </c>
      <c r="B2713" s="94" t="str">
        <f>IFERROR(VLOOKUP(Proc[[#This Row],[App]],Table2[],3,0),"open")</f>
        <v>ok</v>
      </c>
      <c r="C2713" s="117" t="s">
        <v>369</v>
      </c>
      <c r="D2713" t="s">
        <v>4637</v>
      </c>
      <c r="E2713" t="s">
        <v>4750</v>
      </c>
      <c r="F2713" s="94" t="s">
        <v>4750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4788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4897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21</v>
      </c>
      <c r="R2713" s="110" t="s">
        <v>485</v>
      </c>
      <c r="S2713" s="94"/>
    </row>
    <row r="2714" spans="1:19" hidden="1">
      <c r="A2714" s="103" t="s">
        <v>4425</v>
      </c>
      <c r="B2714" s="94" t="str">
        <f>IFERROR(VLOOKUP(Proc[[#This Row],[App]],Table2[],3,0),"open")</f>
        <v>ok</v>
      </c>
      <c r="C2714" s="117" t="s">
        <v>369</v>
      </c>
      <c r="D2714" t="s">
        <v>4638</v>
      </c>
      <c r="E2714" t="s">
        <v>4750</v>
      </c>
      <c r="F2714" s="94" t="s">
        <v>4750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4788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4897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21</v>
      </c>
      <c r="R2714" s="110" t="s">
        <v>485</v>
      </c>
      <c r="S2714" s="94"/>
    </row>
    <row r="2715" spans="1:19" hidden="1">
      <c r="A2715" s="103" t="s">
        <v>4425</v>
      </c>
      <c r="B2715" s="94" t="str">
        <f>IFERROR(VLOOKUP(Proc[[#This Row],[App]],Table2[],3,0),"open")</f>
        <v>ok</v>
      </c>
      <c r="C2715" s="117" t="s">
        <v>369</v>
      </c>
      <c r="D2715" t="s">
        <v>4639</v>
      </c>
      <c r="E2715" t="s">
        <v>4750</v>
      </c>
      <c r="F2715" s="94" t="s">
        <v>4750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4788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4897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21</v>
      </c>
      <c r="R2715" s="110" t="s">
        <v>485</v>
      </c>
      <c r="S2715" s="94"/>
    </row>
    <row r="2716" spans="1:19" hidden="1">
      <c r="A2716" s="103" t="s">
        <v>4425</v>
      </c>
      <c r="B2716" s="94" t="str">
        <f>IFERROR(VLOOKUP(Proc[[#This Row],[App]],Table2[],3,0),"open")</f>
        <v>ok</v>
      </c>
      <c r="C2716" s="117" t="s">
        <v>369</v>
      </c>
      <c r="D2716" t="s">
        <v>4640</v>
      </c>
      <c r="E2716" t="s">
        <v>4751</v>
      </c>
      <c r="F2716" s="94" t="s">
        <v>4751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4788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4897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21</v>
      </c>
      <c r="R2716" s="110" t="s">
        <v>485</v>
      </c>
      <c r="S2716" s="94"/>
    </row>
    <row r="2717" spans="1:19" hidden="1">
      <c r="A2717" s="103" t="s">
        <v>4425</v>
      </c>
      <c r="B2717" s="94" t="str">
        <f>IFERROR(VLOOKUP(Proc[[#This Row],[App]],Table2[],3,0),"open")</f>
        <v>ok</v>
      </c>
      <c r="C2717" s="117" t="s">
        <v>369</v>
      </c>
      <c r="D2717" t="s">
        <v>4641</v>
      </c>
      <c r="E2717" t="s">
        <v>4751</v>
      </c>
      <c r="F2717" s="94" t="s">
        <v>4751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4788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4897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21</v>
      </c>
      <c r="R2717" s="110" t="s">
        <v>485</v>
      </c>
      <c r="S2717" s="94"/>
    </row>
    <row r="2718" spans="1:19" hidden="1">
      <c r="A2718" s="103" t="s">
        <v>4425</v>
      </c>
      <c r="B2718" s="94" t="str">
        <f>IFERROR(VLOOKUP(Proc[[#This Row],[App]],Table2[],3,0),"open")</f>
        <v>ok</v>
      </c>
      <c r="C2718" s="117" t="s">
        <v>369</v>
      </c>
      <c r="D2718" t="s">
        <v>4642</v>
      </c>
      <c r="E2718" t="s">
        <v>4751</v>
      </c>
      <c r="F2718" s="94" t="s">
        <v>4751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4788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4897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21</v>
      </c>
      <c r="R2718" s="110" t="s">
        <v>485</v>
      </c>
      <c r="S2718" s="94"/>
    </row>
    <row r="2719" spans="1:19" hidden="1">
      <c r="A2719" s="103" t="s">
        <v>4425</v>
      </c>
      <c r="B2719" s="94" t="str">
        <f>IFERROR(VLOOKUP(Proc[[#This Row],[App]],Table2[],3,0),"open")</f>
        <v>ok</v>
      </c>
      <c r="C2719" s="117" t="s">
        <v>369</v>
      </c>
      <c r="D2719" t="s">
        <v>4643</v>
      </c>
      <c r="E2719" t="s">
        <v>4751</v>
      </c>
      <c r="F2719" s="94" t="s">
        <v>4751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4788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4897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21</v>
      </c>
      <c r="R2719" s="110" t="s">
        <v>485</v>
      </c>
      <c r="S2719" s="94"/>
    </row>
    <row r="2720" spans="1:19" hidden="1">
      <c r="A2720" s="103" t="s">
        <v>4425</v>
      </c>
      <c r="B2720" s="94" t="str">
        <f>IFERROR(VLOOKUP(Proc[[#This Row],[App]],Table2[],3,0),"open")</f>
        <v>ok</v>
      </c>
      <c r="C2720" s="117" t="s">
        <v>369</v>
      </c>
      <c r="D2720" t="s">
        <v>4644</v>
      </c>
      <c r="E2720" t="s">
        <v>4751</v>
      </c>
      <c r="F2720" s="94" t="s">
        <v>4751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4788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4897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21</v>
      </c>
      <c r="R2720" s="110" t="s">
        <v>485</v>
      </c>
      <c r="S2720" s="94"/>
    </row>
    <row r="2721" spans="1:19" hidden="1">
      <c r="A2721" s="103" t="s">
        <v>4425</v>
      </c>
      <c r="B2721" s="94" t="str">
        <f>IFERROR(VLOOKUP(Proc[[#This Row],[App]],Table2[],3,0),"open")</f>
        <v>ok</v>
      </c>
      <c r="C2721" s="117" t="s">
        <v>369</v>
      </c>
      <c r="D2721" t="s">
        <v>4645</v>
      </c>
      <c r="E2721" t="s">
        <v>4751</v>
      </c>
      <c r="F2721" s="94" t="s">
        <v>4751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4788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4897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21</v>
      </c>
      <c r="R2721" s="110" t="s">
        <v>485</v>
      </c>
      <c r="S2721" s="94"/>
    </row>
    <row r="2722" spans="1:19" hidden="1">
      <c r="A2722" s="103" t="s">
        <v>4425</v>
      </c>
      <c r="B2722" s="94" t="str">
        <f>IFERROR(VLOOKUP(Proc[[#This Row],[App]],Table2[],3,0),"open")</f>
        <v>ok</v>
      </c>
      <c r="C2722" s="117" t="s">
        <v>369</v>
      </c>
      <c r="D2722" t="s">
        <v>4646</v>
      </c>
      <c r="E2722" t="s">
        <v>4751</v>
      </c>
      <c r="F2722" s="94" t="s">
        <v>4751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4788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4897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21</v>
      </c>
      <c r="R2722" s="110" t="s">
        <v>485</v>
      </c>
      <c r="S2722" s="94"/>
    </row>
    <row r="2723" spans="1:19" hidden="1">
      <c r="A2723" s="103" t="s">
        <v>4425</v>
      </c>
      <c r="B2723" s="94" t="str">
        <f>IFERROR(VLOOKUP(Proc[[#This Row],[App]],Table2[],3,0),"open")</f>
        <v>ok</v>
      </c>
      <c r="C2723" s="117" t="s">
        <v>369</v>
      </c>
      <c r="D2723" t="s">
        <v>4647</v>
      </c>
      <c r="E2723" t="s">
        <v>4751</v>
      </c>
      <c r="F2723" s="94" t="s">
        <v>4751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4788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4897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21</v>
      </c>
      <c r="R2723" s="110" t="s">
        <v>485</v>
      </c>
      <c r="S2723" s="94"/>
    </row>
    <row r="2724" spans="1:19" hidden="1">
      <c r="A2724" s="103" t="s">
        <v>4425</v>
      </c>
      <c r="B2724" s="94" t="str">
        <f>IFERROR(VLOOKUP(Proc[[#This Row],[App]],Table2[],3,0),"open")</f>
        <v>ok</v>
      </c>
      <c r="C2724" s="117" t="s">
        <v>369</v>
      </c>
      <c r="D2724" t="s">
        <v>4648</v>
      </c>
      <c r="E2724" t="s">
        <v>4751</v>
      </c>
      <c r="F2724" s="94" t="s">
        <v>4751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4788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4897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21</v>
      </c>
      <c r="R2724" s="110" t="s">
        <v>485</v>
      </c>
      <c r="S2724" s="94"/>
    </row>
    <row r="2725" spans="1:19" hidden="1">
      <c r="A2725" s="103" t="s">
        <v>4425</v>
      </c>
      <c r="B2725" s="94" t="str">
        <f>IFERROR(VLOOKUP(Proc[[#This Row],[App]],Table2[],3,0),"open")</f>
        <v>ok</v>
      </c>
      <c r="C2725" s="117" t="s">
        <v>369</v>
      </c>
      <c r="D2725" t="s">
        <v>4649</v>
      </c>
      <c r="E2725" t="s">
        <v>4751</v>
      </c>
      <c r="F2725" s="94" t="s">
        <v>4751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4788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4897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21</v>
      </c>
      <c r="R2725" s="110" t="s">
        <v>485</v>
      </c>
      <c r="S2725" s="94"/>
    </row>
    <row r="2726" spans="1:19" hidden="1">
      <c r="A2726" s="103" t="s">
        <v>4425</v>
      </c>
      <c r="B2726" s="94" t="str">
        <f>IFERROR(VLOOKUP(Proc[[#This Row],[App]],Table2[],3,0),"open")</f>
        <v>ok</v>
      </c>
      <c r="C2726" s="117" t="s">
        <v>369</v>
      </c>
      <c r="D2726" t="s">
        <v>4650</v>
      </c>
      <c r="E2726" t="s">
        <v>4751</v>
      </c>
      <c r="F2726" s="94" t="s">
        <v>4751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4788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4897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21</v>
      </c>
      <c r="R2726" s="110" t="s">
        <v>485</v>
      </c>
      <c r="S2726" s="94"/>
    </row>
    <row r="2727" spans="1:19" hidden="1">
      <c r="A2727" s="103" t="s">
        <v>4425</v>
      </c>
      <c r="B2727" s="94" t="str">
        <f>IFERROR(VLOOKUP(Proc[[#This Row],[App]],Table2[],3,0),"open")</f>
        <v>ok</v>
      </c>
      <c r="C2727" s="117" t="s">
        <v>369</v>
      </c>
      <c r="D2727" t="s">
        <v>4651</v>
      </c>
      <c r="E2727" t="s">
        <v>4751</v>
      </c>
      <c r="F2727" s="94" t="s">
        <v>4751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4788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4897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21</v>
      </c>
      <c r="R2727" s="110" t="s">
        <v>485</v>
      </c>
      <c r="S2727" s="94"/>
    </row>
    <row r="2728" spans="1:19" hidden="1">
      <c r="A2728" s="103" t="s">
        <v>4425</v>
      </c>
      <c r="B2728" s="94" t="str">
        <f>IFERROR(VLOOKUP(Proc[[#This Row],[App]],Table2[],3,0),"open")</f>
        <v>ok</v>
      </c>
      <c r="C2728" s="117" t="s">
        <v>369</v>
      </c>
      <c r="D2728" t="s">
        <v>4652</v>
      </c>
      <c r="E2728" t="s">
        <v>4751</v>
      </c>
      <c r="F2728" s="94" t="s">
        <v>4751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4788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4897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21</v>
      </c>
      <c r="R2728" s="110" t="s">
        <v>485</v>
      </c>
      <c r="S2728" s="94"/>
    </row>
    <row r="2729" spans="1:19" hidden="1">
      <c r="A2729" s="103" t="s">
        <v>4425</v>
      </c>
      <c r="B2729" s="94" t="str">
        <f>IFERROR(VLOOKUP(Proc[[#This Row],[App]],Table2[],3,0),"open")</f>
        <v>ok</v>
      </c>
      <c r="C2729" s="117" t="s">
        <v>369</v>
      </c>
      <c r="D2729" t="s">
        <v>4653</v>
      </c>
      <c r="E2729" t="s">
        <v>4751</v>
      </c>
      <c r="F2729" s="94" t="s">
        <v>4751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4788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4897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21</v>
      </c>
      <c r="R2729" s="110" t="s">
        <v>485</v>
      </c>
      <c r="S2729" s="94"/>
    </row>
    <row r="2730" spans="1:19" hidden="1">
      <c r="A2730" s="103" t="s">
        <v>4425</v>
      </c>
      <c r="B2730" s="94" t="str">
        <f>IFERROR(VLOOKUP(Proc[[#This Row],[App]],Table2[],3,0),"open")</f>
        <v>ok</v>
      </c>
      <c r="C2730" s="117" t="s">
        <v>369</v>
      </c>
      <c r="D2730" t="s">
        <v>4654</v>
      </c>
      <c r="E2730" t="s">
        <v>4751</v>
      </c>
      <c r="F2730" s="94" t="s">
        <v>4751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4788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4897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21</v>
      </c>
      <c r="R2730" s="110" t="s">
        <v>485</v>
      </c>
      <c r="S2730" s="94"/>
    </row>
    <row r="2731" spans="1:19" hidden="1">
      <c r="A2731" s="103" t="s">
        <v>4425</v>
      </c>
      <c r="B2731" s="94" t="str">
        <f>IFERROR(VLOOKUP(Proc[[#This Row],[App]],Table2[],3,0),"open")</f>
        <v>ok</v>
      </c>
      <c r="C2731" s="117" t="s">
        <v>369</v>
      </c>
      <c r="D2731" t="s">
        <v>4655</v>
      </c>
      <c r="E2731" t="s">
        <v>4751</v>
      </c>
      <c r="F2731" s="94" t="s">
        <v>4751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4788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4897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21</v>
      </c>
      <c r="R2731" s="110" t="s">
        <v>485</v>
      </c>
      <c r="S2731" s="94"/>
    </row>
    <row r="2732" spans="1:19" hidden="1">
      <c r="A2732" s="103" t="s">
        <v>4425</v>
      </c>
      <c r="B2732" s="94" t="str">
        <f>IFERROR(VLOOKUP(Proc[[#This Row],[App]],Table2[],3,0),"open")</f>
        <v>ok</v>
      </c>
      <c r="C2732" s="117" t="s">
        <v>369</v>
      </c>
      <c r="D2732" t="s">
        <v>4656</v>
      </c>
      <c r="E2732" t="s">
        <v>4751</v>
      </c>
      <c r="F2732" s="94" t="s">
        <v>4751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4788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4897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21</v>
      </c>
      <c r="R2732" s="110" t="s">
        <v>485</v>
      </c>
      <c r="S2732" s="94"/>
    </row>
    <row r="2733" spans="1:19" hidden="1">
      <c r="A2733" s="103" t="s">
        <v>4425</v>
      </c>
      <c r="B2733" s="94" t="str">
        <f>IFERROR(VLOOKUP(Proc[[#This Row],[App]],Table2[],3,0),"open")</f>
        <v>ok</v>
      </c>
      <c r="C2733" s="117" t="s">
        <v>369</v>
      </c>
      <c r="D2733" t="s">
        <v>4657</v>
      </c>
      <c r="E2733" t="s">
        <v>4751</v>
      </c>
      <c r="F2733" s="94" t="s">
        <v>4751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4788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4897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21</v>
      </c>
      <c r="R2733" s="110" t="s">
        <v>485</v>
      </c>
      <c r="S2733" s="94"/>
    </row>
    <row r="2734" spans="1:19" hidden="1">
      <c r="A2734" s="103" t="s">
        <v>4425</v>
      </c>
      <c r="B2734" s="94" t="str">
        <f>IFERROR(VLOOKUP(Proc[[#This Row],[App]],Table2[],3,0),"open")</f>
        <v>ok</v>
      </c>
      <c r="C2734" s="117" t="s">
        <v>369</v>
      </c>
      <c r="D2734" t="s">
        <v>4658</v>
      </c>
      <c r="E2734" t="s">
        <v>4753</v>
      </c>
      <c r="F2734" s="94" t="s">
        <v>4753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4788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4897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21</v>
      </c>
      <c r="R2734" s="110" t="s">
        <v>485</v>
      </c>
      <c r="S2734" s="94"/>
    </row>
    <row r="2735" spans="1:19" hidden="1">
      <c r="A2735" s="103" t="s">
        <v>4425</v>
      </c>
      <c r="B2735" s="94" t="str">
        <f>IFERROR(VLOOKUP(Proc[[#This Row],[App]],Table2[],3,0),"open")</f>
        <v>ok</v>
      </c>
      <c r="C2735" s="117" t="s">
        <v>369</v>
      </c>
      <c r="D2735" t="s">
        <v>4659</v>
      </c>
      <c r="E2735" t="s">
        <v>4754</v>
      </c>
      <c r="F2735" s="94" t="s">
        <v>4754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4788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4897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21</v>
      </c>
      <c r="R2735" s="110" t="s">
        <v>485</v>
      </c>
      <c r="S2735" s="94"/>
    </row>
    <row r="2736" spans="1:19" hidden="1">
      <c r="A2736" s="103" t="s">
        <v>4425</v>
      </c>
      <c r="B2736" s="94" t="str">
        <f>IFERROR(VLOOKUP(Proc[[#This Row],[App]],Table2[],3,0),"open")</f>
        <v>ok</v>
      </c>
      <c r="C2736" s="117" t="s">
        <v>369</v>
      </c>
      <c r="D2736" t="s">
        <v>4660</v>
      </c>
      <c r="E2736" t="s">
        <v>4753</v>
      </c>
      <c r="F2736" s="94" t="s">
        <v>4753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4788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4897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21</v>
      </c>
      <c r="R2736" s="110" t="s">
        <v>485</v>
      </c>
      <c r="S2736" s="94"/>
    </row>
    <row r="2737" spans="1:19" hidden="1">
      <c r="A2737" s="103" t="s">
        <v>4425</v>
      </c>
      <c r="B2737" s="94" t="str">
        <f>IFERROR(VLOOKUP(Proc[[#This Row],[App]],Table2[],3,0),"open")</f>
        <v>ok</v>
      </c>
      <c r="C2737" s="117" t="s">
        <v>369</v>
      </c>
      <c r="D2737" t="s">
        <v>4661</v>
      </c>
      <c r="E2737" t="s">
        <v>4755</v>
      </c>
      <c r="F2737" s="94" t="s">
        <v>4755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4788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4897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21</v>
      </c>
      <c r="R2737" s="110" t="s">
        <v>485</v>
      </c>
      <c r="S2737" s="94"/>
    </row>
    <row r="2738" spans="1:19" hidden="1">
      <c r="A2738" s="103" t="s">
        <v>4425</v>
      </c>
      <c r="B2738" s="94" t="str">
        <f>IFERROR(VLOOKUP(Proc[[#This Row],[App]],Table2[],3,0),"open")</f>
        <v>ok</v>
      </c>
      <c r="C2738" s="117" t="s">
        <v>369</v>
      </c>
      <c r="D2738" t="s">
        <v>4662</v>
      </c>
      <c r="E2738" t="s">
        <v>4753</v>
      </c>
      <c r="F2738" s="94" t="s">
        <v>4753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4788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4897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21</v>
      </c>
      <c r="R2738" s="110" t="s">
        <v>485</v>
      </c>
      <c r="S2738" s="94"/>
    </row>
    <row r="2739" spans="1:19" hidden="1">
      <c r="A2739" s="103" t="s">
        <v>4425</v>
      </c>
      <c r="B2739" s="94" t="str">
        <f>IFERROR(VLOOKUP(Proc[[#This Row],[App]],Table2[],3,0),"open")</f>
        <v>ok</v>
      </c>
      <c r="C2739" s="117" t="s">
        <v>369</v>
      </c>
      <c r="D2739" t="s">
        <v>4663</v>
      </c>
      <c r="E2739" t="s">
        <v>4753</v>
      </c>
      <c r="F2739" s="94" t="s">
        <v>4753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4788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4897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21</v>
      </c>
      <c r="R2739" s="110" t="s">
        <v>485</v>
      </c>
      <c r="S2739" s="94"/>
    </row>
    <row r="2740" spans="1:19" hidden="1">
      <c r="A2740" s="103" t="s">
        <v>4425</v>
      </c>
      <c r="B2740" s="94" t="str">
        <f>IFERROR(VLOOKUP(Proc[[#This Row],[App]],Table2[],3,0),"open")</f>
        <v>ok</v>
      </c>
      <c r="C2740" s="117" t="s">
        <v>369</v>
      </c>
      <c r="D2740" t="s">
        <v>4664</v>
      </c>
      <c r="E2740" t="s">
        <v>4753</v>
      </c>
      <c r="F2740" s="94" t="s">
        <v>4753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4788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4897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21</v>
      </c>
      <c r="R2740" s="110" t="s">
        <v>485</v>
      </c>
      <c r="S2740" s="94"/>
    </row>
    <row r="2741" spans="1:19" hidden="1">
      <c r="A2741" s="103" t="s">
        <v>4425</v>
      </c>
      <c r="B2741" s="94" t="str">
        <f>IFERROR(VLOOKUP(Proc[[#This Row],[App]],Table2[],3,0),"open")</f>
        <v>ok</v>
      </c>
      <c r="C2741" s="117" t="s">
        <v>369</v>
      </c>
      <c r="D2741" t="s">
        <v>4665</v>
      </c>
      <c r="E2741" t="s">
        <v>4755</v>
      </c>
      <c r="F2741" s="94" t="s">
        <v>4755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4788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4897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21</v>
      </c>
      <c r="R2741" s="110" t="s">
        <v>485</v>
      </c>
      <c r="S2741" s="94"/>
    </row>
    <row r="2742" spans="1:19" hidden="1">
      <c r="A2742" s="103" t="s">
        <v>4425</v>
      </c>
      <c r="B2742" s="94" t="str">
        <f>IFERROR(VLOOKUP(Proc[[#This Row],[App]],Table2[],3,0),"open")</f>
        <v>ok</v>
      </c>
      <c r="C2742" s="117" t="s">
        <v>369</v>
      </c>
      <c r="D2742" t="s">
        <v>4666</v>
      </c>
      <c r="E2742" t="s">
        <v>4754</v>
      </c>
      <c r="F2742" s="94" t="s">
        <v>4754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4788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4897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21</v>
      </c>
      <c r="R2742" s="110" t="s">
        <v>485</v>
      </c>
      <c r="S2742" s="94"/>
    </row>
    <row r="2743" spans="1:19" hidden="1">
      <c r="A2743" s="103" t="s">
        <v>4425</v>
      </c>
      <c r="B2743" s="94" t="str">
        <f>IFERROR(VLOOKUP(Proc[[#This Row],[App]],Table2[],3,0),"open")</f>
        <v>ok</v>
      </c>
      <c r="C2743" s="117" t="s">
        <v>369</v>
      </c>
      <c r="D2743" t="s">
        <v>4667</v>
      </c>
      <c r="E2743" t="s">
        <v>4753</v>
      </c>
      <c r="F2743" s="94" t="s">
        <v>4753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4788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4897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21</v>
      </c>
      <c r="R2743" s="110" t="s">
        <v>485</v>
      </c>
      <c r="S2743" s="94"/>
    </row>
    <row r="2744" spans="1:19" hidden="1">
      <c r="A2744" s="103" t="s">
        <v>4425</v>
      </c>
      <c r="B2744" s="94" t="str">
        <f>IFERROR(VLOOKUP(Proc[[#This Row],[App]],Table2[],3,0),"open")</f>
        <v>ok</v>
      </c>
      <c r="C2744" s="117" t="s">
        <v>369</v>
      </c>
      <c r="D2744" t="s">
        <v>4668</v>
      </c>
      <c r="E2744" t="s">
        <v>4753</v>
      </c>
      <c r="F2744" s="94" t="s">
        <v>4753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4788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4897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21</v>
      </c>
      <c r="R2744" s="110" t="s">
        <v>485</v>
      </c>
      <c r="S2744" s="94"/>
    </row>
    <row r="2745" spans="1:19" hidden="1">
      <c r="A2745" s="103" t="s">
        <v>4425</v>
      </c>
      <c r="B2745" s="94" t="str">
        <f>IFERROR(VLOOKUP(Proc[[#This Row],[App]],Table2[],3,0),"open")</f>
        <v>ok</v>
      </c>
      <c r="C2745" s="117" t="s">
        <v>369</v>
      </c>
      <c r="D2745" t="s">
        <v>4669</v>
      </c>
      <c r="E2745" t="s">
        <v>4753</v>
      </c>
      <c r="F2745" s="94" t="s">
        <v>4753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4788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4897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21</v>
      </c>
      <c r="R2745" s="110" t="s">
        <v>485</v>
      </c>
      <c r="S2745" s="94"/>
    </row>
    <row r="2746" spans="1:19" hidden="1">
      <c r="A2746" s="103" t="s">
        <v>4425</v>
      </c>
      <c r="B2746" s="94" t="str">
        <f>IFERROR(VLOOKUP(Proc[[#This Row],[App]],Table2[],3,0),"open")</f>
        <v>ok</v>
      </c>
      <c r="C2746" s="117" t="s">
        <v>369</v>
      </c>
      <c r="D2746" t="s">
        <v>4670</v>
      </c>
      <c r="E2746" t="s">
        <v>4753</v>
      </c>
      <c r="F2746" s="94" t="s">
        <v>4753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4788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4897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21</v>
      </c>
      <c r="R2746" s="110" t="s">
        <v>485</v>
      </c>
      <c r="S2746" s="94"/>
    </row>
    <row r="2747" spans="1:19" hidden="1">
      <c r="A2747" s="103" t="s">
        <v>4425</v>
      </c>
      <c r="B2747" s="94" t="str">
        <f>IFERROR(VLOOKUP(Proc[[#This Row],[App]],Table2[],3,0),"open")</f>
        <v>ok</v>
      </c>
      <c r="C2747" s="117" t="s">
        <v>369</v>
      </c>
      <c r="D2747" t="s">
        <v>4671</v>
      </c>
      <c r="E2747" t="s">
        <v>4753</v>
      </c>
      <c r="F2747" s="94" t="s">
        <v>4753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4788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4897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21</v>
      </c>
      <c r="R2747" s="110" t="s">
        <v>485</v>
      </c>
      <c r="S2747" s="94"/>
    </row>
    <row r="2748" spans="1:19" hidden="1">
      <c r="A2748" s="103" t="s">
        <v>4425</v>
      </c>
      <c r="B2748" s="94" t="str">
        <f>IFERROR(VLOOKUP(Proc[[#This Row],[App]],Table2[],3,0),"open")</f>
        <v>ok</v>
      </c>
      <c r="C2748" s="117" t="s">
        <v>369</v>
      </c>
      <c r="D2748" t="s">
        <v>4672</v>
      </c>
      <c r="E2748" t="s">
        <v>4753</v>
      </c>
      <c r="F2748" s="94" t="s">
        <v>4753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4788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4897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21</v>
      </c>
      <c r="R2748" s="110" t="s">
        <v>485</v>
      </c>
      <c r="S2748" s="94"/>
    </row>
    <row r="2749" spans="1:19" hidden="1">
      <c r="A2749" s="103" t="s">
        <v>4425</v>
      </c>
      <c r="B2749" s="94" t="str">
        <f>IFERROR(VLOOKUP(Proc[[#This Row],[App]],Table2[],3,0),"open")</f>
        <v>ok</v>
      </c>
      <c r="C2749" s="117" t="s">
        <v>369</v>
      </c>
      <c r="D2749" t="s">
        <v>4673</v>
      </c>
      <c r="E2749" t="s">
        <v>4753</v>
      </c>
      <c r="F2749" s="94" t="s">
        <v>4753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4788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4897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21</v>
      </c>
      <c r="R2749" s="110" t="s">
        <v>485</v>
      </c>
      <c r="S2749" s="94"/>
    </row>
    <row r="2750" spans="1:19" hidden="1">
      <c r="A2750" s="103" t="s">
        <v>4425</v>
      </c>
      <c r="B2750" s="94" t="str">
        <f>IFERROR(VLOOKUP(Proc[[#This Row],[App]],Table2[],3,0),"open")</f>
        <v>ok</v>
      </c>
      <c r="C2750" s="117" t="s">
        <v>369</v>
      </c>
      <c r="D2750" t="s">
        <v>4674</v>
      </c>
      <c r="E2750" t="s">
        <v>4753</v>
      </c>
      <c r="F2750" s="94" t="s">
        <v>4753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4788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4897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21</v>
      </c>
      <c r="R2750" s="110" t="s">
        <v>485</v>
      </c>
      <c r="S2750" s="94"/>
    </row>
    <row r="2751" spans="1:19" hidden="1">
      <c r="A2751" s="103" t="s">
        <v>4425</v>
      </c>
      <c r="B2751" s="94" t="str">
        <f>IFERROR(VLOOKUP(Proc[[#This Row],[App]],Table2[],3,0),"open")</f>
        <v>ok</v>
      </c>
      <c r="C2751" s="117" t="s">
        <v>369</v>
      </c>
      <c r="D2751" t="s">
        <v>4675</v>
      </c>
      <c r="E2751" t="s">
        <v>4753</v>
      </c>
      <c r="F2751" s="94" t="s">
        <v>4753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4788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4897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21</v>
      </c>
      <c r="R2751" s="110" t="s">
        <v>485</v>
      </c>
      <c r="S2751" s="94"/>
    </row>
    <row r="2752" spans="1:19" hidden="1">
      <c r="A2752" s="103" t="s">
        <v>4425</v>
      </c>
      <c r="B2752" s="94" t="str">
        <f>IFERROR(VLOOKUP(Proc[[#This Row],[App]],Table2[],3,0),"open")</f>
        <v>ok</v>
      </c>
      <c r="C2752" s="117" t="s">
        <v>369</v>
      </c>
      <c r="D2752" t="s">
        <v>4676</v>
      </c>
      <c r="E2752" t="s">
        <v>4753</v>
      </c>
      <c r="F2752" s="94" t="s">
        <v>4753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4788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4897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21</v>
      </c>
      <c r="R2752" s="110" t="s">
        <v>485</v>
      </c>
      <c r="S2752" s="94"/>
    </row>
    <row r="2753" spans="1:19" hidden="1">
      <c r="A2753" s="103" t="s">
        <v>4425</v>
      </c>
      <c r="B2753" s="94" t="str">
        <f>IFERROR(VLOOKUP(Proc[[#This Row],[App]],Table2[],3,0),"open")</f>
        <v>ok</v>
      </c>
      <c r="C2753" s="117" t="s">
        <v>369</v>
      </c>
      <c r="D2753" t="s">
        <v>4677</v>
      </c>
      <c r="E2753" t="s">
        <v>4753</v>
      </c>
      <c r="F2753" s="94" t="s">
        <v>4753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4788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4897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21</v>
      </c>
      <c r="R2753" s="110" t="s">
        <v>485</v>
      </c>
      <c r="S2753" s="94"/>
    </row>
    <row r="2754" spans="1:19" hidden="1">
      <c r="A2754" s="103" t="s">
        <v>4425</v>
      </c>
      <c r="B2754" s="94" t="str">
        <f>IFERROR(VLOOKUP(Proc[[#This Row],[App]],Table2[],3,0),"open")</f>
        <v>ok</v>
      </c>
      <c r="C2754" s="117" t="s">
        <v>369</v>
      </c>
      <c r="D2754" t="s">
        <v>4678</v>
      </c>
      <c r="E2754" t="s">
        <v>4753</v>
      </c>
      <c r="F2754" s="94" t="s">
        <v>4753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4788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4897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21</v>
      </c>
      <c r="R2754" s="110" t="s">
        <v>485</v>
      </c>
      <c r="S2754" s="94"/>
    </row>
    <row r="2755" spans="1:19" hidden="1">
      <c r="A2755" s="103" t="s">
        <v>4425</v>
      </c>
      <c r="B2755" s="94" t="str">
        <f>IFERROR(VLOOKUP(Proc[[#This Row],[App]],Table2[],3,0),"open")</f>
        <v>ok</v>
      </c>
      <c r="C2755" s="117" t="s">
        <v>369</v>
      </c>
      <c r="D2755" t="s">
        <v>4679</v>
      </c>
      <c r="E2755" t="s">
        <v>4753</v>
      </c>
      <c r="F2755" s="94" t="s">
        <v>4753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4788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4897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21</v>
      </c>
      <c r="R2755" s="110" t="s">
        <v>485</v>
      </c>
      <c r="S2755" s="94"/>
    </row>
    <row r="2756" spans="1:19" hidden="1">
      <c r="A2756" s="103" t="s">
        <v>4425</v>
      </c>
      <c r="B2756" s="94" t="str">
        <f>IFERROR(VLOOKUP(Proc[[#This Row],[App]],Table2[],3,0),"open")</f>
        <v>ok</v>
      </c>
      <c r="C2756" s="117" t="s">
        <v>369</v>
      </c>
      <c r="D2756" t="s">
        <v>4680</v>
      </c>
      <c r="E2756" t="s">
        <v>4753</v>
      </c>
      <c r="F2756" s="94" t="s">
        <v>4753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4788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4897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21</v>
      </c>
      <c r="R2756" s="110" t="s">
        <v>485</v>
      </c>
      <c r="S2756" s="94"/>
    </row>
    <row r="2757" spans="1:19" hidden="1">
      <c r="A2757" s="103" t="s">
        <v>4425</v>
      </c>
      <c r="B2757" s="94" t="str">
        <f>IFERROR(VLOOKUP(Proc[[#This Row],[App]],Table2[],3,0),"open")</f>
        <v>ok</v>
      </c>
      <c r="C2757" s="117" t="s">
        <v>369</v>
      </c>
      <c r="D2757" t="s">
        <v>4681</v>
      </c>
      <c r="E2757" t="s">
        <v>4753</v>
      </c>
      <c r="F2757" s="94" t="s">
        <v>4753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4788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4897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21</v>
      </c>
      <c r="R2757" s="110" t="s">
        <v>485</v>
      </c>
      <c r="S2757" s="94"/>
    </row>
    <row r="2758" spans="1:19" hidden="1">
      <c r="A2758" s="103" t="s">
        <v>4425</v>
      </c>
      <c r="B2758" s="94" t="str">
        <f>IFERROR(VLOOKUP(Proc[[#This Row],[App]],Table2[],3,0),"open")</f>
        <v>ok</v>
      </c>
      <c r="C2758" s="117" t="s">
        <v>369</v>
      </c>
      <c r="D2758" t="s">
        <v>4682</v>
      </c>
      <c r="E2758" t="s">
        <v>4753</v>
      </c>
      <c r="F2758" s="94" t="s">
        <v>4753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4788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4897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21</v>
      </c>
      <c r="R2758" s="110" t="s">
        <v>485</v>
      </c>
      <c r="S2758" s="94"/>
    </row>
    <row r="2759" spans="1:19" hidden="1">
      <c r="A2759" s="103" t="s">
        <v>4425</v>
      </c>
      <c r="B2759" s="94" t="str">
        <f>IFERROR(VLOOKUP(Proc[[#This Row],[App]],Table2[],3,0),"open")</f>
        <v>ok</v>
      </c>
      <c r="C2759" s="117" t="s">
        <v>369</v>
      </c>
      <c r="D2759" t="s">
        <v>4683</v>
      </c>
      <c r="E2759" t="s">
        <v>4754</v>
      </c>
      <c r="F2759" s="94" t="s">
        <v>4754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4788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4897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21</v>
      </c>
      <c r="R2759" s="110" t="s">
        <v>485</v>
      </c>
      <c r="S2759" s="94"/>
    </row>
    <row r="2760" spans="1:19" hidden="1">
      <c r="A2760" s="103" t="s">
        <v>4425</v>
      </c>
      <c r="B2760" s="94" t="str">
        <f>IFERROR(VLOOKUP(Proc[[#This Row],[App]],Table2[],3,0),"open")</f>
        <v>ok</v>
      </c>
      <c r="C2760" s="117" t="s">
        <v>369</v>
      </c>
      <c r="D2760" t="s">
        <v>4684</v>
      </c>
      <c r="E2760" t="s">
        <v>4754</v>
      </c>
      <c r="F2760" s="94" t="s">
        <v>4754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4788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4897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21</v>
      </c>
      <c r="R2760" s="110" t="s">
        <v>485</v>
      </c>
      <c r="S2760" s="94"/>
    </row>
    <row r="2761" spans="1:19" hidden="1">
      <c r="A2761" s="103" t="s">
        <v>4425</v>
      </c>
      <c r="B2761" s="94" t="str">
        <f>IFERROR(VLOOKUP(Proc[[#This Row],[App]],Table2[],3,0),"open")</f>
        <v>ok</v>
      </c>
      <c r="C2761" s="117" t="s">
        <v>369</v>
      </c>
      <c r="D2761" t="s">
        <v>4685</v>
      </c>
      <c r="E2761" t="s">
        <v>4753</v>
      </c>
      <c r="F2761" s="94" t="s">
        <v>4753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4788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4897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21</v>
      </c>
      <c r="R2761" s="110" t="s">
        <v>485</v>
      </c>
      <c r="S2761" s="94"/>
    </row>
    <row r="2762" spans="1:19" hidden="1">
      <c r="A2762" s="103" t="s">
        <v>4425</v>
      </c>
      <c r="B2762" s="94" t="str">
        <f>IFERROR(VLOOKUP(Proc[[#This Row],[App]],Table2[],3,0),"open")</f>
        <v>ok</v>
      </c>
      <c r="C2762" s="117" t="s">
        <v>369</v>
      </c>
      <c r="D2762" t="s">
        <v>4686</v>
      </c>
      <c r="E2762" t="s">
        <v>4754</v>
      </c>
      <c r="F2762" s="94" t="s">
        <v>4754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4788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4897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21</v>
      </c>
      <c r="R2762" s="110" t="s">
        <v>485</v>
      </c>
      <c r="S2762" s="94"/>
    </row>
    <row r="2763" spans="1:19" hidden="1">
      <c r="A2763" s="103" t="s">
        <v>4425</v>
      </c>
      <c r="B2763" s="94" t="str">
        <f>IFERROR(VLOOKUP(Proc[[#This Row],[App]],Table2[],3,0),"open")</f>
        <v>ok</v>
      </c>
      <c r="C2763" s="117" t="s">
        <v>369</v>
      </c>
      <c r="D2763" t="s">
        <v>4687</v>
      </c>
      <c r="E2763" t="s">
        <v>4753</v>
      </c>
      <c r="F2763" s="94" t="s">
        <v>4753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4788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4897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21</v>
      </c>
      <c r="R2763" s="110" t="s">
        <v>485</v>
      </c>
      <c r="S2763" s="94"/>
    </row>
    <row r="2764" spans="1:19" hidden="1">
      <c r="A2764" s="103" t="s">
        <v>4425</v>
      </c>
      <c r="B2764" s="94" t="str">
        <f>IFERROR(VLOOKUP(Proc[[#This Row],[App]],Table2[],3,0),"open")</f>
        <v>ok</v>
      </c>
      <c r="C2764" s="117" t="s">
        <v>369</v>
      </c>
      <c r="D2764" t="s">
        <v>4688</v>
      </c>
      <c r="E2764" t="s">
        <v>4754</v>
      </c>
      <c r="F2764" s="94" t="s">
        <v>4754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4788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4897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21</v>
      </c>
      <c r="R2764" s="110" t="s">
        <v>485</v>
      </c>
      <c r="S2764" s="94"/>
    </row>
    <row r="2765" spans="1:19" hidden="1">
      <c r="A2765" s="103" t="s">
        <v>4425</v>
      </c>
      <c r="B2765" s="94" t="str">
        <f>IFERROR(VLOOKUP(Proc[[#This Row],[App]],Table2[],3,0),"open")</f>
        <v>ok</v>
      </c>
      <c r="C2765" s="117" t="s">
        <v>369</v>
      </c>
      <c r="D2765" t="s">
        <v>4689</v>
      </c>
      <c r="E2765" t="s">
        <v>4753</v>
      </c>
      <c r="F2765" s="94" t="s">
        <v>4753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4788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4897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21</v>
      </c>
      <c r="R2765" s="110" t="s">
        <v>485</v>
      </c>
      <c r="S2765" s="94"/>
    </row>
    <row r="2766" spans="1:19" hidden="1">
      <c r="A2766" s="103" t="s">
        <v>4425</v>
      </c>
      <c r="B2766" s="94" t="str">
        <f>IFERROR(VLOOKUP(Proc[[#This Row],[App]],Table2[],3,0),"open")</f>
        <v>ok</v>
      </c>
      <c r="C2766" s="117" t="s">
        <v>369</v>
      </c>
      <c r="D2766" t="s">
        <v>4690</v>
      </c>
      <c r="E2766" t="s">
        <v>4754</v>
      </c>
      <c r="F2766" s="94" t="s">
        <v>4754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4788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4897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21</v>
      </c>
      <c r="R2766" s="110" t="s">
        <v>485</v>
      </c>
      <c r="S2766" s="94"/>
    </row>
    <row r="2767" spans="1:19" hidden="1">
      <c r="A2767" s="103" t="s">
        <v>4425</v>
      </c>
      <c r="B2767" s="94" t="str">
        <f>IFERROR(VLOOKUP(Proc[[#This Row],[App]],Table2[],3,0),"open")</f>
        <v>ok</v>
      </c>
      <c r="C2767" s="117" t="s">
        <v>369</v>
      </c>
      <c r="D2767" t="s">
        <v>4691</v>
      </c>
      <c r="E2767" t="s">
        <v>4756</v>
      </c>
      <c r="F2767" s="94" t="s">
        <v>4756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4788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4897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21</v>
      </c>
      <c r="R2767" s="110" t="s">
        <v>485</v>
      </c>
      <c r="S2767" s="94"/>
    </row>
    <row r="2768" spans="1:19" hidden="1">
      <c r="A2768" s="103" t="s">
        <v>4425</v>
      </c>
      <c r="B2768" s="94" t="str">
        <f>IFERROR(VLOOKUP(Proc[[#This Row],[App]],Table2[],3,0),"open")</f>
        <v>ok</v>
      </c>
      <c r="C2768" s="117" t="s">
        <v>369</v>
      </c>
      <c r="D2768" t="s">
        <v>4692</v>
      </c>
      <c r="E2768" t="s">
        <v>4754</v>
      </c>
      <c r="F2768" s="94" t="s">
        <v>4754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4788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4897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21</v>
      </c>
      <c r="R2768" s="110" t="s">
        <v>485</v>
      </c>
      <c r="S2768" s="94"/>
    </row>
    <row r="2769" spans="1:19" hidden="1">
      <c r="A2769" s="103" t="s">
        <v>4425</v>
      </c>
      <c r="B2769" s="94" t="str">
        <f>IFERROR(VLOOKUP(Proc[[#This Row],[App]],Table2[],3,0),"open")</f>
        <v>ok</v>
      </c>
      <c r="C2769" s="117" t="s">
        <v>369</v>
      </c>
      <c r="D2769" t="s">
        <v>4693</v>
      </c>
      <c r="E2769" t="s">
        <v>4754</v>
      </c>
      <c r="F2769" s="94" t="s">
        <v>4754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4788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4897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21</v>
      </c>
      <c r="R2769" s="110" t="s">
        <v>485</v>
      </c>
      <c r="S2769" s="94"/>
    </row>
    <row r="2770" spans="1:19" hidden="1">
      <c r="A2770" s="103" t="s">
        <v>4425</v>
      </c>
      <c r="B2770" s="94" t="str">
        <f>IFERROR(VLOOKUP(Proc[[#This Row],[App]],Table2[],3,0),"open")</f>
        <v>ok</v>
      </c>
      <c r="C2770" s="117" t="s">
        <v>369</v>
      </c>
      <c r="D2770" t="s">
        <v>4694</v>
      </c>
      <c r="E2770" t="s">
        <v>4754</v>
      </c>
      <c r="F2770" s="94" t="s">
        <v>4754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4788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4897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21</v>
      </c>
      <c r="R2770" s="110" t="s">
        <v>485</v>
      </c>
      <c r="S2770" s="94"/>
    </row>
    <row r="2771" spans="1:19" hidden="1">
      <c r="A2771" s="103" t="s">
        <v>4425</v>
      </c>
      <c r="B2771" s="94" t="str">
        <f>IFERROR(VLOOKUP(Proc[[#This Row],[App]],Table2[],3,0),"open")</f>
        <v>ok</v>
      </c>
      <c r="C2771" s="117" t="s">
        <v>369</v>
      </c>
      <c r="D2771" t="s">
        <v>4695</v>
      </c>
      <c r="E2771" t="s">
        <v>4754</v>
      </c>
      <c r="F2771" s="94" t="s">
        <v>4754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4788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4897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21</v>
      </c>
      <c r="R2771" s="110" t="s">
        <v>485</v>
      </c>
      <c r="S2771" s="94"/>
    </row>
    <row r="2772" spans="1:19" hidden="1">
      <c r="A2772" s="103" t="s">
        <v>4425</v>
      </c>
      <c r="B2772" s="94" t="str">
        <f>IFERROR(VLOOKUP(Proc[[#This Row],[App]],Table2[],3,0),"open")</f>
        <v>ok</v>
      </c>
      <c r="C2772" s="117" t="s">
        <v>369</v>
      </c>
      <c r="D2772" t="s">
        <v>4696</v>
      </c>
      <c r="E2772" t="s">
        <v>4754</v>
      </c>
      <c r="F2772" s="94" t="s">
        <v>4754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4788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4897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21</v>
      </c>
      <c r="R2772" s="110" t="s">
        <v>485</v>
      </c>
      <c r="S2772" s="94"/>
    </row>
    <row r="2773" spans="1:19" hidden="1">
      <c r="A2773" s="103" t="s">
        <v>4425</v>
      </c>
      <c r="B2773" s="94" t="str">
        <f>IFERROR(VLOOKUP(Proc[[#This Row],[App]],Table2[],3,0),"open")</f>
        <v>ok</v>
      </c>
      <c r="C2773" s="117" t="s">
        <v>369</v>
      </c>
      <c r="D2773" t="s">
        <v>4697</v>
      </c>
      <c r="E2773" t="s">
        <v>4757</v>
      </c>
      <c r="F2773" s="94" t="s">
        <v>4757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4788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4897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21</v>
      </c>
      <c r="R2773" s="110" t="s">
        <v>485</v>
      </c>
      <c r="S2773" s="94"/>
    </row>
    <row r="2774" spans="1:19" hidden="1">
      <c r="A2774" s="103" t="s">
        <v>4425</v>
      </c>
      <c r="B2774" s="94" t="str">
        <f>IFERROR(VLOOKUP(Proc[[#This Row],[App]],Table2[],3,0),"open")</f>
        <v>ok</v>
      </c>
      <c r="C2774" s="117" t="s">
        <v>369</v>
      </c>
      <c r="D2774" t="s">
        <v>4698</v>
      </c>
      <c r="E2774" t="s">
        <v>4754</v>
      </c>
      <c r="F2774" s="94" t="s">
        <v>4754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4788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4897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21</v>
      </c>
      <c r="R2774" s="110" t="s">
        <v>485</v>
      </c>
      <c r="S2774" s="94"/>
    </row>
    <row r="2775" spans="1:19" hidden="1">
      <c r="A2775" s="103" t="s">
        <v>4425</v>
      </c>
      <c r="B2775" s="94" t="str">
        <f>IFERROR(VLOOKUP(Proc[[#This Row],[App]],Table2[],3,0),"open")</f>
        <v>ok</v>
      </c>
      <c r="C2775" s="117" t="s">
        <v>369</v>
      </c>
      <c r="D2775" t="s">
        <v>4699</v>
      </c>
      <c r="E2775" t="s">
        <v>4754</v>
      </c>
      <c r="F2775" s="94" t="s">
        <v>4754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4788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4897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21</v>
      </c>
      <c r="R2775" s="110" t="s">
        <v>485</v>
      </c>
      <c r="S2775" s="94"/>
    </row>
    <row r="2776" spans="1:19" hidden="1">
      <c r="A2776" s="103" t="s">
        <v>4425</v>
      </c>
      <c r="B2776" s="94" t="str">
        <f>IFERROR(VLOOKUP(Proc[[#This Row],[App]],Table2[],3,0),"open")</f>
        <v>ok</v>
      </c>
      <c r="C2776" s="117" t="s">
        <v>369</v>
      </c>
      <c r="D2776" t="s">
        <v>4700</v>
      </c>
      <c r="E2776" t="s">
        <v>4754</v>
      </c>
      <c r="F2776" s="94" t="s">
        <v>4754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4788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4897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21</v>
      </c>
      <c r="R2776" s="110" t="s">
        <v>485</v>
      </c>
      <c r="S2776" s="94"/>
    </row>
    <row r="2777" spans="1:19" hidden="1">
      <c r="A2777" s="103" t="s">
        <v>4425</v>
      </c>
      <c r="B2777" s="94" t="str">
        <f>IFERROR(VLOOKUP(Proc[[#This Row],[App]],Table2[],3,0),"open")</f>
        <v>ok</v>
      </c>
      <c r="C2777" s="117" t="s">
        <v>369</v>
      </c>
      <c r="D2777" t="s">
        <v>4701</v>
      </c>
      <c r="E2777" t="s">
        <v>4754</v>
      </c>
      <c r="F2777" s="94" t="s">
        <v>4754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4788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4897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21</v>
      </c>
      <c r="R2777" s="110" t="s">
        <v>485</v>
      </c>
      <c r="S2777" s="94"/>
    </row>
    <row r="2778" spans="1:19" hidden="1">
      <c r="A2778" s="103" t="s">
        <v>4425</v>
      </c>
      <c r="B2778" s="94" t="str">
        <f>IFERROR(VLOOKUP(Proc[[#This Row],[App]],Table2[],3,0),"open")</f>
        <v>ok</v>
      </c>
      <c r="C2778" s="117" t="s">
        <v>369</v>
      </c>
      <c r="D2778" t="s">
        <v>4702</v>
      </c>
      <c r="E2778" t="s">
        <v>4757</v>
      </c>
      <c r="F2778" s="94" t="s">
        <v>4757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4788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4897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21</v>
      </c>
      <c r="R2778" s="110" t="s">
        <v>485</v>
      </c>
      <c r="S2778" s="94"/>
    </row>
    <row r="2779" spans="1:19" hidden="1">
      <c r="A2779" s="103" t="s">
        <v>4425</v>
      </c>
      <c r="B2779" s="94" t="str">
        <f>IFERROR(VLOOKUP(Proc[[#This Row],[App]],Table2[],3,0),"open")</f>
        <v>ok</v>
      </c>
      <c r="C2779" s="117" t="s">
        <v>369</v>
      </c>
      <c r="D2779" t="s">
        <v>4703</v>
      </c>
      <c r="E2779" t="s">
        <v>4754</v>
      </c>
      <c r="F2779" s="94" t="s">
        <v>4754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4788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4897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21</v>
      </c>
      <c r="R2779" s="110" t="s">
        <v>485</v>
      </c>
      <c r="S2779" s="94"/>
    </row>
    <row r="2780" spans="1:19" hidden="1">
      <c r="A2780" s="103" t="s">
        <v>4425</v>
      </c>
      <c r="B2780" s="94" t="str">
        <f>IFERROR(VLOOKUP(Proc[[#This Row],[App]],Table2[],3,0),"open")</f>
        <v>ok</v>
      </c>
      <c r="C2780" s="117" t="s">
        <v>369</v>
      </c>
      <c r="D2780" t="s">
        <v>4704</v>
      </c>
      <c r="E2780" t="s">
        <v>4754</v>
      </c>
      <c r="F2780" s="94" t="s">
        <v>4754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4788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4897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21</v>
      </c>
      <c r="R2780" s="110" t="s">
        <v>485</v>
      </c>
      <c r="S2780" s="94"/>
    </row>
    <row r="2781" spans="1:19" hidden="1">
      <c r="A2781" s="103" t="s">
        <v>4425</v>
      </c>
      <c r="B2781" s="94" t="str">
        <f>IFERROR(VLOOKUP(Proc[[#This Row],[App]],Table2[],3,0),"open")</f>
        <v>ok</v>
      </c>
      <c r="C2781" s="117" t="s">
        <v>369</v>
      </c>
      <c r="D2781" t="s">
        <v>4705</v>
      </c>
      <c r="E2781" t="s">
        <v>4753</v>
      </c>
      <c r="F2781" s="94" t="s">
        <v>4753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4788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4897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21</v>
      </c>
      <c r="R2781" s="110" t="s">
        <v>485</v>
      </c>
      <c r="S2781" s="94"/>
    </row>
    <row r="2782" spans="1:19" hidden="1">
      <c r="A2782" s="103" t="s">
        <v>4425</v>
      </c>
      <c r="B2782" s="94" t="str">
        <f>IFERROR(VLOOKUP(Proc[[#This Row],[App]],Table2[],3,0),"open")</f>
        <v>ok</v>
      </c>
      <c r="C2782" s="117" t="s">
        <v>369</v>
      </c>
      <c r="D2782" t="s">
        <v>4706</v>
      </c>
      <c r="E2782" t="s">
        <v>4754</v>
      </c>
      <c r="F2782" s="94" t="s">
        <v>4754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4788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4897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21</v>
      </c>
      <c r="R2782" s="110" t="s">
        <v>485</v>
      </c>
      <c r="S2782" s="94"/>
    </row>
    <row r="2783" spans="1:19" hidden="1">
      <c r="A2783" s="103" t="s">
        <v>4425</v>
      </c>
      <c r="B2783" s="94" t="str">
        <f>IFERROR(VLOOKUP(Proc[[#This Row],[App]],Table2[],3,0),"open")</f>
        <v>ok</v>
      </c>
      <c r="C2783" s="117" t="s">
        <v>369</v>
      </c>
      <c r="D2783" t="s">
        <v>4707</v>
      </c>
      <c r="E2783" t="s">
        <v>4754</v>
      </c>
      <c r="F2783" s="94" t="s">
        <v>4754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4788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4897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21</v>
      </c>
      <c r="R2783" s="110" t="s">
        <v>485</v>
      </c>
      <c r="S2783" s="94"/>
    </row>
    <row r="2784" spans="1:19" hidden="1">
      <c r="A2784" s="103" t="s">
        <v>4425</v>
      </c>
      <c r="B2784" s="94" t="str">
        <f>IFERROR(VLOOKUP(Proc[[#This Row],[App]],Table2[],3,0),"open")</f>
        <v>ok</v>
      </c>
      <c r="C2784" s="117" t="s">
        <v>369</v>
      </c>
      <c r="D2784" t="s">
        <v>4708</v>
      </c>
      <c r="E2784" t="s">
        <v>4752</v>
      </c>
      <c r="F2784" s="94" t="s">
        <v>4752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4788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4897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21</v>
      </c>
      <c r="R2784" s="110" t="s">
        <v>485</v>
      </c>
      <c r="S2784" s="94"/>
    </row>
    <row r="2785" spans="1:19" hidden="1">
      <c r="A2785" s="103" t="s">
        <v>4425</v>
      </c>
      <c r="B2785" s="94" t="str">
        <f>IFERROR(VLOOKUP(Proc[[#This Row],[App]],Table2[],3,0),"open")</f>
        <v>ok</v>
      </c>
      <c r="C2785" s="117" t="s">
        <v>369</v>
      </c>
      <c r="D2785" t="s">
        <v>4709</v>
      </c>
      <c r="E2785" t="s">
        <v>4754</v>
      </c>
      <c r="F2785" s="94" t="s">
        <v>4754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4788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4897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21</v>
      </c>
      <c r="R2785" s="110" t="s">
        <v>485</v>
      </c>
      <c r="S2785" s="94"/>
    </row>
    <row r="2786" spans="1:19" hidden="1">
      <c r="A2786" s="103" t="s">
        <v>4425</v>
      </c>
      <c r="B2786" s="94" t="str">
        <f>IFERROR(VLOOKUP(Proc[[#This Row],[App]],Table2[],3,0),"open")</f>
        <v>ok</v>
      </c>
      <c r="C2786" s="117" t="s">
        <v>369</v>
      </c>
      <c r="D2786" t="s">
        <v>4710</v>
      </c>
      <c r="E2786" t="s">
        <v>4754</v>
      </c>
      <c r="F2786" s="94" t="s">
        <v>4754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4788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4897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21</v>
      </c>
      <c r="R2786" s="110" t="s">
        <v>485</v>
      </c>
      <c r="S2786" s="94"/>
    </row>
    <row r="2787" spans="1:19" hidden="1">
      <c r="A2787" s="103" t="s">
        <v>4425</v>
      </c>
      <c r="B2787" s="94" t="str">
        <f>IFERROR(VLOOKUP(Proc[[#This Row],[App]],Table2[],3,0),"open")</f>
        <v>ok</v>
      </c>
      <c r="C2787" s="117" t="s">
        <v>369</v>
      </c>
      <c r="D2787" t="s">
        <v>4711</v>
      </c>
      <c r="E2787" t="s">
        <v>4754</v>
      </c>
      <c r="F2787" s="94" t="s">
        <v>4754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4788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4897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21</v>
      </c>
      <c r="R2787" s="110" t="s">
        <v>485</v>
      </c>
      <c r="S2787" s="94"/>
    </row>
    <row r="2788" spans="1:19" hidden="1">
      <c r="A2788" s="103" t="s">
        <v>4425</v>
      </c>
      <c r="B2788" s="94" t="str">
        <f>IFERROR(VLOOKUP(Proc[[#This Row],[App]],Table2[],3,0),"open")</f>
        <v>ok</v>
      </c>
      <c r="C2788" s="117" t="s">
        <v>369</v>
      </c>
      <c r="D2788" t="s">
        <v>4712</v>
      </c>
      <c r="E2788" t="s">
        <v>4756</v>
      </c>
      <c r="F2788" s="94" t="s">
        <v>4756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4788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4897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21</v>
      </c>
      <c r="R2788" s="110" t="s">
        <v>485</v>
      </c>
      <c r="S2788" s="94"/>
    </row>
    <row r="2789" spans="1:19" hidden="1">
      <c r="A2789" s="103" t="s">
        <v>4425</v>
      </c>
      <c r="B2789" s="94" t="str">
        <f>IFERROR(VLOOKUP(Proc[[#This Row],[App]],Table2[],3,0),"open")</f>
        <v>ok</v>
      </c>
      <c r="C2789" s="117" t="s">
        <v>369</v>
      </c>
      <c r="D2789" t="s">
        <v>4713</v>
      </c>
      <c r="E2789" t="s">
        <v>4756</v>
      </c>
      <c r="F2789" s="94" t="s">
        <v>4756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4788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4897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21</v>
      </c>
      <c r="R2789" s="110" t="s">
        <v>485</v>
      </c>
      <c r="S2789" s="94"/>
    </row>
    <row r="2790" spans="1:19" hidden="1">
      <c r="A2790" s="103" t="s">
        <v>4425</v>
      </c>
      <c r="B2790" s="94" t="str">
        <f>IFERROR(VLOOKUP(Proc[[#This Row],[App]],Table2[],3,0),"open")</f>
        <v>ok</v>
      </c>
      <c r="C2790" s="117" t="s">
        <v>369</v>
      </c>
      <c r="D2790" t="s">
        <v>4714</v>
      </c>
      <c r="E2790" t="s">
        <v>4757</v>
      </c>
      <c r="F2790" s="94" t="s">
        <v>4757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4788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4897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21</v>
      </c>
      <c r="R2790" s="110" t="s">
        <v>485</v>
      </c>
      <c r="S2790" s="94"/>
    </row>
    <row r="2791" spans="1:19" hidden="1">
      <c r="A2791" s="103" t="s">
        <v>4425</v>
      </c>
      <c r="B2791" s="94" t="str">
        <f>IFERROR(VLOOKUP(Proc[[#This Row],[App]],Table2[],3,0),"open")</f>
        <v>ok</v>
      </c>
      <c r="C2791" s="117" t="s">
        <v>369</v>
      </c>
      <c r="D2791" t="s">
        <v>4715</v>
      </c>
      <c r="E2791" t="s">
        <v>4757</v>
      </c>
      <c r="F2791" s="94" t="s">
        <v>4757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4788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4897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21</v>
      </c>
      <c r="R2791" s="110" t="s">
        <v>485</v>
      </c>
      <c r="S2791" s="94"/>
    </row>
    <row r="2792" spans="1:19" hidden="1">
      <c r="A2792" s="103" t="s">
        <v>4425</v>
      </c>
      <c r="B2792" s="94" t="str">
        <f>IFERROR(VLOOKUP(Proc[[#This Row],[App]],Table2[],3,0),"open")</f>
        <v>ok</v>
      </c>
      <c r="C2792" s="117" t="s">
        <v>369</v>
      </c>
      <c r="D2792" t="s">
        <v>4716</v>
      </c>
      <c r="E2792" t="s">
        <v>4747</v>
      </c>
      <c r="F2792" s="94" t="s">
        <v>4747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4788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4897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21</v>
      </c>
      <c r="R2792" s="110" t="s">
        <v>485</v>
      </c>
      <c r="S2792" s="94"/>
    </row>
    <row r="2793" spans="1:19" hidden="1">
      <c r="A2793" s="103" t="s">
        <v>4425</v>
      </c>
      <c r="B2793" s="94" t="str">
        <f>IFERROR(VLOOKUP(Proc[[#This Row],[App]],Table2[],3,0),"open")</f>
        <v>ok</v>
      </c>
      <c r="C2793" s="117" t="s">
        <v>369</v>
      </c>
      <c r="D2793" t="s">
        <v>4717</v>
      </c>
      <c r="E2793" t="s">
        <v>4754</v>
      </c>
      <c r="F2793" s="94" t="s">
        <v>4754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4788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4897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21</v>
      </c>
      <c r="R2793" s="110" t="s">
        <v>485</v>
      </c>
      <c r="S2793" s="94"/>
    </row>
    <row r="2794" spans="1:19" hidden="1">
      <c r="A2794" s="103" t="s">
        <v>4425</v>
      </c>
      <c r="B2794" s="94" t="str">
        <f>IFERROR(VLOOKUP(Proc[[#This Row],[App]],Table2[],3,0),"open")</f>
        <v>ok</v>
      </c>
      <c r="C2794" s="117" t="s">
        <v>369</v>
      </c>
      <c r="D2794" t="s">
        <v>4718</v>
      </c>
      <c r="E2794" t="s">
        <v>4754</v>
      </c>
      <c r="F2794" s="94" t="s">
        <v>4754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4788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4897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21</v>
      </c>
      <c r="R2794" s="110" t="s">
        <v>485</v>
      </c>
      <c r="S2794" s="94"/>
    </row>
    <row r="2795" spans="1:19" hidden="1">
      <c r="A2795" s="103" t="s">
        <v>4425</v>
      </c>
      <c r="B2795" s="94" t="str">
        <f>IFERROR(VLOOKUP(Proc[[#This Row],[App]],Table2[],3,0),"open")</f>
        <v>ok</v>
      </c>
      <c r="C2795" s="117" t="s">
        <v>369</v>
      </c>
      <c r="D2795" t="s">
        <v>4719</v>
      </c>
      <c r="E2795" t="s">
        <v>4752</v>
      </c>
      <c r="F2795" s="94" t="s">
        <v>4752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4788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4897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21</v>
      </c>
      <c r="R2795" s="110" t="s">
        <v>485</v>
      </c>
      <c r="S2795" s="94"/>
    </row>
    <row r="2796" spans="1:19" hidden="1">
      <c r="A2796" s="103" t="s">
        <v>4425</v>
      </c>
      <c r="B2796" s="94" t="str">
        <f>IFERROR(VLOOKUP(Proc[[#This Row],[App]],Table2[],3,0),"open")</f>
        <v>ok</v>
      </c>
      <c r="C2796" s="117" t="s">
        <v>369</v>
      </c>
      <c r="D2796" t="s">
        <v>4720</v>
      </c>
      <c r="E2796" t="s">
        <v>4752</v>
      </c>
      <c r="F2796" s="94" t="s">
        <v>4752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4788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4897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21</v>
      </c>
      <c r="R2796" s="110" t="s">
        <v>485</v>
      </c>
      <c r="S2796" s="94"/>
    </row>
    <row r="2797" spans="1:19" hidden="1">
      <c r="A2797" s="103" t="s">
        <v>4425</v>
      </c>
      <c r="B2797" s="94" t="str">
        <f>IFERROR(VLOOKUP(Proc[[#This Row],[App]],Table2[],3,0),"open")</f>
        <v>ok</v>
      </c>
      <c r="C2797" s="117" t="s">
        <v>369</v>
      </c>
      <c r="D2797" t="s">
        <v>4721</v>
      </c>
      <c r="E2797" t="s">
        <v>4752</v>
      </c>
      <c r="F2797" s="94" t="s">
        <v>4752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4788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4897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21</v>
      </c>
      <c r="R2797" s="110" t="s">
        <v>485</v>
      </c>
      <c r="S2797" s="94"/>
    </row>
    <row r="2798" spans="1:19" hidden="1">
      <c r="A2798" s="103" t="s">
        <v>4425</v>
      </c>
      <c r="B2798" s="94" t="str">
        <f>IFERROR(VLOOKUP(Proc[[#This Row],[App]],Table2[],3,0),"open")</f>
        <v>ok</v>
      </c>
      <c r="C2798" s="117" t="s">
        <v>369</v>
      </c>
      <c r="D2798" t="s">
        <v>4722</v>
      </c>
      <c r="E2798" t="s">
        <v>4752</v>
      </c>
      <c r="F2798" s="94" t="s">
        <v>4752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4788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4897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21</v>
      </c>
      <c r="R2798" s="110" t="s">
        <v>485</v>
      </c>
      <c r="S2798" s="94"/>
    </row>
    <row r="2799" spans="1:19" hidden="1">
      <c r="A2799" s="103" t="s">
        <v>4425</v>
      </c>
      <c r="B2799" s="94" t="str">
        <f>IFERROR(VLOOKUP(Proc[[#This Row],[App]],Table2[],3,0),"open")</f>
        <v>ok</v>
      </c>
      <c r="C2799" s="117" t="s">
        <v>369</v>
      </c>
      <c r="D2799" t="s">
        <v>4723</v>
      </c>
      <c r="E2799" t="s">
        <v>4754</v>
      </c>
      <c r="F2799" s="94" t="s">
        <v>4754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4788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4897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21</v>
      </c>
      <c r="R2799" s="110" t="s">
        <v>485</v>
      </c>
      <c r="S2799" s="94"/>
    </row>
    <row r="2800" spans="1:19" hidden="1">
      <c r="A2800" s="103" t="s">
        <v>4425</v>
      </c>
      <c r="B2800" s="94" t="str">
        <f>IFERROR(VLOOKUP(Proc[[#This Row],[App]],Table2[],3,0),"open")</f>
        <v>ok</v>
      </c>
      <c r="C2800" s="117" t="s">
        <v>369</v>
      </c>
      <c r="D2800" t="s">
        <v>4724</v>
      </c>
      <c r="E2800" t="s">
        <v>4754</v>
      </c>
      <c r="F2800" s="94" t="s">
        <v>4754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4788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4897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21</v>
      </c>
      <c r="R2800" s="110" t="s">
        <v>485</v>
      </c>
      <c r="S2800" s="94"/>
    </row>
    <row r="2801" spans="1:19" hidden="1">
      <c r="A2801" s="103" t="s">
        <v>4425</v>
      </c>
      <c r="B2801" s="94" t="str">
        <f>IFERROR(VLOOKUP(Proc[[#This Row],[App]],Table2[],3,0),"open")</f>
        <v>ok</v>
      </c>
      <c r="C2801" s="117" t="s">
        <v>369</v>
      </c>
      <c r="D2801" t="s">
        <v>4725</v>
      </c>
      <c r="E2801" t="s">
        <v>4754</v>
      </c>
      <c r="F2801" s="94" t="s">
        <v>4754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4788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4897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21</v>
      </c>
      <c r="R2801" s="110" t="s">
        <v>485</v>
      </c>
      <c r="S2801" s="94"/>
    </row>
    <row r="2802" spans="1:19" hidden="1">
      <c r="A2802" s="103" t="s">
        <v>4425</v>
      </c>
      <c r="B2802" s="94" t="str">
        <f>IFERROR(VLOOKUP(Proc[[#This Row],[App]],Table2[],3,0),"open")</f>
        <v>ok</v>
      </c>
      <c r="C2802" s="117" t="s">
        <v>369</v>
      </c>
      <c r="D2802" t="s">
        <v>4726</v>
      </c>
      <c r="E2802" t="s">
        <v>4754</v>
      </c>
      <c r="F2802" s="94" t="s">
        <v>4754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4788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4897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21</v>
      </c>
      <c r="R2802" s="110" t="s">
        <v>485</v>
      </c>
      <c r="S2802" s="94"/>
    </row>
    <row r="2803" spans="1:19" hidden="1">
      <c r="A2803" s="103" t="s">
        <v>4425</v>
      </c>
      <c r="B2803" s="94" t="str">
        <f>IFERROR(VLOOKUP(Proc[[#This Row],[App]],Table2[],3,0),"open")</f>
        <v>ok</v>
      </c>
      <c r="C2803" s="117" t="s">
        <v>369</v>
      </c>
      <c r="D2803" t="s">
        <v>4727</v>
      </c>
      <c r="E2803" t="s">
        <v>4756</v>
      </c>
      <c r="F2803" s="94" t="s">
        <v>4756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4788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4897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21</v>
      </c>
      <c r="R2803" s="110" t="s">
        <v>485</v>
      </c>
      <c r="S2803" s="94"/>
    </row>
    <row r="2804" spans="1:19" hidden="1">
      <c r="A2804" s="103" t="s">
        <v>4425</v>
      </c>
      <c r="B2804" s="94" t="str">
        <f>IFERROR(VLOOKUP(Proc[[#This Row],[App]],Table2[],3,0),"open")</f>
        <v>ok</v>
      </c>
      <c r="C2804" s="117" t="s">
        <v>369</v>
      </c>
      <c r="D2804" t="s">
        <v>4728</v>
      </c>
      <c r="E2804" t="s">
        <v>4757</v>
      </c>
      <c r="F2804" s="94" t="s">
        <v>4757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4788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4897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21</v>
      </c>
      <c r="R2804" s="110" t="s">
        <v>485</v>
      </c>
      <c r="S2804" s="94"/>
    </row>
    <row r="2805" spans="1:19" hidden="1">
      <c r="A2805" s="103" t="s">
        <v>4425</v>
      </c>
      <c r="B2805" s="94" t="str">
        <f>IFERROR(VLOOKUP(Proc[[#This Row],[App]],Table2[],3,0),"open")</f>
        <v>ok</v>
      </c>
      <c r="C2805" s="117" t="s">
        <v>369</v>
      </c>
      <c r="D2805" t="s">
        <v>4729</v>
      </c>
      <c r="E2805" t="s">
        <v>4757</v>
      </c>
      <c r="F2805" s="94" t="s">
        <v>4757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4788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4897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21</v>
      </c>
      <c r="R2805" s="110" t="s">
        <v>485</v>
      </c>
      <c r="S2805" s="94"/>
    </row>
    <row r="2806" spans="1:19" hidden="1">
      <c r="A2806" s="103" t="s">
        <v>4425</v>
      </c>
      <c r="B2806" s="94" t="str">
        <f>IFERROR(VLOOKUP(Proc[[#This Row],[App]],Table2[],3,0),"open")</f>
        <v>ok</v>
      </c>
      <c r="C2806" s="117" t="s">
        <v>369</v>
      </c>
      <c r="D2806" t="s">
        <v>4730</v>
      </c>
      <c r="E2806" t="s">
        <v>4757</v>
      </c>
      <c r="F2806" s="94" t="s">
        <v>4757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4788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4897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21</v>
      </c>
      <c r="R2806" s="110" t="s">
        <v>485</v>
      </c>
      <c r="S2806" s="94"/>
    </row>
    <row r="2807" spans="1:19" hidden="1">
      <c r="A2807" s="103" t="s">
        <v>4425</v>
      </c>
      <c r="B2807" s="94" t="str">
        <f>IFERROR(VLOOKUP(Proc[[#This Row],[App]],Table2[],3,0),"open")</f>
        <v>ok</v>
      </c>
      <c r="C2807" s="117" t="s">
        <v>369</v>
      </c>
      <c r="D2807" t="s">
        <v>4731</v>
      </c>
      <c r="E2807" t="s">
        <v>4757</v>
      </c>
      <c r="F2807" s="94" t="s">
        <v>4757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4788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4897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21</v>
      </c>
      <c r="R2807" s="110" t="s">
        <v>485</v>
      </c>
      <c r="S2807" s="94"/>
    </row>
    <row r="2808" spans="1:19" hidden="1">
      <c r="A2808" s="103" t="s">
        <v>4425</v>
      </c>
      <c r="B2808" s="94" t="str">
        <f>IFERROR(VLOOKUP(Proc[[#This Row],[App]],Table2[],3,0),"open")</f>
        <v>ok</v>
      </c>
      <c r="C2808" s="117" t="s">
        <v>369</v>
      </c>
      <c r="D2808" t="s">
        <v>4732</v>
      </c>
      <c r="E2808" t="s">
        <v>4754</v>
      </c>
      <c r="F2808" s="94" t="s">
        <v>4754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4788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4897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21</v>
      </c>
      <c r="R2808" s="110" t="s">
        <v>485</v>
      </c>
      <c r="S2808" s="94"/>
    </row>
    <row r="2809" spans="1:19" hidden="1">
      <c r="A2809" s="103" t="s">
        <v>4425</v>
      </c>
      <c r="B2809" s="94" t="str">
        <f>IFERROR(VLOOKUP(Proc[[#This Row],[App]],Table2[],3,0),"open")</f>
        <v>ok</v>
      </c>
      <c r="C2809" s="117" t="s">
        <v>369</v>
      </c>
      <c r="D2809" t="s">
        <v>4733</v>
      </c>
      <c r="E2809" t="s">
        <v>4753</v>
      </c>
      <c r="F2809" s="94" t="s">
        <v>4753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4788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4897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21</v>
      </c>
      <c r="R2809" s="110" t="s">
        <v>485</v>
      </c>
      <c r="S2809" s="94"/>
    </row>
    <row r="2810" spans="1:19" hidden="1">
      <c r="A2810" s="103" t="s">
        <v>4425</v>
      </c>
      <c r="B2810" s="94" t="str">
        <f>IFERROR(VLOOKUP(Proc[[#This Row],[App]],Table2[],3,0),"open")</f>
        <v>ok</v>
      </c>
      <c r="C2810" s="117" t="s">
        <v>369</v>
      </c>
      <c r="D2810" t="s">
        <v>4734</v>
      </c>
      <c r="E2810" t="s">
        <v>4753</v>
      </c>
      <c r="F2810" s="94" t="s">
        <v>4753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4788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4897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21</v>
      </c>
      <c r="R2810" s="110" t="s">
        <v>485</v>
      </c>
      <c r="S2810" s="94"/>
    </row>
    <row r="2811" spans="1:19" hidden="1">
      <c r="A2811" s="103" t="s">
        <v>4425</v>
      </c>
      <c r="B2811" s="94" t="str">
        <f>IFERROR(VLOOKUP(Proc[[#This Row],[App]],Table2[],3,0),"open")</f>
        <v>ok</v>
      </c>
      <c r="C2811" s="117" t="s">
        <v>369</v>
      </c>
      <c r="D2811" t="s">
        <v>4735</v>
      </c>
      <c r="E2811" t="s">
        <v>4757</v>
      </c>
      <c r="F2811" s="94" t="s">
        <v>4757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4788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4897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21</v>
      </c>
      <c r="R2811" s="110" t="s">
        <v>485</v>
      </c>
      <c r="S2811" s="94"/>
    </row>
    <row r="2812" spans="1:19" hidden="1">
      <c r="A2812" s="103" t="s">
        <v>4425</v>
      </c>
      <c r="B2812" s="94" t="str">
        <f>IFERROR(VLOOKUP(Proc[[#This Row],[App]],Table2[],3,0),"open")</f>
        <v>ok</v>
      </c>
      <c r="C2812" s="117" t="s">
        <v>369</v>
      </c>
      <c r="D2812" t="s">
        <v>4736</v>
      </c>
      <c r="E2812" t="s">
        <v>4743</v>
      </c>
      <c r="F2812" s="94" t="s">
        <v>4743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4788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4897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21</v>
      </c>
      <c r="R2812" s="110" t="s">
        <v>485</v>
      </c>
      <c r="S2812" s="94"/>
    </row>
    <row r="2813" spans="1:19" hidden="1">
      <c r="A2813" t="s">
        <v>4758</v>
      </c>
      <c r="B2813" s="94" t="str">
        <f>IFERROR(VLOOKUP(Proc[[#This Row],[App]],Table2[],3,0),"open")</f>
        <v>ok</v>
      </c>
      <c r="C2813" s="103" t="s">
        <v>369</v>
      </c>
      <c r="D2813" t="s">
        <v>4759</v>
      </c>
      <c r="E2813" t="s">
        <v>4767</v>
      </c>
      <c r="F2813" s="117" t="s">
        <v>4767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4788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4897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21</v>
      </c>
      <c r="R2813" s="110" t="s">
        <v>410</v>
      </c>
      <c r="S2813" s="94"/>
    </row>
    <row r="2814" spans="1:19" hidden="1">
      <c r="A2814" s="103" t="s">
        <v>4758</v>
      </c>
      <c r="B2814" s="94" t="str">
        <f>IFERROR(VLOOKUP(Proc[[#This Row],[App]],Table2[],3,0),"open")</f>
        <v>ok</v>
      </c>
      <c r="C2814" s="117" t="s">
        <v>369</v>
      </c>
      <c r="D2814" t="s">
        <v>4760</v>
      </c>
      <c r="E2814" t="s">
        <v>4767</v>
      </c>
      <c r="F2814" s="117" t="s">
        <v>4767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4788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4897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21</v>
      </c>
      <c r="R2814" s="110" t="s">
        <v>410</v>
      </c>
      <c r="S2814" s="94"/>
    </row>
    <row r="2815" spans="1:19" hidden="1">
      <c r="A2815" s="103" t="s">
        <v>4758</v>
      </c>
      <c r="B2815" s="94" t="str">
        <f>IFERROR(VLOOKUP(Proc[[#This Row],[App]],Table2[],3,0),"open")</f>
        <v>ok</v>
      </c>
      <c r="C2815" s="117" t="s">
        <v>369</v>
      </c>
      <c r="D2815" t="s">
        <v>4761</v>
      </c>
      <c r="E2815" t="s">
        <v>4767</v>
      </c>
      <c r="F2815" s="117" t="s">
        <v>4767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4788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4897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21</v>
      </c>
      <c r="R2815" s="110" t="s">
        <v>410</v>
      </c>
      <c r="S2815" s="94"/>
    </row>
    <row r="2816" spans="1:19" hidden="1">
      <c r="A2816" s="103" t="s">
        <v>4758</v>
      </c>
      <c r="B2816" s="94" t="str">
        <f>IFERROR(VLOOKUP(Proc[[#This Row],[App]],Table2[],3,0),"open")</f>
        <v>ok</v>
      </c>
      <c r="C2816" s="117" t="s">
        <v>369</v>
      </c>
      <c r="D2816" t="s">
        <v>4762</v>
      </c>
      <c r="E2816" t="s">
        <v>4767</v>
      </c>
      <c r="F2816" s="117" t="s">
        <v>4767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4788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4897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21</v>
      </c>
      <c r="R2816" s="110" t="s">
        <v>410</v>
      </c>
      <c r="S2816" s="94"/>
    </row>
    <row r="2817" spans="1:19" hidden="1">
      <c r="A2817" s="103" t="s">
        <v>4758</v>
      </c>
      <c r="B2817" s="94" t="str">
        <f>IFERROR(VLOOKUP(Proc[[#This Row],[App]],Table2[],3,0),"open")</f>
        <v>ok</v>
      </c>
      <c r="C2817" s="117" t="s">
        <v>369</v>
      </c>
      <c r="D2817" t="s">
        <v>4763</v>
      </c>
      <c r="E2817" t="s">
        <v>4767</v>
      </c>
      <c r="F2817" s="117" t="s">
        <v>4767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4788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4897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21</v>
      </c>
      <c r="R2817" s="110" t="s">
        <v>410</v>
      </c>
      <c r="S2817" s="94"/>
    </row>
    <row r="2818" spans="1:19" hidden="1">
      <c r="A2818" s="103" t="s">
        <v>4758</v>
      </c>
      <c r="B2818" s="94" t="str">
        <f>IFERROR(VLOOKUP(Proc[[#This Row],[App]],Table2[],3,0),"open")</f>
        <v>ok</v>
      </c>
      <c r="C2818" s="117" t="s">
        <v>369</v>
      </c>
      <c r="D2818" t="s">
        <v>4764</v>
      </c>
      <c r="E2818" t="s">
        <v>4767</v>
      </c>
      <c r="F2818" s="117" t="s">
        <v>4767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4788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4897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21</v>
      </c>
      <c r="R2818" s="110" t="s">
        <v>410</v>
      </c>
      <c r="S2818" s="94"/>
    </row>
    <row r="2819" spans="1:19" hidden="1">
      <c r="A2819" s="103" t="s">
        <v>4758</v>
      </c>
      <c r="B2819" s="94" t="str">
        <f>IFERROR(VLOOKUP(Proc[[#This Row],[App]],Table2[],3,0),"open")</f>
        <v>ok</v>
      </c>
      <c r="C2819" s="117" t="s">
        <v>369</v>
      </c>
      <c r="D2819" t="s">
        <v>4765</v>
      </c>
      <c r="E2819" t="s">
        <v>4767</v>
      </c>
      <c r="F2819" s="117" t="s">
        <v>4767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4897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21</v>
      </c>
      <c r="R2819" s="110" t="s">
        <v>410</v>
      </c>
      <c r="S2819" s="94"/>
    </row>
    <row r="2820" spans="1:19" hidden="1">
      <c r="A2820" s="103" t="s">
        <v>4758</v>
      </c>
      <c r="B2820" s="94" t="str">
        <f>IFERROR(VLOOKUP(Proc[[#This Row],[App]],Table2[],3,0),"open")</f>
        <v>ok</v>
      </c>
      <c r="C2820" s="117" t="s">
        <v>369</v>
      </c>
      <c r="D2820" t="s">
        <v>4766</v>
      </c>
      <c r="E2820" t="s">
        <v>4767</v>
      </c>
      <c r="F2820" s="117" t="s">
        <v>4767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4897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21</v>
      </c>
      <c r="R2820" s="110" t="s">
        <v>410</v>
      </c>
      <c r="S2820" s="94"/>
    </row>
    <row r="2821" spans="1:19" hidden="1">
      <c r="A2821" t="s">
        <v>4768</v>
      </c>
      <c r="B2821" s="94" t="str">
        <f>IFERROR(VLOOKUP(Proc[[#This Row],[App]],Table2[],3,0),"open")</f>
        <v>ok</v>
      </c>
      <c r="C2821" s="103" t="s">
        <v>369</v>
      </c>
      <c r="D2821" t="s">
        <v>4769</v>
      </c>
      <c r="E2821" t="s">
        <v>4780</v>
      </c>
      <c r="F2821" s="117" t="s">
        <v>4780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4788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4897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21</v>
      </c>
      <c r="R2821" s="94" t="s">
        <v>515</v>
      </c>
      <c r="S2821" s="94"/>
    </row>
    <row r="2822" spans="1:19" hidden="1">
      <c r="A2822" s="103" t="s">
        <v>4768</v>
      </c>
      <c r="B2822" s="94" t="str">
        <f>IFERROR(VLOOKUP(Proc[[#This Row],[App]],Table2[],3,0),"open")</f>
        <v>ok</v>
      </c>
      <c r="C2822" s="117" t="s">
        <v>369</v>
      </c>
      <c r="D2822" t="s">
        <v>4770</v>
      </c>
      <c r="E2822" t="s">
        <v>4780</v>
      </c>
      <c r="F2822" s="117" t="s">
        <v>4780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4788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4897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21</v>
      </c>
      <c r="R2822" s="94" t="s">
        <v>515</v>
      </c>
      <c r="S2822" s="94"/>
    </row>
    <row r="2823" spans="1:19" hidden="1">
      <c r="A2823" s="103" t="s">
        <v>4768</v>
      </c>
      <c r="B2823" s="94" t="str">
        <f>IFERROR(VLOOKUP(Proc[[#This Row],[App]],Table2[],3,0),"open")</f>
        <v>ok</v>
      </c>
      <c r="C2823" s="117" t="s">
        <v>369</v>
      </c>
      <c r="D2823" t="s">
        <v>4771</v>
      </c>
      <c r="E2823" t="s">
        <v>4780</v>
      </c>
      <c r="F2823" s="117" t="s">
        <v>4780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4788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4897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21</v>
      </c>
      <c r="R2823" s="94" t="s">
        <v>515</v>
      </c>
      <c r="S2823" s="94"/>
    </row>
    <row r="2824" spans="1:19" hidden="1">
      <c r="A2824" s="103" t="s">
        <v>4768</v>
      </c>
      <c r="B2824" s="94" t="str">
        <f>IFERROR(VLOOKUP(Proc[[#This Row],[App]],Table2[],3,0),"open")</f>
        <v>ok</v>
      </c>
      <c r="C2824" s="117" t="s">
        <v>369</v>
      </c>
      <c r="D2824" t="s">
        <v>4772</v>
      </c>
      <c r="E2824" t="s">
        <v>4781</v>
      </c>
      <c r="F2824" s="117" t="s">
        <v>4781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4788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4897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21</v>
      </c>
      <c r="R2824" s="94" t="s">
        <v>515</v>
      </c>
      <c r="S2824" s="94"/>
    </row>
    <row r="2825" spans="1:19" hidden="1">
      <c r="A2825" s="103" t="s">
        <v>4768</v>
      </c>
      <c r="B2825" s="94" t="str">
        <f>IFERROR(VLOOKUP(Proc[[#This Row],[App]],Table2[],3,0),"open")</f>
        <v>ok</v>
      </c>
      <c r="C2825" s="117" t="s">
        <v>369</v>
      </c>
      <c r="D2825" t="s">
        <v>4773</v>
      </c>
      <c r="E2825" t="s">
        <v>4780</v>
      </c>
      <c r="F2825" s="117" t="s">
        <v>4780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4788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4897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21</v>
      </c>
      <c r="R2825" s="94" t="s">
        <v>515</v>
      </c>
      <c r="S2825" s="94"/>
    </row>
    <row r="2826" spans="1:19" hidden="1">
      <c r="A2826" s="103" t="s">
        <v>4768</v>
      </c>
      <c r="B2826" s="94" t="str">
        <f>IFERROR(VLOOKUP(Proc[[#This Row],[App]],Table2[],3,0),"open")</f>
        <v>ok</v>
      </c>
      <c r="C2826" s="117" t="s">
        <v>369</v>
      </c>
      <c r="D2826" t="s">
        <v>4774</v>
      </c>
      <c r="E2826" t="s">
        <v>4780</v>
      </c>
      <c r="F2826" s="117" t="s">
        <v>4780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4788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4897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21</v>
      </c>
      <c r="R2826" s="94" t="s">
        <v>515</v>
      </c>
      <c r="S2826" s="94"/>
    </row>
    <row r="2827" spans="1:19" hidden="1">
      <c r="A2827" s="103" t="s">
        <v>4768</v>
      </c>
      <c r="B2827" s="94" t="str">
        <f>IFERROR(VLOOKUP(Proc[[#This Row],[App]],Table2[],3,0),"open")</f>
        <v>ok</v>
      </c>
      <c r="C2827" s="117" t="s">
        <v>369</v>
      </c>
      <c r="D2827" t="s">
        <v>4775</v>
      </c>
      <c r="E2827" t="s">
        <v>4780</v>
      </c>
      <c r="F2827" s="117" t="s">
        <v>4780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4788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4897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21</v>
      </c>
      <c r="R2827" s="94" t="s">
        <v>515</v>
      </c>
      <c r="S2827" s="94"/>
    </row>
    <row r="2828" spans="1:19" hidden="1">
      <c r="A2828" s="103" t="s">
        <v>4768</v>
      </c>
      <c r="B2828" s="94" t="str">
        <f>IFERROR(VLOOKUP(Proc[[#This Row],[App]],Table2[],3,0),"open")</f>
        <v>ok</v>
      </c>
      <c r="C2828" s="117" t="s">
        <v>369</v>
      </c>
      <c r="D2828" t="s">
        <v>4776</v>
      </c>
      <c r="E2828" t="s">
        <v>4780</v>
      </c>
      <c r="F2828" s="117" t="s">
        <v>4780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4788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4897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21</v>
      </c>
      <c r="R2828" s="94" t="s">
        <v>515</v>
      </c>
      <c r="S2828" s="94"/>
    </row>
    <row r="2829" spans="1:19" hidden="1">
      <c r="A2829" s="103" t="s">
        <v>4768</v>
      </c>
      <c r="B2829" s="94" t="str">
        <f>IFERROR(VLOOKUP(Proc[[#This Row],[App]],Table2[],3,0),"open")</f>
        <v>ok</v>
      </c>
      <c r="C2829" s="117" t="s">
        <v>369</v>
      </c>
      <c r="D2829" t="s">
        <v>4777</v>
      </c>
      <c r="E2829" t="s">
        <v>4780</v>
      </c>
      <c r="F2829" s="117" t="s">
        <v>4780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4788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4897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21</v>
      </c>
      <c r="R2829" s="94" t="s">
        <v>515</v>
      </c>
      <c r="S2829" s="94"/>
    </row>
    <row r="2830" spans="1:19" hidden="1">
      <c r="A2830" s="103" t="s">
        <v>4768</v>
      </c>
      <c r="B2830" s="94" t="str">
        <f>IFERROR(VLOOKUP(Proc[[#This Row],[App]],Table2[],3,0),"open")</f>
        <v>ok</v>
      </c>
      <c r="C2830" s="117" t="s">
        <v>369</v>
      </c>
      <c r="D2830" t="s">
        <v>4778</v>
      </c>
      <c r="E2830" t="s">
        <v>4780</v>
      </c>
      <c r="F2830" s="117" t="s">
        <v>4780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4788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4897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21</v>
      </c>
      <c r="R2830" s="94" t="s">
        <v>515</v>
      </c>
      <c r="S2830" s="94"/>
    </row>
    <row r="2831" spans="1:19" hidden="1">
      <c r="A2831" s="103" t="s">
        <v>4768</v>
      </c>
      <c r="B2831" s="94" t="str">
        <f>IFERROR(VLOOKUP(Proc[[#This Row],[App]],Table2[],3,0),"open")</f>
        <v>ok</v>
      </c>
      <c r="C2831" s="117" t="s">
        <v>369</v>
      </c>
      <c r="D2831" t="s">
        <v>4803</v>
      </c>
      <c r="E2831" t="s">
        <v>4781</v>
      </c>
      <c r="F2831" s="117" t="s">
        <v>4781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4786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4897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21</v>
      </c>
      <c r="R2831" s="94" t="s">
        <v>515</v>
      </c>
      <c r="S2831" s="94"/>
    </row>
    <row r="2832" spans="1:19" hidden="1">
      <c r="A2832" s="103" t="s">
        <v>4768</v>
      </c>
      <c r="B2832" s="94" t="str">
        <f>IFERROR(VLOOKUP(Proc[[#This Row],[App]],Table2[],3,0),"open")</f>
        <v>ok</v>
      </c>
      <c r="C2832" s="117" t="s">
        <v>369</v>
      </c>
      <c r="D2832" t="s">
        <v>4779</v>
      </c>
      <c r="E2832" t="s">
        <v>4780</v>
      </c>
      <c r="F2832" s="117" t="s">
        <v>4780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4897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21</v>
      </c>
      <c r="R2832" s="94" t="s">
        <v>515</v>
      </c>
      <c r="S2832" s="94"/>
    </row>
    <row r="2833" spans="1:19" hidden="1">
      <c r="A2833" t="s">
        <v>4785</v>
      </c>
      <c r="B2833" s="94" t="str">
        <f>IFERROR(VLOOKUP(Proc[[#This Row],[App]],Table2[],3,0),"open")</f>
        <v>ok</v>
      </c>
      <c r="C2833" s="117" t="s">
        <v>369</v>
      </c>
      <c r="D2833" t="s">
        <v>4782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4784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4897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21</v>
      </c>
      <c r="R2833" s="110" t="s">
        <v>780</v>
      </c>
      <c r="S2833" s="94"/>
    </row>
    <row r="2834" spans="1:19" hidden="1">
      <c r="A2834" s="103" t="s">
        <v>4785</v>
      </c>
      <c r="B2834" s="94" t="str">
        <f>IFERROR(VLOOKUP(Proc[[#This Row],[App]],Table2[],3,0),"open")</f>
        <v>ok</v>
      </c>
      <c r="C2834" t="s">
        <v>369</v>
      </c>
      <c r="D2834" t="s">
        <v>4783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4784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4897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21</v>
      </c>
      <c r="R2834" s="110" t="s">
        <v>780</v>
      </c>
      <c r="S2834" s="94"/>
    </row>
    <row r="2835" spans="1:19" hidden="1">
      <c r="A2835" t="s">
        <v>4789</v>
      </c>
      <c r="B2835" s="94" t="str">
        <f>IFERROR(VLOOKUP(Proc[[#This Row],[App]],Table2[],3,0),"open")</f>
        <v>ok</v>
      </c>
      <c r="C2835" s="117" t="s">
        <v>369</v>
      </c>
      <c r="D2835" t="s">
        <v>4810</v>
      </c>
      <c r="E2835" t="s">
        <v>4790</v>
      </c>
      <c r="F2835" s="94" t="s">
        <v>4790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4897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19</v>
      </c>
      <c r="R2835" s="110" t="s">
        <v>1459</v>
      </c>
      <c r="S2835" s="94"/>
    </row>
    <row r="2836" spans="1:19" hidden="1">
      <c r="A2836" s="114" t="s">
        <v>4791</v>
      </c>
      <c r="B2836" s="94" t="str">
        <f>IFERROR(VLOOKUP(Proc[[#This Row],[App]],Table2[],3,0),"open")</f>
        <v>ok</v>
      </c>
      <c r="C2836" s="117" t="s">
        <v>369</v>
      </c>
      <c r="D2836" s="114" t="s">
        <v>4792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4897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19</v>
      </c>
      <c r="R2836" s="115" t="s">
        <v>489</v>
      </c>
      <c r="S2836" s="94"/>
    </row>
    <row r="2837" spans="1:19" hidden="1">
      <c r="A2837" s="114" t="s">
        <v>4791</v>
      </c>
      <c r="B2837" s="94" t="str">
        <f>IFERROR(VLOOKUP(Proc[[#This Row],[App]],Table2[],3,0),"open")</f>
        <v>ok</v>
      </c>
      <c r="C2837" s="117" t="s">
        <v>369</v>
      </c>
      <c r="D2837" s="114" t="s">
        <v>4793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4897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19</v>
      </c>
      <c r="R2837" s="115" t="s">
        <v>489</v>
      </c>
      <c r="S2837" s="94"/>
    </row>
    <row r="2838" spans="1:19" hidden="1">
      <c r="A2838" s="114" t="s">
        <v>4791</v>
      </c>
      <c r="B2838" s="94" t="str">
        <f>IFERROR(VLOOKUP(Proc[[#This Row],[App]],Table2[],3,0),"open")</f>
        <v>ok</v>
      </c>
      <c r="C2838" s="114" t="s">
        <v>377</v>
      </c>
      <c r="D2838" s="114" t="s">
        <v>4794</v>
      </c>
      <c r="E2838" s="114" t="s">
        <v>417</v>
      </c>
      <c r="F2838" s="94" t="s">
        <v>4807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4897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19</v>
      </c>
      <c r="R2838" s="115" t="s">
        <v>489</v>
      </c>
      <c r="S2838" s="94"/>
    </row>
    <row r="2839" spans="1:19" hidden="1">
      <c r="A2839" s="114" t="s">
        <v>4791</v>
      </c>
      <c r="B2839" s="94" t="str">
        <f>IFERROR(VLOOKUP(Proc[[#This Row],[App]],Table2[],3,0),"open")</f>
        <v>ok</v>
      </c>
      <c r="C2839" s="117" t="s">
        <v>377</v>
      </c>
      <c r="D2839" s="114" t="s">
        <v>4795</v>
      </c>
      <c r="E2839" s="114" t="s">
        <v>417</v>
      </c>
      <c r="F2839" s="94" t="s">
        <v>4807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4897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19</v>
      </c>
      <c r="R2839" s="115" t="s">
        <v>489</v>
      </c>
      <c r="S2839" s="94"/>
    </row>
    <row r="2840" spans="1:19" hidden="1">
      <c r="A2840" s="114" t="s">
        <v>4791</v>
      </c>
      <c r="B2840" s="94" t="str">
        <f>IFERROR(VLOOKUP(Proc[[#This Row],[App]],Table2[],3,0),"open")</f>
        <v>ok</v>
      </c>
      <c r="C2840" s="117" t="s">
        <v>377</v>
      </c>
      <c r="D2840" s="114" t="s">
        <v>4796</v>
      </c>
      <c r="E2840" s="114" t="s">
        <v>417</v>
      </c>
      <c r="F2840" s="94" t="s">
        <v>4808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4897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19</v>
      </c>
      <c r="R2840" s="115" t="s">
        <v>489</v>
      </c>
      <c r="S2840" s="94"/>
    </row>
    <row r="2841" spans="1:19" hidden="1">
      <c r="A2841" s="114" t="s">
        <v>4791</v>
      </c>
      <c r="B2841" s="94" t="str">
        <f>IFERROR(VLOOKUP(Proc[[#This Row],[App]],Table2[],3,0),"open")</f>
        <v>ok</v>
      </c>
      <c r="C2841" s="117" t="s">
        <v>377</v>
      </c>
      <c r="D2841" s="114" t="s">
        <v>4797</v>
      </c>
      <c r="E2841" s="114" t="s">
        <v>417</v>
      </c>
      <c r="F2841" s="94" t="s">
        <v>4809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4897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19</v>
      </c>
      <c r="R2841" s="115" t="s">
        <v>489</v>
      </c>
      <c r="S2841" s="94"/>
    </row>
    <row r="2842" spans="1:19" hidden="1">
      <c r="A2842" s="114" t="s">
        <v>4791</v>
      </c>
      <c r="B2842" s="94" t="str">
        <f>IFERROR(VLOOKUP(Proc[[#This Row],[App]],Table2[],3,0),"open")</f>
        <v>ok</v>
      </c>
      <c r="C2842" s="117" t="s">
        <v>369</v>
      </c>
      <c r="D2842" s="114" t="s">
        <v>4798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4897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19</v>
      </c>
      <c r="R2842" s="115" t="s">
        <v>489</v>
      </c>
      <c r="S2842" s="94"/>
    </row>
    <row r="2843" spans="1:19" hidden="1">
      <c r="A2843" t="s">
        <v>4799</v>
      </c>
      <c r="B2843" s="94" t="str">
        <f>IFERROR(VLOOKUP(Proc[[#This Row],[App]],Table2[],3,0),"open")</f>
        <v>ok</v>
      </c>
      <c r="C2843" s="114" t="s">
        <v>369</v>
      </c>
      <c r="D2843" t="s">
        <v>4804</v>
      </c>
      <c r="E2843" t="s">
        <v>4800</v>
      </c>
      <c r="F2843" s="94" t="s">
        <v>4800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4805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4897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19</v>
      </c>
      <c r="R2843" s="115" t="s">
        <v>489</v>
      </c>
      <c r="S2843" s="94"/>
    </row>
    <row r="2844" spans="1:19" hidden="1">
      <c r="A2844" t="s">
        <v>4802</v>
      </c>
      <c r="B2844" s="94" t="str">
        <f>IFERROR(VLOOKUP(Proc[[#This Row],[App]],Table2[],3,0),"open")</f>
        <v>ok</v>
      </c>
      <c r="C2844" s="117" t="s">
        <v>369</v>
      </c>
      <c r="D2844" s="116" t="s">
        <v>4801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4897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19</v>
      </c>
      <c r="R2844" s="115" t="s">
        <v>515</v>
      </c>
      <c r="S2844" s="94"/>
    </row>
    <row r="2845" spans="1:19" hidden="1">
      <c r="A2845" t="s">
        <v>4811</v>
      </c>
      <c r="B2845" s="94" t="str">
        <f>IFERROR(VLOOKUP(Proc[[#This Row],[App]],Table2[],3,0),"open")</f>
        <v>ok</v>
      </c>
      <c r="C2845" s="117" t="s">
        <v>369</v>
      </c>
      <c r="D2845" t="s">
        <v>4812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4897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18</v>
      </c>
      <c r="R2845" s="115" t="s">
        <v>489</v>
      </c>
      <c r="S2845" s="94"/>
    </row>
    <row r="2846" spans="1:19" hidden="1">
      <c r="A2846" s="117" t="s">
        <v>4811</v>
      </c>
      <c r="B2846" s="94" t="str">
        <f>IFERROR(VLOOKUP(Proc[[#This Row],[App]],Table2[],3,0),"open")</f>
        <v>ok</v>
      </c>
      <c r="C2846" s="117" t="s">
        <v>369</v>
      </c>
      <c r="D2846" t="s">
        <v>4813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4897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18</v>
      </c>
      <c r="R2846" s="115" t="s">
        <v>489</v>
      </c>
      <c r="S2846" s="94"/>
    </row>
    <row r="2847" spans="1:19" hidden="1">
      <c r="A2847" s="117" t="s">
        <v>4811</v>
      </c>
      <c r="B2847" s="94" t="str">
        <f>IFERROR(VLOOKUP(Proc[[#This Row],[App]],Table2[],3,0),"open")</f>
        <v>ok</v>
      </c>
      <c r="C2847" s="117" t="s">
        <v>369</v>
      </c>
      <c r="D2847" t="s">
        <v>4814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4897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18</v>
      </c>
      <c r="R2847" s="115" t="s">
        <v>489</v>
      </c>
      <c r="S2847" s="94"/>
    </row>
    <row r="2848" spans="1:19" hidden="1">
      <c r="A2848" t="s">
        <v>4815</v>
      </c>
      <c r="B2848" s="94" t="str">
        <f>IFERROR(VLOOKUP(Proc[[#This Row],[App]],Table2[],3,0),"open")</f>
        <v>ok</v>
      </c>
      <c r="C2848" s="117" t="s">
        <v>369</v>
      </c>
      <c r="D2848" t="s">
        <v>4824</v>
      </c>
      <c r="E2848" s="94" t="s">
        <v>4816</v>
      </c>
      <c r="F2848" s="94" t="s">
        <v>4816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4897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17</v>
      </c>
      <c r="R2848" s="115" t="s">
        <v>4823</v>
      </c>
      <c r="S2848" s="94"/>
    </row>
    <row r="2849" spans="1:19" hidden="1">
      <c r="A2849" t="s">
        <v>4817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4897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17</v>
      </c>
      <c r="R2849" s="115" t="s">
        <v>4822</v>
      </c>
      <c r="S2849" s="94"/>
    </row>
    <row r="2850" spans="1:19" hidden="1">
      <c r="A2850" s="117" t="s">
        <v>4817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4897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17</v>
      </c>
      <c r="R2850" s="115" t="s">
        <v>4822</v>
      </c>
      <c r="S2850" s="94"/>
    </row>
    <row r="2851" spans="1:19" hidden="1">
      <c r="A2851" s="117" t="s">
        <v>4817</v>
      </c>
      <c r="B2851" s="94" t="str">
        <f>IFERROR(VLOOKUP(Proc[[#This Row],[App]],Table2[],3,0),"open")</f>
        <v>ok</v>
      </c>
      <c r="C2851" s="117" t="s">
        <v>369</v>
      </c>
      <c r="D2851" t="s">
        <v>4825</v>
      </c>
      <c r="E2851" t="s">
        <v>4818</v>
      </c>
      <c r="F2851" s="94" t="s">
        <v>4818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4897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17</v>
      </c>
      <c r="R2851" s="115" t="s">
        <v>4822</v>
      </c>
      <c r="S2851" s="94"/>
    </row>
    <row r="2852" spans="1:19" hidden="1">
      <c r="A2852" t="s">
        <v>4819</v>
      </c>
      <c r="B2852" s="94" t="str">
        <f>IFERROR(VLOOKUP(Proc[[#This Row],[App]],Table2[],3,0),"open")</f>
        <v>ok</v>
      </c>
      <c r="C2852" s="117" t="s">
        <v>369</v>
      </c>
      <c r="D2852" t="s">
        <v>4820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4897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17</v>
      </c>
      <c r="R2852" s="115" t="s">
        <v>481</v>
      </c>
      <c r="S2852" s="94"/>
    </row>
    <row r="2853" spans="1:19" hidden="1">
      <c r="A2853" s="117" t="s">
        <v>4819</v>
      </c>
      <c r="B2853" s="94" t="str">
        <f>IFERROR(VLOOKUP(Proc[[#This Row],[App]],Table2[],3,0),"open")</f>
        <v>ok</v>
      </c>
      <c r="C2853" s="117" t="s">
        <v>369</v>
      </c>
      <c r="D2853" t="s">
        <v>4821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4897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17</v>
      </c>
      <c r="R2853" s="115" t="s">
        <v>481</v>
      </c>
      <c r="S2853" s="94"/>
    </row>
    <row r="2854" spans="1:19" hidden="1">
      <c r="A2854" t="s">
        <v>4826</v>
      </c>
      <c r="B2854" s="94" t="str">
        <f>IFERROR(VLOOKUP(Proc[[#This Row],[App]],Table2[],3,0),"open")</f>
        <v>ok</v>
      </c>
      <c r="C2854" s="117" t="s">
        <v>369</v>
      </c>
      <c r="D2854" s="99" t="s">
        <v>4827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4897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16</v>
      </c>
      <c r="R2854" s="115" t="s">
        <v>410</v>
      </c>
      <c r="S2854" s="94"/>
    </row>
    <row r="2855" spans="1:19" hidden="1">
      <c r="A2855" t="s">
        <v>4828</v>
      </c>
      <c r="B2855" s="94" t="str">
        <f>IFERROR(VLOOKUP(Proc[[#This Row],[App]],Table2[],3,0),"open")</f>
        <v>ok</v>
      </c>
      <c r="C2855" s="117" t="s">
        <v>369</v>
      </c>
      <c r="D2855" t="s">
        <v>4829</v>
      </c>
      <c r="E2855" t="s">
        <v>4830</v>
      </c>
      <c r="F2855" s="117" t="s">
        <v>4830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4897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16</v>
      </c>
      <c r="R2855" s="115" t="s">
        <v>4822</v>
      </c>
      <c r="S2855" s="94"/>
    </row>
    <row r="2856" spans="1:19" hidden="1">
      <c r="A2856" t="s">
        <v>4833</v>
      </c>
      <c r="B2856" s="94" t="str">
        <f>IFERROR(VLOOKUP(Proc[[#This Row],[App]],Table2[],3,0),"open")</f>
        <v>ok</v>
      </c>
      <c r="C2856" t="s">
        <v>369</v>
      </c>
      <c r="D2856" t="s">
        <v>4834</v>
      </c>
      <c r="E2856" t="s">
        <v>4832</v>
      </c>
      <c r="F2856" s="120" t="e">
        <v>#N/A</v>
      </c>
      <c r="G2856" s="117" t="s">
        <v>406</v>
      </c>
      <c r="H2856" s="94" t="str">
        <f>IF(Proc[[#This Row],[type]]="LFF (MDG-F)",MID(Proc[[#This Row],[Obj]],13,10),"")</f>
        <v>DE50O00001</v>
      </c>
      <c r="J2856" s="94" t="e">
        <f>Proc[[#This Row],[Requested]]=Proc[[#This Row],[CurrentParent]]</f>
        <v>#N/A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4897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14</v>
      </c>
      <c r="R2856" s="115" t="s">
        <v>410</v>
      </c>
      <c r="S2856" s="94"/>
    </row>
    <row r="2857" spans="1:19" hidden="1">
      <c r="A2857" t="s">
        <v>4837</v>
      </c>
      <c r="B2857" s="120" t="str">
        <f>IFERROR(VLOOKUP(Proc[[#This Row],[App]],Table2[],3,0),"open")</f>
        <v>ok</v>
      </c>
      <c r="C2857" s="121" t="s">
        <v>369</v>
      </c>
      <c r="D2857" s="119" t="s">
        <v>4842</v>
      </c>
      <c r="E2857" t="s">
        <v>4836</v>
      </c>
      <c r="F2857" s="120" t="e">
        <v>#N/A</v>
      </c>
      <c r="G2857" t="s">
        <v>400</v>
      </c>
      <c r="H2857" s="120" t="str">
        <f>IF(Proc[[#This Row],[type]]="LFF (MDG-F)",MID(Proc[[#This Row],[Obj]],13,10),"")</f>
        <v/>
      </c>
      <c r="J2857" s="120" t="e">
        <f>Proc[[#This Row],[Requested]]=Proc[[#This Row],[CurrentParent]]</f>
        <v>#N/A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4897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13</v>
      </c>
      <c r="R2857" s="115" t="s">
        <v>410</v>
      </c>
      <c r="S2857" s="120"/>
    </row>
    <row r="2858" spans="1:19" hidden="1">
      <c r="A2858" t="s">
        <v>4841</v>
      </c>
      <c r="B2858" s="120" t="str">
        <f>IFERROR(VLOOKUP(Proc[[#This Row],[App]],Table2[],3,0),"open")</f>
        <v>ok</v>
      </c>
      <c r="C2858" s="121" t="s">
        <v>369</v>
      </c>
      <c r="D2858" t="s">
        <v>4838</v>
      </c>
      <c r="E2858" t="s">
        <v>1214</v>
      </c>
      <c r="F2858" s="120" t="e">
        <v>#N/A</v>
      </c>
      <c r="G2858" s="119" t="s">
        <v>400</v>
      </c>
      <c r="H2858" s="120" t="str">
        <f>IF(Proc[[#This Row],[type]]="LFF (MDG-F)",MID(Proc[[#This Row],[Obj]],13,10),"")</f>
        <v/>
      </c>
      <c r="J2858" s="120" t="e">
        <f>Proc[[#This Row],[Requested]]=Proc[[#This Row],[CurrentParent]]</f>
        <v>#N/A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4897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13</v>
      </c>
      <c r="R2858" s="115" t="s">
        <v>780</v>
      </c>
      <c r="S2858" s="120"/>
    </row>
    <row r="2859" spans="1:19" hidden="1">
      <c r="A2859" s="119" t="s">
        <v>4841</v>
      </c>
      <c r="B2859" s="120" t="str">
        <f>IFERROR(VLOOKUP(Proc[[#This Row],[App]],Table2[],3,0),"open")</f>
        <v>ok</v>
      </c>
      <c r="C2859" s="121" t="s">
        <v>369</v>
      </c>
      <c r="D2859" t="s">
        <v>4839</v>
      </c>
      <c r="E2859" t="s">
        <v>4840</v>
      </c>
      <c r="F2859" s="120" t="e">
        <v>#N/A</v>
      </c>
      <c r="G2859" s="119" t="s">
        <v>400</v>
      </c>
      <c r="H2859" s="120" t="str">
        <f>IF(Proc[[#This Row],[type]]="LFF (MDG-F)",MID(Proc[[#This Row],[Obj]],13,10),"")</f>
        <v/>
      </c>
      <c r="J2859" s="120" t="e">
        <f>Proc[[#This Row],[Requested]]=Proc[[#This Row],[CurrentParent]]</f>
        <v>#N/A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4897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13</v>
      </c>
      <c r="R2859" s="115" t="s">
        <v>780</v>
      </c>
      <c r="S2859" s="120"/>
    </row>
    <row r="2860" spans="1:19" hidden="1">
      <c r="A2860" t="s">
        <v>4845</v>
      </c>
      <c r="B2860" s="120" t="str">
        <f>IFERROR(VLOOKUP(Proc[[#This Row],[App]],Table2[],3,0),"open")</f>
        <v>ok</v>
      </c>
      <c r="C2860" s="121" t="s">
        <v>369</v>
      </c>
      <c r="D2860" t="s">
        <v>4843</v>
      </c>
      <c r="E2860" t="s">
        <v>4844</v>
      </c>
      <c r="F2860" s="124" t="s">
        <v>4844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4846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4897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12</v>
      </c>
      <c r="R2860" s="115" t="s">
        <v>856</v>
      </c>
      <c r="S2860" s="120"/>
    </row>
    <row r="2861" spans="1:19" hidden="1">
      <c r="A2861" t="s">
        <v>4847</v>
      </c>
      <c r="B2861" s="120" t="str">
        <f>IFERROR(VLOOKUP(Proc[[#This Row],[App]],Table2[],3,0),"open")</f>
        <v>ok</v>
      </c>
      <c r="C2861" s="121" t="s">
        <v>369</v>
      </c>
      <c r="D2861" t="s">
        <v>4848</v>
      </c>
      <c r="E2861" t="s">
        <v>3535</v>
      </c>
      <c r="F2861" s="125" t="e">
        <v>#N/A</v>
      </c>
      <c r="G2861" t="s">
        <v>400</v>
      </c>
      <c r="H2861" s="120" t="str">
        <f>IF(Proc[[#This Row],[type]]="LFF (MDG-F)",MID(Proc[[#This Row],[Obj]],13,10),"")</f>
        <v/>
      </c>
      <c r="J2861" s="120" t="e">
        <f>Proc[[#This Row],[Requested]]=Proc[[#This Row],[CurrentParent]]</f>
        <v>#N/A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4897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12</v>
      </c>
      <c r="R2861" s="115" t="s">
        <v>856</v>
      </c>
      <c r="S2861" s="120"/>
    </row>
    <row r="2862" spans="1:19" hidden="1">
      <c r="A2862" t="s">
        <v>4849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0" t="e">
        <v>#N/A</v>
      </c>
      <c r="G2862" s="121" t="s">
        <v>406</v>
      </c>
      <c r="H2862" s="120" t="str">
        <f>IF(Proc[[#This Row],[type]]="LFF (MDG-F)",MID(Proc[[#This Row],[Obj]],13,10),"")</f>
        <v>2102TPSZ93</v>
      </c>
      <c r="J2862" s="120" t="e">
        <f>Proc[[#This Row],[Requested]]=Proc[[#This Row],[CurrentParent]]</f>
        <v>#N/A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4897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12</v>
      </c>
      <c r="R2862" s="115" t="s">
        <v>489</v>
      </c>
      <c r="S2862" s="120"/>
    </row>
    <row r="2863" spans="1:19" hidden="1">
      <c r="A2863" t="s">
        <v>4851</v>
      </c>
      <c r="B2863" s="120" t="str">
        <f>IFERROR(VLOOKUP(Proc[[#This Row],[App]],Table2[],3,0),"open")</f>
        <v>ok</v>
      </c>
      <c r="C2863" s="121" t="s">
        <v>369</v>
      </c>
      <c r="D2863" t="s">
        <v>4843</v>
      </c>
      <c r="E2863" t="s">
        <v>4850</v>
      </c>
      <c r="F2863" s="124" t="s">
        <v>4850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4856</v>
      </c>
      <c r="B2864" s="120" t="str">
        <f>IFERROR(VLOOKUP(Proc[[#This Row],[App]],Table2[],3,0),"open")</f>
        <v>ok</v>
      </c>
      <c r="C2864" t="s">
        <v>369</v>
      </c>
      <c r="D2864" t="s">
        <v>4852</v>
      </c>
      <c r="E2864" t="s">
        <v>4868</v>
      </c>
      <c r="F2864" s="125" t="s">
        <v>4868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4897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10</v>
      </c>
      <c r="R2864" s="115" t="s">
        <v>515</v>
      </c>
      <c r="S2864" s="120"/>
    </row>
    <row r="2865" spans="1:19" hidden="1">
      <c r="A2865" s="121" t="s">
        <v>4856</v>
      </c>
      <c r="B2865" s="120" t="str">
        <f>IFERROR(VLOOKUP(Proc[[#This Row],[App]],Table2[],3,0),"open")</f>
        <v>ok</v>
      </c>
      <c r="C2865" s="124" t="s">
        <v>369</v>
      </c>
      <c r="D2865" t="s">
        <v>4853</v>
      </c>
      <c r="E2865" t="s">
        <v>4868</v>
      </c>
      <c r="F2865" s="125" t="s">
        <v>4868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4897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10</v>
      </c>
      <c r="R2865" s="115" t="s">
        <v>515</v>
      </c>
      <c r="S2865" s="120"/>
    </row>
    <row r="2866" spans="1:19" hidden="1">
      <c r="A2866" s="121" t="s">
        <v>4856</v>
      </c>
      <c r="B2866" s="120" t="str">
        <f>IFERROR(VLOOKUP(Proc[[#This Row],[App]],Table2[],3,0),"open")</f>
        <v>ok</v>
      </c>
      <c r="C2866" s="121" t="s">
        <v>369</v>
      </c>
      <c r="D2866" t="s">
        <v>4854</v>
      </c>
      <c r="E2866" t="s">
        <v>4867</v>
      </c>
      <c r="F2866" s="124" t="s">
        <v>4867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4897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10</v>
      </c>
      <c r="R2866" s="115" t="s">
        <v>515</v>
      </c>
      <c r="S2866" s="120"/>
    </row>
    <row r="2867" spans="1:19" hidden="1">
      <c r="A2867" s="121" t="s">
        <v>4856</v>
      </c>
      <c r="B2867" s="120" t="str">
        <f>IFERROR(VLOOKUP(Proc[[#This Row],[App]],Table2[],3,0),"open")</f>
        <v>ok</v>
      </c>
      <c r="C2867" s="124" t="s">
        <v>369</v>
      </c>
      <c r="D2867" t="s">
        <v>4855</v>
      </c>
      <c r="E2867" t="s">
        <v>4867</v>
      </c>
      <c r="F2867" s="124" t="s">
        <v>4867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4897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10</v>
      </c>
      <c r="R2867" s="115" t="s">
        <v>515</v>
      </c>
      <c r="S2867" s="120"/>
    </row>
    <row r="2868" spans="1:19" hidden="1">
      <c r="A2868" t="s">
        <v>4857</v>
      </c>
      <c r="B2868" s="120" t="str">
        <f>IFERROR(VLOOKUP(Proc[[#This Row],[App]],Table2[],3,0),"open")</f>
        <v>ok</v>
      </c>
      <c r="C2868" s="124" t="s">
        <v>369</v>
      </c>
      <c r="D2868" t="s">
        <v>4864</v>
      </c>
      <c r="E2868" t="s">
        <v>4858</v>
      </c>
      <c r="F2868" s="124" t="s">
        <v>4858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4897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10</v>
      </c>
      <c r="R2868" s="115" t="s">
        <v>415</v>
      </c>
      <c r="S2868" s="120"/>
    </row>
    <row r="2869" spans="1:19" hidden="1">
      <c r="A2869" t="s">
        <v>4860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4859</v>
      </c>
      <c r="F2869" s="124" t="s">
        <v>4859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4897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10</v>
      </c>
      <c r="R2869" s="115" t="s">
        <v>410</v>
      </c>
      <c r="S2869" s="123"/>
    </row>
    <row r="2870" spans="1:19" hidden="1">
      <c r="A2870" t="s">
        <v>4861</v>
      </c>
      <c r="B2870" s="125" t="str">
        <f>IFERROR(VLOOKUP(Proc[[#This Row],[App]],Table2[],3,0),"open")</f>
        <v>ok</v>
      </c>
      <c r="C2870" s="124" t="s">
        <v>369</v>
      </c>
      <c r="D2870" t="s">
        <v>4862</v>
      </c>
      <c r="E2870" t="s">
        <v>4863</v>
      </c>
      <c r="F2870" s="124" t="s">
        <v>4863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4897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10</v>
      </c>
      <c r="R2870" s="115" t="s">
        <v>856</v>
      </c>
      <c r="S2870" s="125"/>
    </row>
    <row r="2871" spans="1:19" hidden="1">
      <c r="A2871" t="s">
        <v>4865</v>
      </c>
      <c r="B2871" s="125" t="str">
        <f>IFERROR(VLOOKUP(Proc[[#This Row],[App]],Table2[],3,0),"open")</f>
        <v>ok</v>
      </c>
      <c r="C2871" s="124" t="s">
        <v>369</v>
      </c>
      <c r="D2871" t="s">
        <v>4866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4897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7</v>
      </c>
      <c r="R2871" s="115" t="s">
        <v>415</v>
      </c>
      <c r="S2871" s="125"/>
    </row>
    <row r="2872" spans="1:19" hidden="1">
      <c r="A2872" t="s">
        <v>4869</v>
      </c>
      <c r="B2872" s="125" t="str">
        <f>IFERROR(VLOOKUP(Proc[[#This Row],[App]],Table2[],3,0),"open")</f>
        <v>ok</v>
      </c>
      <c r="C2872" s="124" t="s">
        <v>369</v>
      </c>
      <c r="D2872" t="s">
        <v>4870</v>
      </c>
      <c r="E2872" s="124" t="s">
        <v>4902</v>
      </c>
      <c r="F2872" s="125" t="s">
        <v>4902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4897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7</v>
      </c>
      <c r="R2872" s="115" t="s">
        <v>515</v>
      </c>
      <c r="S2872" s="125"/>
    </row>
    <row r="2873" spans="1:19" hidden="1">
      <c r="A2873" s="124" t="s">
        <v>4869</v>
      </c>
      <c r="B2873" s="125" t="str">
        <f>IFERROR(VLOOKUP(Proc[[#This Row],[App]],Table2[],3,0),"open")</f>
        <v>ok</v>
      </c>
      <c r="C2873" s="124" t="s">
        <v>369</v>
      </c>
      <c r="D2873" t="s">
        <v>4871</v>
      </c>
      <c r="E2873" s="124" t="s">
        <v>4902</v>
      </c>
      <c r="F2873" s="125" t="s">
        <v>4902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4897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7</v>
      </c>
      <c r="R2873" s="115" t="s">
        <v>515</v>
      </c>
      <c r="S2873" s="125"/>
    </row>
    <row r="2874" spans="1:19" hidden="1">
      <c r="A2874" s="124" t="s">
        <v>4869</v>
      </c>
      <c r="B2874" s="125" t="str">
        <f>IFERROR(VLOOKUP(Proc[[#This Row],[App]],Table2[],3,0),"open")</f>
        <v>ok</v>
      </c>
      <c r="C2874" s="124" t="s">
        <v>369</v>
      </c>
      <c r="D2874" t="s">
        <v>4872</v>
      </c>
      <c r="E2874" s="124" t="s">
        <v>4902</v>
      </c>
      <c r="F2874" s="125" t="s">
        <v>4902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4897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7</v>
      </c>
      <c r="R2874" s="115" t="s">
        <v>515</v>
      </c>
      <c r="S2874" s="125"/>
    </row>
    <row r="2875" spans="1:19" hidden="1">
      <c r="A2875" s="124" t="s">
        <v>4869</v>
      </c>
      <c r="B2875" s="125" t="str">
        <f>IFERROR(VLOOKUP(Proc[[#This Row],[App]],Table2[],3,0),"open")</f>
        <v>ok</v>
      </c>
      <c r="C2875" s="124" t="s">
        <v>369</v>
      </c>
      <c r="D2875" t="s">
        <v>4873</v>
      </c>
      <c r="E2875" s="124" t="s">
        <v>4902</v>
      </c>
      <c r="F2875" s="125" t="s">
        <v>4902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4897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7</v>
      </c>
      <c r="R2875" s="115" t="s">
        <v>515</v>
      </c>
      <c r="S2875" s="125"/>
    </row>
    <row r="2876" spans="1:19" hidden="1">
      <c r="A2876" s="124" t="s">
        <v>4869</v>
      </c>
      <c r="B2876" s="125" t="str">
        <f>IFERROR(VLOOKUP(Proc[[#This Row],[App]],Table2[],3,0),"open")</f>
        <v>ok</v>
      </c>
      <c r="C2876" s="124" t="s">
        <v>369</v>
      </c>
      <c r="D2876" t="s">
        <v>4874</v>
      </c>
      <c r="E2876" s="124" t="s">
        <v>4902</v>
      </c>
      <c r="F2876" s="125" t="s">
        <v>4902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4897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7</v>
      </c>
      <c r="R2876" s="115" t="s">
        <v>515</v>
      </c>
      <c r="S2876" s="125"/>
    </row>
    <row r="2877" spans="1:19" hidden="1">
      <c r="A2877" s="124" t="s">
        <v>4869</v>
      </c>
      <c r="B2877" s="125" t="str">
        <f>IFERROR(VLOOKUP(Proc[[#This Row],[App]],Table2[],3,0),"open")</f>
        <v>ok</v>
      </c>
      <c r="C2877" s="124" t="s">
        <v>369</v>
      </c>
      <c r="D2877" t="s">
        <v>4875</v>
      </c>
      <c r="E2877" s="124" t="s">
        <v>4902</v>
      </c>
      <c r="F2877" s="125" t="s">
        <v>4902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4897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7</v>
      </c>
      <c r="R2877" s="115" t="s">
        <v>515</v>
      </c>
      <c r="S2877" s="125"/>
    </row>
    <row r="2878" spans="1:19" hidden="1">
      <c r="A2878" s="124" t="s">
        <v>4869</v>
      </c>
      <c r="B2878" s="125" t="str">
        <f>IFERROR(VLOOKUP(Proc[[#This Row],[App]],Table2[],3,0),"open")</f>
        <v>ok</v>
      </c>
      <c r="C2878" s="124" t="s">
        <v>369</v>
      </c>
      <c r="D2878" t="s">
        <v>4876</v>
      </c>
      <c r="E2878" s="124" t="s">
        <v>4902</v>
      </c>
      <c r="F2878" s="125" t="s">
        <v>4902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4897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7</v>
      </c>
      <c r="R2878" s="115" t="s">
        <v>515</v>
      </c>
      <c r="S2878" s="125"/>
    </row>
    <row r="2879" spans="1:19" hidden="1">
      <c r="A2879" s="124" t="s">
        <v>4869</v>
      </c>
      <c r="B2879" s="125" t="str">
        <f>IFERROR(VLOOKUP(Proc[[#This Row],[App]],Table2[],3,0),"open")</f>
        <v>ok</v>
      </c>
      <c r="C2879" s="124" t="s">
        <v>369</v>
      </c>
      <c r="D2879" t="s">
        <v>4877</v>
      </c>
      <c r="E2879" s="124" t="s">
        <v>4902</v>
      </c>
      <c r="F2879" s="125" t="s">
        <v>4902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4897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7</v>
      </c>
      <c r="R2879" s="115" t="s">
        <v>515</v>
      </c>
      <c r="S2879" s="125"/>
    </row>
    <row r="2880" spans="1:19" hidden="1">
      <c r="A2880" s="124" t="s">
        <v>4869</v>
      </c>
      <c r="B2880" s="125" t="str">
        <f>IFERROR(VLOOKUP(Proc[[#This Row],[App]],Table2[],3,0),"open")</f>
        <v>ok</v>
      </c>
      <c r="C2880" s="124" t="s">
        <v>369</v>
      </c>
      <c r="D2880" t="s">
        <v>4878</v>
      </c>
      <c r="E2880" s="124" t="s">
        <v>4902</v>
      </c>
      <c r="F2880" s="125" t="s">
        <v>4902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4897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7</v>
      </c>
      <c r="R2880" s="115" t="s">
        <v>515</v>
      </c>
      <c r="S2880" s="125"/>
    </row>
    <row r="2881" spans="1:19" hidden="1">
      <c r="A2881" s="124" t="s">
        <v>4869</v>
      </c>
      <c r="B2881" s="125" t="str">
        <f>IFERROR(VLOOKUP(Proc[[#This Row],[App]],Table2[],3,0),"open")</f>
        <v>ok</v>
      </c>
      <c r="C2881" s="124" t="s">
        <v>369</v>
      </c>
      <c r="D2881" t="s">
        <v>4879</v>
      </c>
      <c r="E2881" s="124" t="s">
        <v>4902</v>
      </c>
      <c r="F2881" s="125" t="s">
        <v>4902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4897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7</v>
      </c>
      <c r="R2881" s="115" t="s">
        <v>515</v>
      </c>
      <c r="S2881" s="125"/>
    </row>
    <row r="2882" spans="1:19" hidden="1">
      <c r="A2882" s="124" t="s">
        <v>4869</v>
      </c>
      <c r="B2882" s="125" t="str">
        <f>IFERROR(VLOOKUP(Proc[[#This Row],[App]],Table2[],3,0),"open")</f>
        <v>ok</v>
      </c>
      <c r="C2882" s="124" t="s">
        <v>369</v>
      </c>
      <c r="D2882" t="s">
        <v>4880</v>
      </c>
      <c r="E2882" s="124" t="s">
        <v>4902</v>
      </c>
      <c r="F2882" s="125" t="s">
        <v>4902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4897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7</v>
      </c>
      <c r="R2882" s="115" t="s">
        <v>515</v>
      </c>
      <c r="S2882" s="125"/>
    </row>
    <row r="2883" spans="1:19" hidden="1">
      <c r="A2883" s="124" t="s">
        <v>4869</v>
      </c>
      <c r="B2883" s="125" t="str">
        <f>IFERROR(VLOOKUP(Proc[[#This Row],[App]],Table2[],3,0),"open")</f>
        <v>ok</v>
      </c>
      <c r="C2883" s="124" t="s">
        <v>369</v>
      </c>
      <c r="D2883" t="s">
        <v>4881</v>
      </c>
      <c r="E2883" s="124" t="s">
        <v>4902</v>
      </c>
      <c r="F2883" s="125" t="s">
        <v>4902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4897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7</v>
      </c>
      <c r="R2883" s="115" t="s">
        <v>515</v>
      </c>
      <c r="S2883" s="125"/>
    </row>
    <row r="2884" spans="1:19" hidden="1">
      <c r="A2884" s="124" t="s">
        <v>4869</v>
      </c>
      <c r="B2884" s="125" t="str">
        <f>IFERROR(VLOOKUP(Proc[[#This Row],[App]],Table2[],3,0),"open")</f>
        <v>ok</v>
      </c>
      <c r="C2884" s="124" t="s">
        <v>369</v>
      </c>
      <c r="D2884" t="s">
        <v>4882</v>
      </c>
      <c r="E2884" s="124" t="s">
        <v>4902</v>
      </c>
      <c r="F2884" s="125" t="s">
        <v>4902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4897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7</v>
      </c>
      <c r="R2884" s="115" t="s">
        <v>515</v>
      </c>
      <c r="S2884" s="125"/>
    </row>
    <row r="2885" spans="1:19" hidden="1">
      <c r="A2885" s="124" t="s">
        <v>4869</v>
      </c>
      <c r="B2885" s="125" t="str">
        <f>IFERROR(VLOOKUP(Proc[[#This Row],[App]],Table2[],3,0),"open")</f>
        <v>ok</v>
      </c>
      <c r="C2885" s="124" t="s">
        <v>369</v>
      </c>
      <c r="D2885" t="s">
        <v>4883</v>
      </c>
      <c r="E2885" s="124" t="s">
        <v>4902</v>
      </c>
      <c r="F2885" s="125" t="s">
        <v>4902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4897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7</v>
      </c>
      <c r="R2885" s="115" t="s">
        <v>515</v>
      </c>
      <c r="S2885" s="125"/>
    </row>
    <row r="2886" spans="1:19" hidden="1">
      <c r="A2886" s="124" t="s">
        <v>4869</v>
      </c>
      <c r="B2886" s="125" t="str">
        <f>IFERROR(VLOOKUP(Proc[[#This Row],[App]],Table2[],3,0),"open")</f>
        <v>ok</v>
      </c>
      <c r="C2886" s="124" t="s">
        <v>369</v>
      </c>
      <c r="D2886" t="s">
        <v>4884</v>
      </c>
      <c r="E2886" s="124" t="s">
        <v>4902</v>
      </c>
      <c r="F2886" s="125" t="s">
        <v>4902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4897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7</v>
      </c>
      <c r="R2886" s="115" t="s">
        <v>515</v>
      </c>
      <c r="S2886" s="125"/>
    </row>
    <row r="2887" spans="1:19" hidden="1">
      <c r="A2887" s="124" t="s">
        <v>4869</v>
      </c>
      <c r="B2887" s="125" t="str">
        <f>IFERROR(VLOOKUP(Proc[[#This Row],[App]],Table2[],3,0),"open")</f>
        <v>ok</v>
      </c>
      <c r="C2887" s="124" t="s">
        <v>369</v>
      </c>
      <c r="D2887" t="s">
        <v>4885</v>
      </c>
      <c r="E2887" s="124" t="s">
        <v>4902</v>
      </c>
      <c r="F2887" s="125" t="s">
        <v>4902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4897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7</v>
      </c>
      <c r="R2887" s="115" t="s">
        <v>515</v>
      </c>
      <c r="S2887" s="125"/>
    </row>
    <row r="2888" spans="1:19" hidden="1">
      <c r="A2888" s="124" t="s">
        <v>4869</v>
      </c>
      <c r="B2888" s="125" t="str">
        <f>IFERROR(VLOOKUP(Proc[[#This Row],[App]],Table2[],3,0),"open")</f>
        <v>ok</v>
      </c>
      <c r="C2888" s="124" t="s">
        <v>369</v>
      </c>
      <c r="D2888" t="s">
        <v>4886</v>
      </c>
      <c r="E2888" t="s">
        <v>4902</v>
      </c>
      <c r="F2888" s="125" t="s">
        <v>4902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4897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7</v>
      </c>
      <c r="R2888" s="115" t="s">
        <v>515</v>
      </c>
      <c r="S2888" s="125"/>
    </row>
    <row r="2889" spans="1:19" hidden="1">
      <c r="A2889" s="124" t="s">
        <v>4869</v>
      </c>
      <c r="B2889" s="125" t="str">
        <f>IFERROR(VLOOKUP(Proc[[#This Row],[App]],Table2[],3,0),"open")</f>
        <v>ok</v>
      </c>
      <c r="C2889" s="124" t="s">
        <v>369</v>
      </c>
      <c r="D2889" t="s">
        <v>4887</v>
      </c>
      <c r="E2889" s="124" t="s">
        <v>4902</v>
      </c>
      <c r="F2889" s="125" t="s">
        <v>4902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4897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7</v>
      </c>
      <c r="R2889" s="115" t="s">
        <v>515</v>
      </c>
      <c r="S2889" s="125"/>
    </row>
    <row r="2890" spans="1:19" hidden="1">
      <c r="A2890" t="s">
        <v>4895</v>
      </c>
      <c r="B2890" s="125" t="str">
        <f>IFERROR(VLOOKUP(Proc[[#This Row],[App]],Table2[],3,0),"open")</f>
        <v>ok</v>
      </c>
      <c r="C2890" s="124" t="s">
        <v>369</v>
      </c>
      <c r="D2890" t="s">
        <v>4888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4897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7</v>
      </c>
      <c r="R2890" s="115" t="s">
        <v>489</v>
      </c>
      <c r="S2890" s="125"/>
    </row>
    <row r="2891" spans="1:19" hidden="1">
      <c r="A2891" s="124" t="s">
        <v>4895</v>
      </c>
      <c r="B2891" s="125" t="str">
        <f>IFERROR(VLOOKUP(Proc[[#This Row],[App]],Table2[],3,0),"open")</f>
        <v>ok</v>
      </c>
      <c r="C2891" s="124" t="s">
        <v>369</v>
      </c>
      <c r="D2891" t="s">
        <v>4896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4897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7</v>
      </c>
      <c r="R2891" s="115" t="s">
        <v>489</v>
      </c>
      <c r="S2891" s="125"/>
    </row>
    <row r="2892" spans="1:19" hidden="1">
      <c r="A2892" s="124" t="s">
        <v>4895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4893</v>
      </c>
      <c r="F2892" s="125" t="s">
        <v>4893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4897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7</v>
      </c>
      <c r="R2892" s="115" t="s">
        <v>489</v>
      </c>
      <c r="S2892" s="125"/>
    </row>
    <row r="2893" spans="1:19" hidden="1">
      <c r="A2893" s="124" t="s">
        <v>4895</v>
      </c>
      <c r="B2893" s="125" t="str">
        <f>IFERROR(VLOOKUP(Proc[[#This Row],[App]],Table2[],3,0),"open")</f>
        <v>ok</v>
      </c>
      <c r="C2893" s="124" t="s">
        <v>369</v>
      </c>
      <c r="D2893" t="s">
        <v>4889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4897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7</v>
      </c>
      <c r="R2893" s="115" t="s">
        <v>489</v>
      </c>
      <c r="S2893" s="125"/>
    </row>
    <row r="2894" spans="1:19" hidden="1">
      <c r="A2894" s="124" t="s">
        <v>4895</v>
      </c>
      <c r="B2894" s="125" t="str">
        <f>IFERROR(VLOOKUP(Proc[[#This Row],[App]],Table2[],3,0),"open")</f>
        <v>ok</v>
      </c>
      <c r="C2894" s="124" t="s">
        <v>369</v>
      </c>
      <c r="D2894" t="s">
        <v>4890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4897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7</v>
      </c>
      <c r="R2894" s="115" t="s">
        <v>489</v>
      </c>
      <c r="S2894" s="125"/>
    </row>
    <row r="2895" spans="1:19" hidden="1">
      <c r="A2895" s="124" t="s">
        <v>4895</v>
      </c>
      <c r="B2895" s="125" t="str">
        <f>IFERROR(VLOOKUP(Proc[[#This Row],[App]],Table2[],3,0),"open")</f>
        <v>ok</v>
      </c>
      <c r="C2895" s="124" t="s">
        <v>369</v>
      </c>
      <c r="D2895" t="s">
        <v>4891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4897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7</v>
      </c>
      <c r="R2895" s="115" t="s">
        <v>489</v>
      </c>
      <c r="S2895" s="125"/>
    </row>
    <row r="2896" spans="1:19" hidden="1">
      <c r="A2896" s="124" t="s">
        <v>4895</v>
      </c>
      <c r="B2896" s="125" t="str">
        <f>IFERROR(VLOOKUP(Proc[[#This Row],[App]],Table2[],3,0),"open")</f>
        <v>ok</v>
      </c>
      <c r="C2896" s="124" t="s">
        <v>369</v>
      </c>
      <c r="D2896" t="s">
        <v>4892</v>
      </c>
      <c r="E2896" s="124" t="s">
        <v>4894</v>
      </c>
      <c r="F2896" s="125" t="s">
        <v>4894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4897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7</v>
      </c>
      <c r="R2896" s="115" t="s">
        <v>489</v>
      </c>
      <c r="S2896" s="125"/>
    </row>
    <row r="2897" spans="1:19" hidden="1">
      <c r="A2897" t="s">
        <v>4898</v>
      </c>
      <c r="B2897" s="125" t="str">
        <f>IFERROR(VLOOKUP(Proc[[#This Row],[App]],Table2[],3,0),"open")</f>
        <v>ok</v>
      </c>
      <c r="C2897" s="124" t="s">
        <v>369</v>
      </c>
      <c r="D2897" t="s">
        <v>4900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4897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7</v>
      </c>
      <c r="R2897" s="115" t="s">
        <v>972</v>
      </c>
      <c r="S2897" s="125"/>
    </row>
    <row r="2898" spans="1:19" hidden="1">
      <c r="A2898" s="124" t="s">
        <v>4898</v>
      </c>
      <c r="B2898" s="125" t="str">
        <f>IFERROR(VLOOKUP(Proc[[#This Row],[App]],Table2[],3,0),"open")</f>
        <v>ok</v>
      </c>
      <c r="C2898" s="124" t="s">
        <v>369</v>
      </c>
      <c r="D2898" t="s">
        <v>4901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4897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7</v>
      </c>
      <c r="R2898" s="115" t="s">
        <v>972</v>
      </c>
      <c r="S2898" s="125"/>
    </row>
    <row r="2899" spans="1:19" hidden="1">
      <c r="A2899" s="124" t="s">
        <v>4898</v>
      </c>
      <c r="B2899" s="125" t="str">
        <f>IFERROR(VLOOKUP(Proc[[#This Row],[App]],Table2[],3,0),"open")</f>
        <v>ok</v>
      </c>
      <c r="C2899" s="124" t="s">
        <v>369</v>
      </c>
      <c r="D2899" t="s">
        <v>4899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4897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7</v>
      </c>
      <c r="R2899" s="115" t="s">
        <v>972</v>
      </c>
      <c r="S2899" s="125"/>
    </row>
    <row r="2900" spans="1:19" hidden="1">
      <c r="A2900" t="s">
        <v>4905</v>
      </c>
      <c r="B2900" s="125" t="str">
        <f>IFERROR(VLOOKUP(Proc[[#This Row],[App]],Table2[],3,0),"open")</f>
        <v>ok</v>
      </c>
      <c r="C2900" t="s">
        <v>369</v>
      </c>
      <c r="D2900" t="s">
        <v>4903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4913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4897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6</v>
      </c>
      <c r="R2900" s="115" t="s">
        <v>515</v>
      </c>
      <c r="S2900" s="125"/>
    </row>
    <row r="2901" spans="1:19" hidden="1">
      <c r="A2901" t="s">
        <v>4905</v>
      </c>
      <c r="B2901" s="125" t="str">
        <f>IFERROR(VLOOKUP(Proc[[#This Row],[App]],Table2[],3,0),"open")</f>
        <v>ok</v>
      </c>
      <c r="C2901" s="124" t="s">
        <v>369</v>
      </c>
      <c r="D2901" t="s">
        <v>4904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4913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4897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6</v>
      </c>
      <c r="R2901" s="115" t="s">
        <v>515</v>
      </c>
      <c r="S2901" s="125"/>
    </row>
    <row r="2902" spans="1:19" hidden="1">
      <c r="A2902" t="s">
        <v>4906</v>
      </c>
      <c r="B2902" s="125" t="str">
        <f>IFERROR(VLOOKUP(Proc[[#This Row],[App]],Table2[],3,0),"open")</f>
        <v>ok</v>
      </c>
      <c r="C2902" s="124" t="s">
        <v>369</v>
      </c>
      <c r="D2902" t="s">
        <v>4903</v>
      </c>
      <c r="E2902" t="s">
        <v>4908</v>
      </c>
      <c r="F2902" s="125" t="s">
        <v>4908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4897</v>
      </c>
      <c r="M2902" s="115">
        <v>45866.516793981478</v>
      </c>
      <c r="N2902" s="113"/>
      <c r="O2902" s="113"/>
      <c r="P2902" s="115" t="str">
        <f ca="1">IF(Proc[[#This Row],[DaysAgeing]]&gt;5,"yep","on track")</f>
        <v>on track</v>
      </c>
      <c r="Q2902" s="3">
        <f ca="1">IF(Proc[[#This Row],[DateClosed]]="",ABS(NETWORKDAYS(Proc[[#This Row],[DateOpened]],TODAY()))-1,ABS(NETWORKDAYS(Proc[[#This Row],[DateOpened]],Proc[[#This Row],[DateClosed]]))-1)</f>
        <v>4</v>
      </c>
      <c r="R2902" s="115" t="s">
        <v>515</v>
      </c>
      <c r="S2902" s="125"/>
    </row>
    <row r="2903" spans="1:19" hidden="1">
      <c r="A2903" s="124" t="s">
        <v>4906</v>
      </c>
      <c r="B2903" s="125" t="str">
        <f>IFERROR(VLOOKUP(Proc[[#This Row],[App]],Table2[],3,0),"open")</f>
        <v>ok</v>
      </c>
      <c r="C2903" s="124" t="s">
        <v>369</v>
      </c>
      <c r="D2903" t="s">
        <v>4904</v>
      </c>
      <c r="E2903" t="s">
        <v>4908</v>
      </c>
      <c r="F2903" s="125" t="s">
        <v>4908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4897</v>
      </c>
      <c r="M2903" s="115">
        <v>45866.516793981478</v>
      </c>
      <c r="N2903" s="113"/>
      <c r="O2903" s="113"/>
      <c r="P2903" s="115" t="str">
        <f ca="1">IF(Proc[[#This Row],[DaysAgeing]]&gt;5,"yep","on track")</f>
        <v>on track</v>
      </c>
      <c r="Q2903" s="3">
        <f ca="1">IF(Proc[[#This Row],[DateClosed]]="",ABS(NETWORKDAYS(Proc[[#This Row],[DateOpened]],TODAY()))-1,ABS(NETWORKDAYS(Proc[[#This Row],[DateOpened]],Proc[[#This Row],[DateClosed]]))-1)</f>
        <v>4</v>
      </c>
      <c r="R2903" s="115" t="s">
        <v>515</v>
      </c>
      <c r="S2903" s="125"/>
    </row>
    <row r="2904" spans="1:19" hidden="1">
      <c r="A2904" s="124" t="s">
        <v>4906</v>
      </c>
      <c r="B2904" s="125" t="str">
        <f>IFERROR(VLOOKUP(Proc[[#This Row],[App]],Table2[],3,0),"open")</f>
        <v>ok</v>
      </c>
      <c r="C2904" s="124" t="s">
        <v>369</v>
      </c>
      <c r="D2904" t="s">
        <v>4907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4897</v>
      </c>
      <c r="M2904" s="115">
        <v>45866.516793981478</v>
      </c>
      <c r="N2904" s="113"/>
      <c r="O2904" s="113"/>
      <c r="P2904" s="115" t="str">
        <f ca="1">IF(Proc[[#This Row],[DaysAgeing]]&gt;5,"yep","on track")</f>
        <v>on track</v>
      </c>
      <c r="Q2904" s="3">
        <f ca="1">IF(Proc[[#This Row],[DateClosed]]="",ABS(NETWORKDAYS(Proc[[#This Row],[DateOpened]],TODAY()))-1,ABS(NETWORKDAYS(Proc[[#This Row],[DateOpened]],Proc[[#This Row],[DateClosed]]))-1)</f>
        <v>4</v>
      </c>
      <c r="R2904" s="115" t="s">
        <v>515</v>
      </c>
      <c r="S2904" s="125"/>
    </row>
    <row r="2905" spans="1:19" hidden="1">
      <c r="A2905" t="s">
        <v>4909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4923</v>
      </c>
      <c r="F2905" s="125" t="s">
        <v>4923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4897</v>
      </c>
      <c r="M2905" s="115">
        <v>45866.516793981478</v>
      </c>
      <c r="N2905" s="113"/>
      <c r="O2905" s="113"/>
      <c r="P2905" s="115" t="str">
        <f ca="1">IF(Proc[[#This Row],[DaysAgeing]]&gt;5,"yep","on track")</f>
        <v>on track</v>
      </c>
      <c r="Q2905" s="3">
        <f ca="1">IF(Proc[[#This Row],[DateClosed]]="",ABS(NETWORKDAYS(Proc[[#This Row],[DateOpened]],TODAY()))-1,ABS(NETWORKDAYS(Proc[[#This Row],[DateOpened]],Proc[[#This Row],[DateClosed]]))-1)</f>
        <v>4</v>
      </c>
      <c r="R2905" s="115" t="s">
        <v>489</v>
      </c>
      <c r="S2905" s="125"/>
    </row>
    <row r="2906" spans="1:19" hidden="1">
      <c r="A2906" s="124" t="s">
        <v>4909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4923</v>
      </c>
      <c r="F2906" s="125" t="s">
        <v>4923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4897</v>
      </c>
      <c r="M2906" s="115">
        <v>45866.516793981478</v>
      </c>
      <c r="N2906" s="113"/>
      <c r="O2906" s="113"/>
      <c r="P2906" s="115" t="str">
        <f ca="1">IF(Proc[[#This Row],[DaysAgeing]]&gt;5,"yep","on track")</f>
        <v>on track</v>
      </c>
      <c r="Q2906" s="3">
        <f ca="1">IF(Proc[[#This Row],[DateClosed]]="",ABS(NETWORKDAYS(Proc[[#This Row],[DateOpened]],TODAY()))-1,ABS(NETWORKDAYS(Proc[[#This Row],[DateOpened]],Proc[[#This Row],[DateClosed]]))-1)</f>
        <v>4</v>
      </c>
      <c r="R2906" s="115" t="s">
        <v>489</v>
      </c>
      <c r="S2906" s="125"/>
    </row>
    <row r="2907" spans="1:19" hidden="1">
      <c r="A2907" t="s">
        <v>4910</v>
      </c>
      <c r="B2907" s="125" t="str">
        <f>IFERROR(VLOOKUP(Proc[[#This Row],[App]],Table2[],3,0),"open")</f>
        <v>ok</v>
      </c>
      <c r="C2907" s="124" t="s">
        <v>369</v>
      </c>
      <c r="D2907" t="s">
        <v>4911</v>
      </c>
      <c r="E2907" t="s">
        <v>4912</v>
      </c>
      <c r="F2907" s="125" t="s">
        <v>4912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4897</v>
      </c>
      <c r="M2907" s="115">
        <v>45866.516793981478</v>
      </c>
      <c r="N2907" s="113"/>
      <c r="O2907" s="113"/>
      <c r="P2907" s="115" t="str">
        <f ca="1">IF(Proc[[#This Row],[DaysAgeing]]&gt;5,"yep","on track")</f>
        <v>on track</v>
      </c>
      <c r="Q2907" s="3">
        <f ca="1">IF(Proc[[#This Row],[DateClosed]]="",ABS(NETWORKDAYS(Proc[[#This Row],[DateOpened]],TODAY()))-1,ABS(NETWORKDAYS(Proc[[#This Row],[DateOpened]],Proc[[#This Row],[DateClosed]]))-1)</f>
        <v>4</v>
      </c>
      <c r="R2907" s="115" t="s">
        <v>972</v>
      </c>
      <c r="S2907" s="125"/>
    </row>
    <row r="2908" spans="1:19" hidden="1">
      <c r="A2908" t="s">
        <v>4920</v>
      </c>
      <c r="B2908" s="125" t="str">
        <f>IFERROR(VLOOKUP(Proc[[#This Row],[App]],Table2[],3,0),"open")</f>
        <v>open</v>
      </c>
      <c r="C2908" t="s">
        <v>369</v>
      </c>
      <c r="D2908" t="s">
        <v>4914</v>
      </c>
      <c r="E2908" t="s">
        <v>4917</v>
      </c>
      <c r="F2908" s="124" t="s">
        <v>4917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4897</v>
      </c>
      <c r="M2908" s="115">
        <v>45866.516793981478</v>
      </c>
      <c r="N2908" s="113"/>
      <c r="O2908" s="113"/>
      <c r="P2908" s="115" t="str">
        <f ca="1">IF(Proc[[#This Row],[DaysAgeing]]&gt;5,"yep","on track")</f>
        <v>on track</v>
      </c>
      <c r="Q2908" s="3">
        <f ca="1">IF(Proc[[#This Row],[DateClosed]]="",ABS(NETWORKDAYS(Proc[[#This Row],[DateOpened]],TODAY()))-1,ABS(NETWORKDAYS(Proc[[#This Row],[DateOpened]],Proc[[#This Row],[DateClosed]]))-1)</f>
        <v>4</v>
      </c>
      <c r="R2908" s="115" t="s">
        <v>764</v>
      </c>
      <c r="S2908" s="125"/>
    </row>
    <row r="2909" spans="1:19" hidden="1">
      <c r="A2909" s="124" t="s">
        <v>4920</v>
      </c>
      <c r="B2909" s="125" t="str">
        <f>IFERROR(VLOOKUP(Proc[[#This Row],[App]],Table2[],3,0),"open")</f>
        <v>open</v>
      </c>
      <c r="C2909" s="124" t="s">
        <v>369</v>
      </c>
      <c r="D2909" t="s">
        <v>4915</v>
      </c>
      <c r="E2909" t="s">
        <v>4918</v>
      </c>
      <c r="F2909" s="124" t="s">
        <v>4918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4897</v>
      </c>
      <c r="M2909" s="115">
        <v>45866.516793981478</v>
      </c>
      <c r="N2909" s="113"/>
      <c r="O2909" s="113"/>
      <c r="P2909" s="115" t="str">
        <f ca="1">IF(Proc[[#This Row],[DaysAgeing]]&gt;5,"yep","on track")</f>
        <v>on track</v>
      </c>
      <c r="Q2909" s="3">
        <f ca="1">IF(Proc[[#This Row],[DateClosed]]="",ABS(NETWORKDAYS(Proc[[#This Row],[DateOpened]],TODAY()))-1,ABS(NETWORKDAYS(Proc[[#This Row],[DateOpened]],Proc[[#This Row],[DateClosed]]))-1)</f>
        <v>4</v>
      </c>
      <c r="R2909" s="115" t="s">
        <v>764</v>
      </c>
      <c r="S2909" s="125"/>
    </row>
    <row r="2910" spans="1:19" hidden="1">
      <c r="A2910" s="124" t="s">
        <v>4920</v>
      </c>
      <c r="B2910" s="125" t="str">
        <f>IFERROR(VLOOKUP(Proc[[#This Row],[App]],Table2[],3,0),"open")</f>
        <v>open</v>
      </c>
      <c r="C2910" s="124" t="s">
        <v>369</v>
      </c>
      <c r="D2910" t="s">
        <v>4916</v>
      </c>
      <c r="E2910" t="s">
        <v>4919</v>
      </c>
      <c r="F2910" s="124" t="s">
        <v>4919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4897</v>
      </c>
      <c r="M2910" s="115">
        <v>45866.516793981478</v>
      </c>
      <c r="N2910" s="113"/>
      <c r="O2910" s="113"/>
      <c r="P2910" s="115" t="str">
        <f ca="1">IF(Proc[[#This Row],[DaysAgeing]]&gt;5,"yep","on track")</f>
        <v>on track</v>
      </c>
      <c r="Q2910" s="3">
        <f ca="1">IF(Proc[[#This Row],[DateClosed]]="",ABS(NETWORKDAYS(Proc[[#This Row],[DateOpened]],TODAY()))-1,ABS(NETWORKDAYS(Proc[[#This Row],[DateOpened]],Proc[[#This Row],[DateClosed]]))-1)</f>
        <v>4</v>
      </c>
      <c r="R2910" s="115" t="s">
        <v>764</v>
      </c>
      <c r="S2910" s="125"/>
    </row>
    <row r="2911" spans="1:19" hidden="1">
      <c r="A2911" t="s">
        <v>4922</v>
      </c>
      <c r="B2911" s="125" t="str">
        <f>IFERROR(VLOOKUP(Proc[[#This Row],[App]],Table2[],3,0),"open")</f>
        <v>open</v>
      </c>
      <c r="C2911" s="124" t="s">
        <v>369</v>
      </c>
      <c r="D2911" t="s">
        <v>4921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4897</v>
      </c>
      <c r="M2911" s="115">
        <v>45866.516793981478</v>
      </c>
      <c r="N2911" s="113"/>
      <c r="O2911" s="113"/>
      <c r="P2911" s="115" t="str">
        <f ca="1">IF(Proc[[#This Row],[DaysAgeing]]&gt;5,"yep","on track")</f>
        <v>on track</v>
      </c>
      <c r="Q2911" s="3">
        <f ca="1">IF(Proc[[#This Row],[DateClosed]]="",ABS(NETWORKDAYS(Proc[[#This Row],[DateOpened]],TODAY()))-1,ABS(NETWORKDAYS(Proc[[#This Row],[DateOpened]],Proc[[#This Row],[DateClosed]]))-1)</f>
        <v>4</v>
      </c>
      <c r="R2911" s="115" t="s">
        <v>410</v>
      </c>
      <c r="S2911" s="125"/>
    </row>
    <row r="2912" spans="1:19" hidden="1">
      <c r="A2912" t="s">
        <v>4938</v>
      </c>
      <c r="B2912" s="125" t="str">
        <f>IFERROR(VLOOKUP(Proc[[#This Row],[App]],Table2[],3,0),"open")</f>
        <v>open</v>
      </c>
      <c r="C2912" s="124" t="s">
        <v>369</v>
      </c>
      <c r="D2912" t="s">
        <v>4926</v>
      </c>
      <c r="E2912" t="s">
        <v>4932</v>
      </c>
      <c r="F2912" s="125" t="str">
        <f>VLOOKUP(Proc[[#This Row],[Obj]],Sheet2!A:B,2,0)</f>
        <v>L000013375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4897</v>
      </c>
      <c r="M2912" s="113">
        <v>45868</v>
      </c>
      <c r="N2912" s="113"/>
      <c r="O2912" s="113"/>
      <c r="P2912" s="115" t="str">
        <f ca="1">IF(Proc[[#This Row],[DaysAgeing]]&gt;5,"yep","on track")</f>
        <v>on track</v>
      </c>
      <c r="Q2912" s="3">
        <f ca="1">IF(Proc[[#This Row],[DateClosed]]="",ABS(NETWORKDAYS(Proc[[#This Row],[DateOpened]],TODAY()))-1,ABS(NETWORKDAYS(Proc[[#This Row],[DateOpened]],Proc[[#This Row],[DateClosed]]))-1)</f>
        <v>2</v>
      </c>
      <c r="R2912" s="115" t="s">
        <v>972</v>
      </c>
      <c r="S2912" s="125"/>
    </row>
    <row r="2913" spans="1:19" hidden="1">
      <c r="A2913" s="124" t="s">
        <v>4938</v>
      </c>
      <c r="B2913" s="125" t="str">
        <f>IFERROR(VLOOKUP(Proc[[#This Row],[App]],Table2[],3,0),"open")</f>
        <v>open</v>
      </c>
      <c r="C2913" s="124" t="s">
        <v>369</v>
      </c>
      <c r="D2913" t="s">
        <v>4927</v>
      </c>
      <c r="E2913" t="s">
        <v>4933</v>
      </c>
      <c r="F2913" s="125" t="str">
        <f>VLOOKUP(Proc[[#This Row],[Obj]],Sheet2!A:B,2,0)</f>
        <v>L000013120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4897</v>
      </c>
      <c r="M2913" s="113">
        <v>45868</v>
      </c>
      <c r="N2913" s="113"/>
      <c r="O2913" s="113"/>
      <c r="P2913" s="115" t="str">
        <f ca="1">IF(Proc[[#This Row],[DaysAgeing]]&gt;5,"yep","on track")</f>
        <v>on track</v>
      </c>
      <c r="Q2913" s="3">
        <f ca="1">IF(Proc[[#This Row],[DateClosed]]="",ABS(NETWORKDAYS(Proc[[#This Row],[DateOpened]],TODAY()))-1,ABS(NETWORKDAYS(Proc[[#This Row],[DateOpened]],Proc[[#This Row],[DateClosed]]))-1)</f>
        <v>2</v>
      </c>
      <c r="R2913" s="115" t="s">
        <v>972</v>
      </c>
      <c r="S2913" s="125"/>
    </row>
    <row r="2914" spans="1:19" hidden="1">
      <c r="A2914" s="124" t="s">
        <v>4938</v>
      </c>
      <c r="B2914" s="125" t="str">
        <f>IFERROR(VLOOKUP(Proc[[#This Row],[App]],Table2[],3,0),"open")</f>
        <v>open</v>
      </c>
      <c r="C2914" s="124" t="s">
        <v>369</v>
      </c>
      <c r="D2914" t="s">
        <v>4928</v>
      </c>
      <c r="E2914" t="s">
        <v>4934</v>
      </c>
      <c r="F2914" s="125" t="str">
        <f>VLOOKUP(Proc[[#This Row],[Obj]],Sheet2!A:B,2,0)</f>
        <v>L000013436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4897</v>
      </c>
      <c r="M2914" s="113">
        <v>45868</v>
      </c>
      <c r="N2914" s="113"/>
      <c r="O2914" s="113"/>
      <c r="P2914" s="115" t="str">
        <f ca="1">IF(Proc[[#This Row],[DaysAgeing]]&gt;5,"yep","on track")</f>
        <v>on track</v>
      </c>
      <c r="Q2914" s="3">
        <f ca="1">IF(Proc[[#This Row],[DateClosed]]="",ABS(NETWORKDAYS(Proc[[#This Row],[DateOpened]],TODAY()))-1,ABS(NETWORKDAYS(Proc[[#This Row],[DateOpened]],Proc[[#This Row],[DateClosed]]))-1)</f>
        <v>2</v>
      </c>
      <c r="R2914" s="115" t="s">
        <v>972</v>
      </c>
      <c r="S2914" s="125"/>
    </row>
    <row r="2915" spans="1:19" hidden="1">
      <c r="A2915" s="124" t="s">
        <v>4938</v>
      </c>
      <c r="B2915" s="125" t="str">
        <f>IFERROR(VLOOKUP(Proc[[#This Row],[App]],Table2[],3,0),"open")</f>
        <v>open</v>
      </c>
      <c r="C2915" s="124" t="s">
        <v>369</v>
      </c>
      <c r="D2915" t="s">
        <v>4929</v>
      </c>
      <c r="E2915" t="s">
        <v>4935</v>
      </c>
      <c r="F2915" s="125" t="str">
        <f>VLOOKUP(Proc[[#This Row],[Obj]],Sheet2!A:B,2,0)</f>
        <v>L000013276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4897</v>
      </c>
      <c r="M2915" s="113">
        <v>45868</v>
      </c>
      <c r="N2915" s="113"/>
      <c r="O2915" s="113"/>
      <c r="P2915" s="115" t="str">
        <f ca="1">IF(Proc[[#This Row],[DaysAgeing]]&gt;5,"yep","on track")</f>
        <v>on track</v>
      </c>
      <c r="Q2915" s="3">
        <f ca="1">IF(Proc[[#This Row],[DateClosed]]="",ABS(NETWORKDAYS(Proc[[#This Row],[DateOpened]],TODAY()))-1,ABS(NETWORKDAYS(Proc[[#This Row],[DateOpened]],Proc[[#This Row],[DateClosed]]))-1)</f>
        <v>2</v>
      </c>
      <c r="R2915" s="115" t="s">
        <v>972</v>
      </c>
      <c r="S2915" s="125"/>
    </row>
    <row r="2916" spans="1:19" hidden="1">
      <c r="A2916" s="124" t="s">
        <v>4938</v>
      </c>
      <c r="B2916" s="125" t="str">
        <f>IFERROR(VLOOKUP(Proc[[#This Row],[App]],Table2[],3,0),"open")</f>
        <v>open</v>
      </c>
      <c r="C2916" s="124" t="s">
        <v>369</v>
      </c>
      <c r="D2916" t="s">
        <v>4930</v>
      </c>
      <c r="E2916" t="s">
        <v>2206</v>
      </c>
      <c r="F2916" s="125" t="str">
        <f>VLOOKUP(Proc[[#This Row],[Obj]],Sheet2!A:B,2,0)</f>
        <v>L000010037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4897</v>
      </c>
      <c r="M2916" s="113">
        <v>45868</v>
      </c>
      <c r="N2916" s="113"/>
      <c r="O2916" s="113"/>
      <c r="P2916" s="115" t="str">
        <f ca="1">IF(Proc[[#This Row],[DaysAgeing]]&gt;5,"yep","on track")</f>
        <v>on track</v>
      </c>
      <c r="Q2916" s="3">
        <f ca="1">IF(Proc[[#This Row],[DateClosed]]="",ABS(NETWORKDAYS(Proc[[#This Row],[DateOpened]],TODAY()))-1,ABS(NETWORKDAYS(Proc[[#This Row],[DateOpened]],Proc[[#This Row],[DateClosed]]))-1)</f>
        <v>2</v>
      </c>
      <c r="R2916" s="115" t="s">
        <v>972</v>
      </c>
      <c r="S2916" s="125"/>
    </row>
    <row r="2917" spans="1:19" hidden="1">
      <c r="A2917" s="124" t="s">
        <v>4938</v>
      </c>
      <c r="B2917" s="125" t="str">
        <f>IFERROR(VLOOKUP(Proc[[#This Row],[App]],Table2[],3,0),"open")</f>
        <v>open</v>
      </c>
      <c r="C2917" s="124" t="s">
        <v>369</v>
      </c>
      <c r="D2917" t="s">
        <v>4931</v>
      </c>
      <c r="E2917" t="s">
        <v>4936</v>
      </c>
      <c r="F2917" s="125" t="str">
        <f>VLOOKUP(Proc[[#This Row],[Obj]],Sheet2!A:B,2,0)</f>
        <v>L000011306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4897</v>
      </c>
      <c r="M2917" s="113">
        <v>45868</v>
      </c>
      <c r="N2917" s="113"/>
      <c r="O2917" s="113"/>
      <c r="P2917" s="115" t="str">
        <f ca="1">IF(Proc[[#This Row],[DaysAgeing]]&gt;5,"yep","on track")</f>
        <v>on track</v>
      </c>
      <c r="Q2917" s="3">
        <f ca="1">IF(Proc[[#This Row],[DateClosed]]="",ABS(NETWORKDAYS(Proc[[#This Row],[DateOpened]],TODAY()))-1,ABS(NETWORKDAYS(Proc[[#This Row],[DateOpened]],Proc[[#This Row],[DateClosed]]))-1)</f>
        <v>2</v>
      </c>
      <c r="R2917" s="115" t="s">
        <v>972</v>
      </c>
      <c r="S2917" s="125"/>
    </row>
    <row r="2918" spans="1:19" hidden="1">
      <c r="A2918" s="124" t="s">
        <v>4938</v>
      </c>
      <c r="B2918" s="125" t="str">
        <f>IFERROR(VLOOKUP(Proc[[#This Row],[App]],Table2[],3,0),"open")</f>
        <v>open</v>
      </c>
      <c r="C2918" s="124" t="s">
        <v>369</v>
      </c>
      <c r="D2918" t="s">
        <v>4937</v>
      </c>
      <c r="E2918" t="s">
        <v>2815</v>
      </c>
      <c r="F2918" s="125" t="str">
        <f>VLOOKUP(Proc[[#This Row],[Obj]],Sheet2!A:B,2,0)</f>
        <v>L000006623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4897</v>
      </c>
      <c r="M2918" s="113">
        <v>45868</v>
      </c>
      <c r="N2918" s="113"/>
      <c r="O2918" s="113"/>
      <c r="P2918" s="115" t="str">
        <f ca="1">IF(Proc[[#This Row],[DaysAgeing]]&gt;5,"yep","on track")</f>
        <v>on track</v>
      </c>
      <c r="Q2918" s="3">
        <f ca="1">IF(Proc[[#This Row],[DateClosed]]="",ABS(NETWORKDAYS(Proc[[#This Row],[DateOpened]],TODAY()))-1,ABS(NETWORKDAYS(Proc[[#This Row],[DateOpened]],Proc[[#This Row],[DateClosed]]))-1)</f>
        <v>2</v>
      </c>
      <c r="R2918" s="115" t="s">
        <v>972</v>
      </c>
      <c r="S2918" s="125"/>
    </row>
    <row r="2919" spans="1:19">
      <c r="A2919" t="s">
        <v>4947</v>
      </c>
      <c r="B2919" s="125" t="str">
        <f>IFERROR(VLOOKUP(Proc[[#This Row],[App]],Table2[],3,0),"open")</f>
        <v>open</v>
      </c>
      <c r="C2919" t="s">
        <v>375</v>
      </c>
      <c r="D2919" t="s">
        <v>4969</v>
      </c>
      <c r="E2919" t="s">
        <v>4948</v>
      </c>
      <c r="F2919" s="125" t="str">
        <f>VLOOKUP(Proc[[#This Row],[Obj]],Sheet2!A:B,2,0)</f>
        <v>G000001129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0</v>
      </c>
      <c r="K2919" s="125" t="str">
        <f>IF(Proc[[#This Row],[Author]]="Marcela Urrego",VLOOKUP(LEFT(Proc[[#This Row],[Requested]],1),Table3[#All],2,0),VLOOKUP(Proc[[#This Row],[Author]],Table4[],2,0))</f>
        <v>MGF</v>
      </c>
      <c r="L2919" s="125" t="s">
        <v>4897</v>
      </c>
      <c r="M2919" s="113">
        <v>45868</v>
      </c>
      <c r="N2919" s="113"/>
      <c r="O2919" s="113"/>
      <c r="P2919" s="115" t="str">
        <f ca="1">IF(Proc[[#This Row],[DaysAgeing]]&gt;5,"yep","on track")</f>
        <v>on track</v>
      </c>
      <c r="Q2919" s="3">
        <f ca="1">IF(Proc[[#This Row],[DateClosed]]="",ABS(NETWORKDAYS(Proc[[#This Row],[DateOpened]],TODAY()))-1,ABS(NETWORKDAYS(Proc[[#This Row],[DateOpened]],Proc[[#This Row],[DateClosed]]))-1)</f>
        <v>2</v>
      </c>
      <c r="R2919" s="115" t="s">
        <v>515</v>
      </c>
      <c r="S2919" s="125"/>
    </row>
    <row r="2920" spans="1:19">
      <c r="A2920" s="124" t="s">
        <v>4947</v>
      </c>
      <c r="B2920" s="125" t="str">
        <f>IFERROR(VLOOKUP(Proc[[#This Row],[App]],Table2[],3,0),"open")</f>
        <v>open</v>
      </c>
      <c r="C2920" s="124" t="s">
        <v>370</v>
      </c>
      <c r="D2920" t="s">
        <v>4954</v>
      </c>
      <c r="E2920" t="s">
        <v>4949</v>
      </c>
      <c r="F2920" s="125" t="str">
        <f>VLOOKUP(Proc[[#This Row],[Obj]],Sheet2!A:B,2,0)</f>
        <v>H000000772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0</v>
      </c>
      <c r="K2920" s="125" t="str">
        <f>IF(Proc[[#This Row],[Author]]="Marcela Urrego",VLOOKUP(LEFT(Proc[[#This Row],[Requested]],1),Table3[#All],2,0),VLOOKUP(Proc[[#This Row],[Author]],Table4[],2,0))</f>
        <v>HC</v>
      </c>
      <c r="L2920" s="125" t="s">
        <v>4897</v>
      </c>
      <c r="M2920" s="113">
        <v>45869</v>
      </c>
      <c r="N2920" s="113"/>
      <c r="O2920" s="113"/>
      <c r="P2920" s="115" t="str">
        <f ca="1">IF(Proc[[#This Row],[DaysAgeing]]&gt;5,"yep","on track")</f>
        <v>on track</v>
      </c>
      <c r="Q2920" s="3">
        <f ca="1">IF(Proc[[#This Row],[DateClosed]]="",ABS(NETWORKDAYS(Proc[[#This Row],[DateOpened]],TODAY()))-1,ABS(NETWORKDAYS(Proc[[#This Row],[DateOpened]],Proc[[#This Row],[DateClosed]]))-1)</f>
        <v>1</v>
      </c>
      <c r="R2920" s="115" t="s">
        <v>415</v>
      </c>
      <c r="S2920" s="125"/>
    </row>
    <row r="2921" spans="1:19">
      <c r="A2921" s="124" t="s">
        <v>4947</v>
      </c>
      <c r="B2921" s="125" t="str">
        <f>IFERROR(VLOOKUP(Proc[[#This Row],[App]],Table2[],3,0),"open")</f>
        <v>open</v>
      </c>
      <c r="C2921" s="124" t="s">
        <v>370</v>
      </c>
      <c r="D2921" t="s">
        <v>4955</v>
      </c>
      <c r="E2921" t="s">
        <v>4949</v>
      </c>
      <c r="F2921" s="125" t="str">
        <f>VLOOKUP(Proc[[#This Row],[Obj]],Sheet2!A:B,2,0)</f>
        <v>H000000772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0</v>
      </c>
      <c r="K2921" s="125" t="str">
        <f>IF(Proc[[#This Row],[Author]]="Marcela Urrego",VLOOKUP(LEFT(Proc[[#This Row],[Requested]],1),Table3[#All],2,0),VLOOKUP(Proc[[#This Row],[Author]],Table4[],2,0))</f>
        <v>HC</v>
      </c>
      <c r="L2921" s="125" t="s">
        <v>4897</v>
      </c>
      <c r="M2921" s="113">
        <v>45869</v>
      </c>
      <c r="N2921" s="113"/>
      <c r="O2921" s="113"/>
      <c r="P2921" s="115" t="str">
        <f ca="1">IF(Proc[[#This Row],[DaysAgeing]]&gt;5,"yep","on track")</f>
        <v>on track</v>
      </c>
      <c r="Q2921" s="3">
        <f ca="1">IF(Proc[[#This Row],[DateClosed]]="",ABS(NETWORKDAYS(Proc[[#This Row],[DateOpened]],TODAY()))-1,ABS(NETWORKDAYS(Proc[[#This Row],[DateOpened]],Proc[[#This Row],[DateClosed]]))-1)</f>
        <v>1</v>
      </c>
      <c r="R2921" s="115" t="s">
        <v>415</v>
      </c>
      <c r="S2921" s="125"/>
    </row>
    <row r="2922" spans="1:19">
      <c r="A2922" s="124" t="s">
        <v>4947</v>
      </c>
      <c r="B2922" s="125" t="str">
        <f>IFERROR(VLOOKUP(Proc[[#This Row],[App]],Table2[],3,0),"open")</f>
        <v>open</v>
      </c>
      <c r="C2922" s="124" t="s">
        <v>370</v>
      </c>
      <c r="D2922" t="s">
        <v>4956</v>
      </c>
      <c r="E2922" t="s">
        <v>4950</v>
      </c>
      <c r="F2922" s="125" t="str">
        <f>VLOOKUP(Proc[[#This Row],[Obj]],Sheet2!A:B,2,0)</f>
        <v>H000000772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0</v>
      </c>
      <c r="K2922" s="125" t="str">
        <f>IF(Proc[[#This Row],[Author]]="Marcela Urrego",VLOOKUP(LEFT(Proc[[#This Row],[Requested]],1),Table3[#All],2,0),VLOOKUP(Proc[[#This Row],[Author]],Table4[],2,0))</f>
        <v>HC</v>
      </c>
      <c r="L2922" s="125" t="s">
        <v>4897</v>
      </c>
      <c r="M2922" s="113">
        <v>45869</v>
      </c>
      <c r="N2922" s="113"/>
      <c r="O2922" s="113"/>
      <c r="P2922" s="115" t="str">
        <f ca="1">IF(Proc[[#This Row],[DaysAgeing]]&gt;5,"yep","on track")</f>
        <v>on track</v>
      </c>
      <c r="Q2922" s="3">
        <f ca="1">IF(Proc[[#This Row],[DateClosed]]="",ABS(NETWORKDAYS(Proc[[#This Row],[DateOpened]],TODAY()))-1,ABS(NETWORKDAYS(Proc[[#This Row],[DateOpened]],Proc[[#This Row],[DateClosed]]))-1)</f>
        <v>1</v>
      </c>
      <c r="R2922" s="115" t="s">
        <v>415</v>
      </c>
      <c r="S2922" s="125"/>
    </row>
    <row r="2923" spans="1:19">
      <c r="A2923" s="124" t="s">
        <v>4947</v>
      </c>
      <c r="B2923" s="125" t="str">
        <f>IFERROR(VLOOKUP(Proc[[#This Row],[App]],Table2[],3,0),"open")</f>
        <v>open</v>
      </c>
      <c r="C2923" s="124" t="s">
        <v>370</v>
      </c>
      <c r="D2923" t="s">
        <v>4957</v>
      </c>
      <c r="E2923" t="s">
        <v>4950</v>
      </c>
      <c r="F2923" s="125" t="str">
        <f>VLOOKUP(Proc[[#This Row],[Obj]],Sheet2!A:B,2,0)</f>
        <v>H000000772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0</v>
      </c>
      <c r="K2923" s="125" t="str">
        <f>IF(Proc[[#This Row],[Author]]="Marcela Urrego",VLOOKUP(LEFT(Proc[[#This Row],[Requested]],1),Table3[#All],2,0),VLOOKUP(Proc[[#This Row],[Author]],Table4[],2,0))</f>
        <v>HC</v>
      </c>
      <c r="L2923" s="125" t="s">
        <v>4897</v>
      </c>
      <c r="M2923" s="113">
        <v>45869</v>
      </c>
      <c r="N2923" s="113"/>
      <c r="O2923" s="113"/>
      <c r="P2923" s="115" t="str">
        <f ca="1">IF(Proc[[#This Row],[DaysAgeing]]&gt;5,"yep","on track")</f>
        <v>on track</v>
      </c>
      <c r="Q2923" s="3">
        <f ca="1">IF(Proc[[#This Row],[DateClosed]]="",ABS(NETWORKDAYS(Proc[[#This Row],[DateOpened]],TODAY()))-1,ABS(NETWORKDAYS(Proc[[#This Row],[DateOpened]],Proc[[#This Row],[DateClosed]]))-1)</f>
        <v>1</v>
      </c>
      <c r="R2923" s="115" t="s">
        <v>415</v>
      </c>
      <c r="S2923" s="125"/>
    </row>
    <row r="2924" spans="1:19">
      <c r="A2924" s="124" t="s">
        <v>4947</v>
      </c>
      <c r="B2924" s="125" t="str">
        <f>IFERROR(VLOOKUP(Proc[[#This Row],[App]],Table2[],3,0),"open")</f>
        <v>open</v>
      </c>
      <c r="C2924" s="124" t="s">
        <v>370</v>
      </c>
      <c r="D2924" t="s">
        <v>4958</v>
      </c>
      <c r="E2924" t="s">
        <v>4950</v>
      </c>
      <c r="F2924" s="125" t="str">
        <f>VLOOKUP(Proc[[#This Row],[Obj]],Sheet2!A:B,2,0)</f>
        <v>H000000772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0</v>
      </c>
      <c r="K2924" s="125" t="str">
        <f>IF(Proc[[#This Row],[Author]]="Marcela Urrego",VLOOKUP(LEFT(Proc[[#This Row],[Requested]],1),Table3[#All],2,0),VLOOKUP(Proc[[#This Row],[Author]],Table4[],2,0))</f>
        <v>HC</v>
      </c>
      <c r="L2924" s="125" t="s">
        <v>4897</v>
      </c>
      <c r="M2924" s="113">
        <v>45869</v>
      </c>
      <c r="N2924" s="113"/>
      <c r="O2924" s="113"/>
      <c r="P2924" s="115" t="str">
        <f ca="1">IF(Proc[[#This Row],[DaysAgeing]]&gt;5,"yep","on track")</f>
        <v>on track</v>
      </c>
      <c r="Q2924" s="3">
        <f ca="1">IF(Proc[[#This Row],[DateClosed]]="",ABS(NETWORKDAYS(Proc[[#This Row],[DateOpened]],TODAY()))-1,ABS(NETWORKDAYS(Proc[[#This Row],[DateOpened]],Proc[[#This Row],[DateClosed]]))-1)</f>
        <v>1</v>
      </c>
      <c r="R2924" s="115" t="s">
        <v>415</v>
      </c>
      <c r="S2924" s="125"/>
    </row>
    <row r="2925" spans="1:19">
      <c r="A2925" s="124" t="s">
        <v>4947</v>
      </c>
      <c r="B2925" s="125" t="str">
        <f>IFERROR(VLOOKUP(Proc[[#This Row],[App]],Table2[],3,0),"open")</f>
        <v>open</v>
      </c>
      <c r="C2925" s="124" t="s">
        <v>370</v>
      </c>
      <c r="D2925" t="s">
        <v>4959</v>
      </c>
      <c r="E2925" t="s">
        <v>4950</v>
      </c>
      <c r="F2925" s="125" t="str">
        <f>VLOOKUP(Proc[[#This Row],[Obj]],Sheet2!A:B,2,0)</f>
        <v>H000000772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0</v>
      </c>
      <c r="K2925" s="125" t="str">
        <f>IF(Proc[[#This Row],[Author]]="Marcela Urrego",VLOOKUP(LEFT(Proc[[#This Row],[Requested]],1),Table3[#All],2,0),VLOOKUP(Proc[[#This Row],[Author]],Table4[],2,0))</f>
        <v>HC</v>
      </c>
      <c r="L2925" s="125" t="s">
        <v>4897</v>
      </c>
      <c r="M2925" s="113">
        <v>45869</v>
      </c>
      <c r="N2925" s="113"/>
      <c r="O2925" s="113"/>
      <c r="P2925" s="115" t="str">
        <f ca="1">IF(Proc[[#This Row],[DaysAgeing]]&gt;5,"yep","on track")</f>
        <v>on track</v>
      </c>
      <c r="Q2925" s="3">
        <f ca="1">IF(Proc[[#This Row],[DateClosed]]="",ABS(NETWORKDAYS(Proc[[#This Row],[DateOpened]],TODAY()))-1,ABS(NETWORKDAYS(Proc[[#This Row],[DateOpened]],Proc[[#This Row],[DateClosed]]))-1)</f>
        <v>1</v>
      </c>
      <c r="R2925" s="115" t="s">
        <v>415</v>
      </c>
      <c r="S2925" s="125"/>
    </row>
    <row r="2926" spans="1:19">
      <c r="A2926" s="124" t="s">
        <v>4947</v>
      </c>
      <c r="B2926" s="125" t="str">
        <f>IFERROR(VLOOKUP(Proc[[#This Row],[App]],Table2[],3,0),"open")</f>
        <v>open</v>
      </c>
      <c r="C2926" s="124" t="s">
        <v>370</v>
      </c>
      <c r="D2926" t="s">
        <v>4960</v>
      </c>
      <c r="E2926" t="s">
        <v>4950</v>
      </c>
      <c r="F2926" s="125" t="str">
        <f>VLOOKUP(Proc[[#This Row],[Obj]],Sheet2!A:B,2,0)</f>
        <v>H000000772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0</v>
      </c>
      <c r="K2926" s="125" t="str">
        <f>IF(Proc[[#This Row],[Author]]="Marcela Urrego",VLOOKUP(LEFT(Proc[[#This Row],[Requested]],1),Table3[#All],2,0),VLOOKUP(Proc[[#This Row],[Author]],Table4[],2,0))</f>
        <v>HC</v>
      </c>
      <c r="L2926" s="125" t="s">
        <v>4897</v>
      </c>
      <c r="M2926" s="113">
        <v>45869</v>
      </c>
      <c r="N2926" s="113"/>
      <c r="O2926" s="113"/>
      <c r="P2926" s="115" t="str">
        <f ca="1">IF(Proc[[#This Row],[DaysAgeing]]&gt;5,"yep","on track")</f>
        <v>on track</v>
      </c>
      <c r="Q2926" s="3">
        <f ca="1">IF(Proc[[#This Row],[DateClosed]]="",ABS(NETWORKDAYS(Proc[[#This Row],[DateOpened]],TODAY()))-1,ABS(NETWORKDAYS(Proc[[#This Row],[DateOpened]],Proc[[#This Row],[DateClosed]]))-1)</f>
        <v>1</v>
      </c>
      <c r="R2926" s="115" t="s">
        <v>415</v>
      </c>
      <c r="S2926" s="125"/>
    </row>
    <row r="2927" spans="1:19">
      <c r="A2927" s="124" t="s">
        <v>4947</v>
      </c>
      <c r="B2927" s="125" t="str">
        <f>IFERROR(VLOOKUP(Proc[[#This Row],[App]],Table2[],3,0),"open")</f>
        <v>open</v>
      </c>
      <c r="C2927" s="124" t="s">
        <v>370</v>
      </c>
      <c r="D2927" t="s">
        <v>4961</v>
      </c>
      <c r="E2927" t="s">
        <v>4950</v>
      </c>
      <c r="F2927" s="125" t="str">
        <f>VLOOKUP(Proc[[#This Row],[Obj]],Sheet2!A:B,2,0)</f>
        <v>H000000772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0</v>
      </c>
      <c r="K2927" s="125" t="str">
        <f>IF(Proc[[#This Row],[Author]]="Marcela Urrego",VLOOKUP(LEFT(Proc[[#This Row],[Requested]],1),Table3[#All],2,0),VLOOKUP(Proc[[#This Row],[Author]],Table4[],2,0))</f>
        <v>HC</v>
      </c>
      <c r="L2927" s="125" t="s">
        <v>4897</v>
      </c>
      <c r="M2927" s="113">
        <v>45869</v>
      </c>
      <c r="N2927" s="113"/>
      <c r="O2927" s="113"/>
      <c r="P2927" s="115" t="str">
        <f ca="1">IF(Proc[[#This Row],[DaysAgeing]]&gt;5,"yep","on track")</f>
        <v>on track</v>
      </c>
      <c r="Q2927" s="3">
        <f ca="1">IF(Proc[[#This Row],[DateClosed]]="",ABS(NETWORKDAYS(Proc[[#This Row],[DateOpened]],TODAY()))-1,ABS(NETWORKDAYS(Proc[[#This Row],[DateOpened]],Proc[[#This Row],[DateClosed]]))-1)</f>
        <v>1</v>
      </c>
      <c r="R2927" s="115" t="s">
        <v>415</v>
      </c>
      <c r="S2927" s="125"/>
    </row>
    <row r="2928" spans="1:19">
      <c r="A2928" s="124" t="s">
        <v>4947</v>
      </c>
      <c r="B2928" s="125" t="str">
        <f>IFERROR(VLOOKUP(Proc[[#This Row],[App]],Table2[],3,0),"open")</f>
        <v>open</v>
      </c>
      <c r="C2928" s="124" t="s">
        <v>370</v>
      </c>
      <c r="D2928" t="s">
        <v>4962</v>
      </c>
      <c r="E2928" t="s">
        <v>4950</v>
      </c>
      <c r="F2928" s="125" t="str">
        <f>VLOOKUP(Proc[[#This Row],[Obj]],Sheet2!A:B,2,0)</f>
        <v>H000000772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0</v>
      </c>
      <c r="K2928" s="125" t="str">
        <f>IF(Proc[[#This Row],[Author]]="Marcela Urrego",VLOOKUP(LEFT(Proc[[#This Row],[Requested]],1),Table3[#All],2,0),VLOOKUP(Proc[[#This Row],[Author]],Table4[],2,0))</f>
        <v>HC</v>
      </c>
      <c r="L2928" s="125" t="s">
        <v>4897</v>
      </c>
      <c r="M2928" s="113">
        <v>45869</v>
      </c>
      <c r="N2928" s="113"/>
      <c r="O2928" s="113"/>
      <c r="P2928" s="115" t="str">
        <f ca="1">IF(Proc[[#This Row],[DaysAgeing]]&gt;5,"yep","on track")</f>
        <v>on track</v>
      </c>
      <c r="Q2928" s="3">
        <f ca="1">IF(Proc[[#This Row],[DateClosed]]="",ABS(NETWORKDAYS(Proc[[#This Row],[DateOpened]],TODAY()))-1,ABS(NETWORKDAYS(Proc[[#This Row],[DateOpened]],Proc[[#This Row],[DateClosed]]))-1)</f>
        <v>1</v>
      </c>
      <c r="R2928" s="115" t="s">
        <v>415</v>
      </c>
      <c r="S2928" s="125"/>
    </row>
    <row r="2929" spans="1:19">
      <c r="A2929" s="124" t="s">
        <v>4947</v>
      </c>
      <c r="B2929" s="125" t="str">
        <f>IFERROR(VLOOKUP(Proc[[#This Row],[App]],Table2[],3,0),"open")</f>
        <v>open</v>
      </c>
      <c r="C2929" s="124" t="s">
        <v>370</v>
      </c>
      <c r="D2929" t="s">
        <v>2823</v>
      </c>
      <c r="E2929" t="s">
        <v>4951</v>
      </c>
      <c r="F2929" s="125" t="str">
        <f>VLOOKUP(Proc[[#This Row],[Obj]],Sheet2!A:B,2,0)</f>
        <v>H000000773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0</v>
      </c>
      <c r="K2929" s="125" t="str">
        <f>IF(Proc[[#This Row],[Author]]="Marcela Urrego",VLOOKUP(LEFT(Proc[[#This Row],[Requested]],1),Table3[#All],2,0),VLOOKUP(Proc[[#This Row],[Author]],Table4[],2,0))</f>
        <v>HC</v>
      </c>
      <c r="L2929" s="125" t="s">
        <v>4897</v>
      </c>
      <c r="M2929" s="113">
        <v>45869</v>
      </c>
      <c r="N2929" s="113"/>
      <c r="O2929" s="113"/>
      <c r="P2929" s="115" t="str">
        <f ca="1">IF(Proc[[#This Row],[DaysAgeing]]&gt;5,"yep","on track")</f>
        <v>on track</v>
      </c>
      <c r="Q2929" s="3">
        <f ca="1">IF(Proc[[#This Row],[DateClosed]]="",ABS(NETWORKDAYS(Proc[[#This Row],[DateOpened]],TODAY()))-1,ABS(NETWORKDAYS(Proc[[#This Row],[DateOpened]],Proc[[#This Row],[DateClosed]]))-1)</f>
        <v>1</v>
      </c>
      <c r="R2929" s="115" t="s">
        <v>415</v>
      </c>
      <c r="S2929" s="125"/>
    </row>
    <row r="2930" spans="1:19">
      <c r="A2930" s="124" t="s">
        <v>4947</v>
      </c>
      <c r="B2930" s="125" t="str">
        <f>IFERROR(VLOOKUP(Proc[[#This Row],[App]],Table2[],3,0),"open")</f>
        <v>open</v>
      </c>
      <c r="C2930" s="124" t="s">
        <v>370</v>
      </c>
      <c r="D2930" t="s">
        <v>2824</v>
      </c>
      <c r="E2930" t="s">
        <v>4951</v>
      </c>
      <c r="F2930" s="125" t="str">
        <f>VLOOKUP(Proc[[#This Row],[Obj]],Sheet2!A:B,2,0)</f>
        <v>H000000773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0</v>
      </c>
      <c r="K2930" s="125" t="str">
        <f>IF(Proc[[#This Row],[Author]]="Marcela Urrego",VLOOKUP(LEFT(Proc[[#This Row],[Requested]],1),Table3[#All],2,0),VLOOKUP(Proc[[#This Row],[Author]],Table4[],2,0))</f>
        <v>HC</v>
      </c>
      <c r="L2930" s="125" t="s">
        <v>4897</v>
      </c>
      <c r="M2930" s="113">
        <v>45869</v>
      </c>
      <c r="N2930" s="113"/>
      <c r="O2930" s="113"/>
      <c r="P2930" s="115" t="str">
        <f ca="1">IF(Proc[[#This Row],[DaysAgeing]]&gt;5,"yep","on track")</f>
        <v>on track</v>
      </c>
      <c r="Q2930" s="3">
        <f ca="1">IF(Proc[[#This Row],[DateClosed]]="",ABS(NETWORKDAYS(Proc[[#This Row],[DateOpened]],TODAY()))-1,ABS(NETWORKDAYS(Proc[[#This Row],[DateOpened]],Proc[[#This Row],[DateClosed]]))-1)</f>
        <v>1</v>
      </c>
      <c r="R2930" s="115" t="s">
        <v>415</v>
      </c>
      <c r="S2930" s="125"/>
    </row>
    <row r="2931" spans="1:19">
      <c r="A2931" s="124" t="s">
        <v>4947</v>
      </c>
      <c r="B2931" s="125" t="str">
        <f>IFERROR(VLOOKUP(Proc[[#This Row],[App]],Table2[],3,0),"open")</f>
        <v>open</v>
      </c>
      <c r="C2931" s="124" t="s">
        <v>370</v>
      </c>
      <c r="D2931" t="s">
        <v>2822</v>
      </c>
      <c r="E2931" t="s">
        <v>4951</v>
      </c>
      <c r="F2931" s="125" t="str">
        <f>VLOOKUP(Proc[[#This Row],[Obj]],Sheet2!A:B,2,0)</f>
        <v>H000000773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0</v>
      </c>
      <c r="K2931" s="125" t="str">
        <f>IF(Proc[[#This Row],[Author]]="Marcela Urrego",VLOOKUP(LEFT(Proc[[#This Row],[Requested]],1),Table3[#All],2,0),VLOOKUP(Proc[[#This Row],[Author]],Table4[],2,0))</f>
        <v>HC</v>
      </c>
      <c r="L2931" s="125" t="s">
        <v>4897</v>
      </c>
      <c r="M2931" s="113">
        <v>45869</v>
      </c>
      <c r="N2931" s="113"/>
      <c r="O2931" s="113"/>
      <c r="P2931" s="115" t="str">
        <f ca="1">IF(Proc[[#This Row],[DaysAgeing]]&gt;5,"yep","on track")</f>
        <v>on track</v>
      </c>
      <c r="Q2931" s="3">
        <f ca="1">IF(Proc[[#This Row],[DateClosed]]="",ABS(NETWORKDAYS(Proc[[#This Row],[DateOpened]],TODAY()))-1,ABS(NETWORKDAYS(Proc[[#This Row],[DateOpened]],Proc[[#This Row],[DateClosed]]))-1)</f>
        <v>1</v>
      </c>
      <c r="R2931" s="115" t="s">
        <v>415</v>
      </c>
      <c r="S2931" s="125"/>
    </row>
    <row r="2932" spans="1:19">
      <c r="A2932" s="124" t="s">
        <v>4947</v>
      </c>
      <c r="B2932" s="125" t="str">
        <f>IFERROR(VLOOKUP(Proc[[#This Row],[App]],Table2[],3,0),"open")</f>
        <v>open</v>
      </c>
      <c r="C2932" s="124" t="s">
        <v>370</v>
      </c>
      <c r="D2932" t="s">
        <v>4963</v>
      </c>
      <c r="E2932" t="s">
        <v>4952</v>
      </c>
      <c r="F2932" s="125" t="str">
        <f>VLOOKUP(Proc[[#This Row],[Obj]],Sheet2!A:B,2,0)</f>
        <v>H000004376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0</v>
      </c>
      <c r="K2932" s="125" t="str">
        <f>IF(Proc[[#This Row],[Author]]="Marcela Urrego",VLOOKUP(LEFT(Proc[[#This Row],[Requested]],1),Table3[#All],2,0),VLOOKUP(Proc[[#This Row],[Author]],Table4[],2,0))</f>
        <v>HC</v>
      </c>
      <c r="L2932" s="125" t="s">
        <v>4897</v>
      </c>
      <c r="M2932" s="113">
        <v>45869</v>
      </c>
      <c r="N2932" s="113"/>
      <c r="O2932" s="113"/>
      <c r="P2932" s="115" t="str">
        <f ca="1">IF(Proc[[#This Row],[DaysAgeing]]&gt;5,"yep","on track")</f>
        <v>on track</v>
      </c>
      <c r="Q2932" s="3">
        <f ca="1">IF(Proc[[#This Row],[DateClosed]]="",ABS(NETWORKDAYS(Proc[[#This Row],[DateOpened]],TODAY()))-1,ABS(NETWORKDAYS(Proc[[#This Row],[DateOpened]],Proc[[#This Row],[DateClosed]]))-1)</f>
        <v>1</v>
      </c>
      <c r="R2932" s="115" t="s">
        <v>415</v>
      </c>
      <c r="S2932" s="125"/>
    </row>
    <row r="2933" spans="1:19">
      <c r="A2933" s="124" t="s">
        <v>4947</v>
      </c>
      <c r="B2933" s="125" t="str">
        <f>IFERROR(VLOOKUP(Proc[[#This Row],[App]],Table2[],3,0),"open")</f>
        <v>open</v>
      </c>
      <c r="C2933" s="124" t="s">
        <v>370</v>
      </c>
      <c r="D2933" t="s">
        <v>4964</v>
      </c>
      <c r="E2933" t="s">
        <v>4952</v>
      </c>
      <c r="F2933" s="125" t="str">
        <f>VLOOKUP(Proc[[#This Row],[Obj]],Sheet2!A:B,2,0)</f>
        <v>H000004376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0</v>
      </c>
      <c r="K2933" s="125" t="str">
        <f>IF(Proc[[#This Row],[Author]]="Marcela Urrego",VLOOKUP(LEFT(Proc[[#This Row],[Requested]],1),Table3[#All],2,0),VLOOKUP(Proc[[#This Row],[Author]],Table4[],2,0))</f>
        <v>HC</v>
      </c>
      <c r="L2933" s="125" t="s">
        <v>4897</v>
      </c>
      <c r="M2933" s="113">
        <v>45869</v>
      </c>
      <c r="N2933" s="113"/>
      <c r="O2933" s="113"/>
      <c r="P2933" s="115" t="str">
        <f ca="1">IF(Proc[[#This Row],[DaysAgeing]]&gt;5,"yep","on track")</f>
        <v>on track</v>
      </c>
      <c r="Q2933" s="3">
        <f ca="1">IF(Proc[[#This Row],[DateClosed]]="",ABS(NETWORKDAYS(Proc[[#This Row],[DateOpened]],TODAY()))-1,ABS(NETWORKDAYS(Proc[[#This Row],[DateOpened]],Proc[[#This Row],[DateClosed]]))-1)</f>
        <v>1</v>
      </c>
      <c r="R2933" s="115" t="s">
        <v>415</v>
      </c>
      <c r="S2933" s="125"/>
    </row>
    <row r="2934" spans="1:19">
      <c r="A2934" s="124" t="s">
        <v>4947</v>
      </c>
      <c r="B2934" s="125" t="str">
        <f>IFERROR(VLOOKUP(Proc[[#This Row],[App]],Table2[],3,0),"open")</f>
        <v>open</v>
      </c>
      <c r="C2934" s="124" t="s">
        <v>370</v>
      </c>
      <c r="D2934" t="s">
        <v>4965</v>
      </c>
      <c r="E2934" t="s">
        <v>4950</v>
      </c>
      <c r="F2934" s="125" t="str">
        <f>VLOOKUP(Proc[[#This Row],[Obj]],Sheet2!A:B,2,0)</f>
        <v>H000004376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0</v>
      </c>
      <c r="K2934" s="125" t="str">
        <f>IF(Proc[[#This Row],[Author]]="Marcela Urrego",VLOOKUP(LEFT(Proc[[#This Row],[Requested]],1),Table3[#All],2,0),VLOOKUP(Proc[[#This Row],[Author]],Table4[],2,0))</f>
        <v>HC</v>
      </c>
      <c r="L2934" s="125" t="s">
        <v>4897</v>
      </c>
      <c r="M2934" s="113">
        <v>45869</v>
      </c>
      <c r="N2934" s="113"/>
      <c r="O2934" s="113"/>
      <c r="P2934" s="115" t="str">
        <f ca="1">IF(Proc[[#This Row],[DaysAgeing]]&gt;5,"yep","on track")</f>
        <v>on track</v>
      </c>
      <c r="Q2934" s="3">
        <f ca="1">IF(Proc[[#This Row],[DateClosed]]="",ABS(NETWORKDAYS(Proc[[#This Row],[DateOpened]],TODAY()))-1,ABS(NETWORKDAYS(Proc[[#This Row],[DateOpened]],Proc[[#This Row],[DateClosed]]))-1)</f>
        <v>1</v>
      </c>
      <c r="R2934" s="115" t="s">
        <v>415</v>
      </c>
      <c r="S2934" s="125"/>
    </row>
    <row r="2935" spans="1:19">
      <c r="A2935" s="124" t="s">
        <v>4947</v>
      </c>
      <c r="B2935" s="125" t="str">
        <f>IFERROR(VLOOKUP(Proc[[#This Row],[App]],Table2[],3,0),"open")</f>
        <v>open</v>
      </c>
      <c r="C2935" s="124" t="s">
        <v>370</v>
      </c>
      <c r="D2935" t="s">
        <v>4966</v>
      </c>
      <c r="E2935" t="s">
        <v>4953</v>
      </c>
      <c r="F2935" s="125" t="str">
        <f>VLOOKUP(Proc[[#This Row],[Obj]],Sheet2!A:B,2,0)</f>
        <v>H000004379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0</v>
      </c>
      <c r="K2935" s="125" t="str">
        <f>IF(Proc[[#This Row],[Author]]="Marcela Urrego",VLOOKUP(LEFT(Proc[[#This Row],[Requested]],1),Table3[#All],2,0),VLOOKUP(Proc[[#This Row],[Author]],Table4[],2,0))</f>
        <v>HC</v>
      </c>
      <c r="L2935" s="125" t="s">
        <v>4897</v>
      </c>
      <c r="M2935" s="113">
        <v>45869</v>
      </c>
      <c r="N2935" s="113"/>
      <c r="O2935" s="113"/>
      <c r="P2935" s="115" t="str">
        <f ca="1">IF(Proc[[#This Row],[DaysAgeing]]&gt;5,"yep","on track")</f>
        <v>on track</v>
      </c>
      <c r="Q2935" s="3">
        <f ca="1">IF(Proc[[#This Row],[DateClosed]]="",ABS(NETWORKDAYS(Proc[[#This Row],[DateOpened]],TODAY()))-1,ABS(NETWORKDAYS(Proc[[#This Row],[DateOpened]],Proc[[#This Row],[DateClosed]]))-1)</f>
        <v>1</v>
      </c>
      <c r="R2935" s="115" t="s">
        <v>415</v>
      </c>
      <c r="S2935" s="125"/>
    </row>
    <row r="2936" spans="1:19">
      <c r="A2936" s="124" t="s">
        <v>4947</v>
      </c>
      <c r="B2936" s="125" t="str">
        <f>IFERROR(VLOOKUP(Proc[[#This Row],[App]],Table2[],3,0),"open")</f>
        <v>open</v>
      </c>
      <c r="C2936" s="124" t="s">
        <v>370</v>
      </c>
      <c r="D2936" t="s">
        <v>4967</v>
      </c>
      <c r="E2936" t="s">
        <v>4953</v>
      </c>
      <c r="F2936" s="125" t="str">
        <f>VLOOKUP(Proc[[#This Row],[Obj]],Sheet2!A:B,2,0)</f>
        <v>H000004379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0</v>
      </c>
      <c r="K2936" s="125" t="str">
        <f>IF(Proc[[#This Row],[Author]]="Marcela Urrego",VLOOKUP(LEFT(Proc[[#This Row],[Requested]],1),Table3[#All],2,0),VLOOKUP(Proc[[#This Row],[Author]],Table4[],2,0))</f>
        <v>HC</v>
      </c>
      <c r="L2936" s="125" t="s">
        <v>4897</v>
      </c>
      <c r="M2936" s="113">
        <v>45869</v>
      </c>
      <c r="N2936" s="113"/>
      <c r="O2936" s="113"/>
      <c r="P2936" s="115" t="str">
        <f ca="1">IF(Proc[[#This Row],[DaysAgeing]]&gt;5,"yep","on track")</f>
        <v>on track</v>
      </c>
      <c r="Q2936" s="3">
        <f ca="1">IF(Proc[[#This Row],[DateClosed]]="",ABS(NETWORKDAYS(Proc[[#This Row],[DateOpened]],TODAY()))-1,ABS(NETWORKDAYS(Proc[[#This Row],[DateOpened]],Proc[[#This Row],[DateClosed]]))-1)</f>
        <v>1</v>
      </c>
      <c r="R2936" s="115" t="s">
        <v>415</v>
      </c>
      <c r="S2936" s="125"/>
    </row>
  </sheetData>
  <phoneticPr fontId="0" type="noConversion"/>
  <conditionalFormatting sqref="D642">
    <cfRule type="duplicateValues" dxfId="19" priority="3"/>
  </conditionalFormatting>
  <conditionalFormatting sqref="D1017:D1042">
    <cfRule type="duplicateValues" dxfId="18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G2:G2936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DBAE7-7699-4A76-A4C2-7416D63788FE}">
  <dimension ref="A1:B26"/>
  <sheetViews>
    <sheetView workbookViewId="0"/>
  </sheetViews>
  <sheetFormatPr defaultRowHeight="15"/>
  <sheetData>
    <row r="1" spans="1:2">
      <c r="A1" t="s">
        <v>4921</v>
      </c>
      <c r="B1" t="s">
        <v>4970</v>
      </c>
    </row>
    <row r="2" spans="1:2">
      <c r="A2" t="s">
        <v>4926</v>
      </c>
      <c r="B2" t="s">
        <v>4932</v>
      </c>
    </row>
    <row r="3" spans="1:2">
      <c r="A3" t="s">
        <v>4927</v>
      </c>
      <c r="B3" t="s">
        <v>4933</v>
      </c>
    </row>
    <row r="4" spans="1:2">
      <c r="A4" t="s">
        <v>4928</v>
      </c>
      <c r="B4" t="s">
        <v>4934</v>
      </c>
    </row>
    <row r="5" spans="1:2">
      <c r="A5" t="s">
        <v>4929</v>
      </c>
      <c r="B5" t="s">
        <v>4935</v>
      </c>
    </row>
    <row r="6" spans="1:2">
      <c r="A6" t="s">
        <v>4930</v>
      </c>
      <c r="B6" t="s">
        <v>2206</v>
      </c>
    </row>
    <row r="7" spans="1:2">
      <c r="A7" t="s">
        <v>4931</v>
      </c>
      <c r="B7" t="s">
        <v>4936</v>
      </c>
    </row>
    <row r="8" spans="1:2">
      <c r="A8" t="s">
        <v>4937</v>
      </c>
      <c r="B8" t="s">
        <v>2815</v>
      </c>
    </row>
    <row r="9" spans="1:2">
      <c r="A9" t="s">
        <v>4969</v>
      </c>
      <c r="B9" t="s">
        <v>4968</v>
      </c>
    </row>
    <row r="10" spans="1:2">
      <c r="A10" t="s">
        <v>4954</v>
      </c>
      <c r="B10" t="s">
        <v>4971</v>
      </c>
    </row>
    <row r="11" spans="1:2">
      <c r="A11" t="s">
        <v>4955</v>
      </c>
      <c r="B11" t="s">
        <v>4971</v>
      </c>
    </row>
    <row r="12" spans="1:2">
      <c r="A12" t="s">
        <v>4956</v>
      </c>
      <c r="B12" t="s">
        <v>4971</v>
      </c>
    </row>
    <row r="13" spans="1:2">
      <c r="A13" t="s">
        <v>4957</v>
      </c>
      <c r="B13" t="s">
        <v>4971</v>
      </c>
    </row>
    <row r="14" spans="1:2">
      <c r="A14" t="s">
        <v>4958</v>
      </c>
      <c r="B14" t="s">
        <v>4971</v>
      </c>
    </row>
    <row r="15" spans="1:2">
      <c r="A15" t="s">
        <v>4959</v>
      </c>
      <c r="B15" t="s">
        <v>4971</v>
      </c>
    </row>
    <row r="16" spans="1:2">
      <c r="A16" t="s">
        <v>4960</v>
      </c>
      <c r="B16" t="s">
        <v>4971</v>
      </c>
    </row>
    <row r="17" spans="1:2">
      <c r="A17" t="s">
        <v>4961</v>
      </c>
      <c r="B17" t="s">
        <v>4971</v>
      </c>
    </row>
    <row r="18" spans="1:2">
      <c r="A18" t="s">
        <v>4962</v>
      </c>
      <c r="B18" t="s">
        <v>4971</v>
      </c>
    </row>
    <row r="19" spans="1:2">
      <c r="A19" t="s">
        <v>2823</v>
      </c>
      <c r="B19" t="s">
        <v>2826</v>
      </c>
    </row>
    <row r="20" spans="1:2">
      <c r="A20" t="s">
        <v>2824</v>
      </c>
      <c r="B20" t="s">
        <v>2826</v>
      </c>
    </row>
    <row r="21" spans="1:2">
      <c r="A21" t="s">
        <v>2822</v>
      </c>
      <c r="B21" t="s">
        <v>2826</v>
      </c>
    </row>
    <row r="22" spans="1:2">
      <c r="A22" t="s">
        <v>4963</v>
      </c>
      <c r="B22" t="s">
        <v>4972</v>
      </c>
    </row>
    <row r="23" spans="1:2">
      <c r="A23" t="s">
        <v>4964</v>
      </c>
      <c r="B23" t="s">
        <v>4972</v>
      </c>
    </row>
    <row r="24" spans="1:2">
      <c r="A24" t="s">
        <v>4965</v>
      </c>
      <c r="B24" t="s">
        <v>4972</v>
      </c>
    </row>
    <row r="25" spans="1:2">
      <c r="A25" t="s">
        <v>4966</v>
      </c>
      <c r="B25" t="s">
        <v>4973</v>
      </c>
    </row>
    <row r="26" spans="1:2">
      <c r="A26" t="s">
        <v>4967</v>
      </c>
      <c r="B26" t="s">
        <v>4973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2AD7-5D92-4001-9904-BCBC5D639F26}">
  <sheetPr codeName="Sheet11"/>
  <dimension ref="A1:B12"/>
  <sheetViews>
    <sheetView workbookViewId="0">
      <selection activeCell="H21" sqref="H21"/>
    </sheetView>
  </sheetViews>
  <sheetFormatPr defaultRowHeight="15"/>
  <cols>
    <col min="8" max="8" width="21.5703125" bestFit="1" customWidth="1"/>
  </cols>
  <sheetData>
    <row r="1" spans="1:2">
      <c r="A1" t="s">
        <v>2319</v>
      </c>
      <c r="B1" t="e">
        <f ca="1">ELPAR("rc-2025:mCostObject_2025",A1,1)</f>
        <v>#NAME?</v>
      </c>
    </row>
    <row r="2" spans="1:2">
      <c r="A2" t="s">
        <v>4914</v>
      </c>
      <c r="B2" t="s">
        <v>4939</v>
      </c>
    </row>
    <row r="3" spans="1:2">
      <c r="A3" t="s">
        <v>4915</v>
      </c>
      <c r="B3" t="s">
        <v>4940</v>
      </c>
    </row>
    <row r="4" spans="1:2">
      <c r="A4" t="s">
        <v>4916</v>
      </c>
      <c r="B4" t="s">
        <v>4924</v>
      </c>
    </row>
    <row r="5" spans="1:2">
      <c r="A5" t="s">
        <v>4921</v>
      </c>
      <c r="B5" t="s">
        <v>4925</v>
      </c>
    </row>
    <row r="6" spans="1:2">
      <c r="A6" t="s">
        <v>4926</v>
      </c>
      <c r="B6" t="s">
        <v>4941</v>
      </c>
    </row>
    <row r="7" spans="1:2">
      <c r="A7" t="s">
        <v>4927</v>
      </c>
      <c r="B7" t="s">
        <v>4942</v>
      </c>
    </row>
    <row r="8" spans="1:2">
      <c r="A8" t="s">
        <v>4928</v>
      </c>
      <c r="B8" s="124" t="s">
        <v>4943</v>
      </c>
    </row>
    <row r="9" spans="1:2">
      <c r="A9" t="s">
        <v>4929</v>
      </c>
      <c r="B9" s="124" t="s">
        <v>4944</v>
      </c>
    </row>
    <row r="10" spans="1:2">
      <c r="A10" t="s">
        <v>4930</v>
      </c>
      <c r="B10" t="s">
        <v>4945</v>
      </c>
    </row>
    <row r="11" spans="1:2">
      <c r="A11" t="s">
        <v>4931</v>
      </c>
      <c r="B11" t="s">
        <v>4941</v>
      </c>
    </row>
    <row r="12" spans="1:2">
      <c r="A12" t="s">
        <v>4937</v>
      </c>
      <c r="B12" t="s">
        <v>4946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1"/>
  <sheetViews>
    <sheetView topLeftCell="A76" workbookViewId="0">
      <selection activeCell="B89" sqref="B8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4419</v>
      </c>
      <c r="B129" s="103" t="s">
        <v>569</v>
      </c>
    </row>
    <row r="130" spans="1:2">
      <c r="A130" t="s">
        <v>4823</v>
      </c>
      <c r="B130" s="117" t="s">
        <v>568</v>
      </c>
    </row>
    <row r="131" spans="1:2">
      <c r="A131" t="s">
        <v>4822</v>
      </c>
      <c r="B131" s="117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2025-08-01T13:35:02Z</dcterms:modified>
  <cp:category/>
  <cp:contentStatus/>
</cp:coreProperties>
</file>