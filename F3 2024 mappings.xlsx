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288A1223-8EF4-47A4-9C32-AF391C74EBCE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" i="4" l="1"/>
  <c r="B1" i="4"/>
  <c r="J5244" i="1"/>
  <c r="J5240" i="1"/>
  <c r="J5231" i="1"/>
  <c r="J5230" i="1"/>
  <c r="J5228" i="1"/>
  <c r="J5227" i="1"/>
  <c r="J5226" i="1"/>
  <c r="J5225" i="1"/>
  <c r="J5224" i="1"/>
  <c r="J5199" i="1"/>
  <c r="J5242" i="1"/>
  <c r="J5233" i="1"/>
  <c r="J5232" i="1"/>
  <c r="J5229" i="1"/>
  <c r="B5241" i="1"/>
  <c r="B5242" i="1"/>
  <c r="B5243" i="1"/>
  <c r="B5244" i="1"/>
  <c r="H5241" i="1"/>
  <c r="H5242" i="1"/>
  <c r="H5243" i="1"/>
  <c r="H5244" i="1"/>
  <c r="J5241" i="1"/>
  <c r="J5243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8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J5234" i="1"/>
  <c r="J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<sst xmlns="http://schemas.openxmlformats.org/spreadsheetml/2006/main" count="46381" uniqueCount="7543">
  <si>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</si>
  <si>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</si>
  <si>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</si>
  <si>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</si>
  <si>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</si>
  <si>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</si>
  <si>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</si>
  <si>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</si>
  <si>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</si>
  <si>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</si>
  <si>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</si>
  <si>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</si>
  <si>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</si>
  <si>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</si>
  <si>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</si>
  <si>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</si>
  <si>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</si>
  <si>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</si>
  <si>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</si>
  <si>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</si>
  <si>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</si>
  <si>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</si>
  <si>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</si>
  <si>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</si>
  <si>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</si>
  <si>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</si>
  <si>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</si>
  <si>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</si>
  <si>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</si>
  <si>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</si>
  <si>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</si>
  <si>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</si>
  <si>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</si>
  <si>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</si>
  <si>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</si>
  <si>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</si>
  <si>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</si>
  <si>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</si>
  <si>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</si>
  <si>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</si>
  <si>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</si>
  <si>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</si>
  <si>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</si>
  <si>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</si>
  <si>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</si>
  <si>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</si>
  <si>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</si>
  <si>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</si>
  <si>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</si>
  <si>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</si>
  <si>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</si>
  <si>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</si>
  <si>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</si>
  <si>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</si>
  <si>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</si>
  <si>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</si>
  <si>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</si>
  <si>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</si>
  <si>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</si>
  <si>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</si>
  <si>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</si>
  <si>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</si>
  <si>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</si>
  <si>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</si>
  <si>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</si>
  <si>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</si>
  <si>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</si>
  <si>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</si>
  <si>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</si>
  <si>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</si>
  <si>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</si>
  <si>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</si>
  <si>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</si>
  <si>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</si>
  <si>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</si>
  <si>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</si>
  <si>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</si>
  <si>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</si>
  <si>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</si>
  <si>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</si>
  <si>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</si>
  <si>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</si>
  <si>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</si>
  <si>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</si>
  <si>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</si>
  <si>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</si>
  <si>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</si>
  <si>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</si>
  <si>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</si>
  <si>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</si>
  <si>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</si>
  <si>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</si>
  <si>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</si>
  <si>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</si>
  <si>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</si>
  <si>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</si>
  <si>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</si>
  <si>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</si>
  <si>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</si>
  <si>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</si>
  <si>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</si>
  <si>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</si>
  <si>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</si>
  <si>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</si>
  <si>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</si>
  <si>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</si>
  <si>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</si>
  <si>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</si>
  <si>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</si>
  <si>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</si>
  <si>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</si>
  <si>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</si>
  <si>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</si>
  <si>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</si>
  <si>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</si>
  <si>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</si>
  <si>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</si>
  <si>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</si>
  <si>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</si>
  <si>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</si>
  <si>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</si>
  <si>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</si>
  <si>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</si>
  <si>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</si>
  <si>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</si>
  <si>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</si>
  <si>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</si>
  <si>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</si>
  <si>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</si>
  <si>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</si>
  <si>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</si>
  <si>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</si>
  <si>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</si>
  <si>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</si>
  <si>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</si>
  <si>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</si>
  <si>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</si>
  <si>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</si>
  <si>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</si>
  <si>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</si>
  <si>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</si>
  <si>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</si>
  <si>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</si>
  <si>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</si>
  <si>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</si>
  <si>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</si>
  <si>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</si>
  <si>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</si>
  <si>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</si>
  <si>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</si>
  <si>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</si>
  <si>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</si>
  <si>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</si>
  <si>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</si>
  <si>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</si>
  <si>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</si>
  <si>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</si>
  <si>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</si>
  <si>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</si>
  <si>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</si>
  <si>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</si>
  <si>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</si>
  <si>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</si>
  <si>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</si>
  <si>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</si>
  <si>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</si>
  <si>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</si>
  <si>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</si>
  <si>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</si>
  <si>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</si>
  <si>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</si>
  <si>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</si>
  <si>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</si>
  <si>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</si>
  <si>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</si>
  <si>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</si>
  <si>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</si>
  <si>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</si>
  <si>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</si>
  <si>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</si>
  <si>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</si>
  <si>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</si>
  <si>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</si>
  <si>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</si>
  <si>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</si>
  <si>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</si>
  <si>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</si>
  <si>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</si>
  <si>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</si>
  <si>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</si>
  <si>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</si>
  <si>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</si>
  <si>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</si>
  <si>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</si>
  <si>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</si>
  <si>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</si>
  <si>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</si>
  <si>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</si>
  <si>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</si>
  <si>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</si>
  <si>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</si>
  <si>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</si>
  <si>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</si>
  <si>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</si>
  <si>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</si>
  <si>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</si>
  <si>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</si>
  <si>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</si>
  <si>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</si>
  <si>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</si>
  <si>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</si>
  <si>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</si>
  <si>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</si>
  <si>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</si>
  <si>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</si>
  <si>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</si>
  <si>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</si>
  <si>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</si>
  <si>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</si>
  <si>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</si>
  <si>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</si>
  <si>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</si>
  <si>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</si>
  <si>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</si>
  <si>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</si>
  <si>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</si>
  <si>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</si>
  <si>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</si>
  <si>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</si>
  <si>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</si>
  <si>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</si>
  <si>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</si>
  <si>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</si>
  <si>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</si>
  <si>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</si>
  <si>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</si>
  <si>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</si>
  <si>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</si>
  <si>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</si>
  <si>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</si>
  <si>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</si>
  <si>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</si>
  <si>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</si>
  <si>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</si>
  <si>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</si>
  <si>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</si>
  <si>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</si>
  <si>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</si>
  <si>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</si>
  <si>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</si>
  <si>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</si>
  <si>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</si>
  <si>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</si>
  <si>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</si>
  <si>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</si>
  <si>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</si>
  <si>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</si>
  <si>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</si>
  <si>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</si>
  <si>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</si>
  <si>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</si>
  <si>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</si>
  <si>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</si>
  <si>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</si>
  <si>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</si>
  <si>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</si>
  <si>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</si>
  <si>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</si>
  <si>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</si>
  <si>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</si>
  <si>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</si>
  <si>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</si>
  <si>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</si>
  <si>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</si>
  <si>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</si>
  <si>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</si>
  <si>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</si>
  <si>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</si>
  <si>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</si>
  <si>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</si>
  <si>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</si>
  <si>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</si>
  <si>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</si>
  <si>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</si>
  <si>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</si>
  <si>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</si>
  <si>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</si>
  <si>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</si>
  <si>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</si>
  <si>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</si>
  <si>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</si>
  <si>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</si>
  <si>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</si>
  <si>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</si>
  <si>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</si>
  <si>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</si>
  <si>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</si>
  <si>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</si>
  <si>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</si>
  <si>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</si>
  <si>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</si>
  <si>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</si>
  <si>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</si>
  <si>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</si>
  <si>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</si>
  <si>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</si>
  <si>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</si>
  <si>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</si>
  <si>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</si>
  <si>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</si>
  <si>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</si>
  <si>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</si>
  <si>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</si>
  <si>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</si>
  <si>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</si>
  <si>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</si>
  <si>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</si>
  <si>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</si>
  <si>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</si>
  <si>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</si>
  <si>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</si>
  <si>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</si>
  <si>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</si>
  <si>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</si>
  <si>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</si>
  <si>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</si>
  <si>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</si>
  <si>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</si>
  <si>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</si>
  <si>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</si>
  <si>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</si>
  <si>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</si>
  <si>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</si>
  <si>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</si>
  <si>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</si>
  <si>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</si>
  <si>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</si>
  <si>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</si>
  <si>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</si>
  <si>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</si>
  <si>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</si>
  <si>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</si>
  <si>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</si>
  <si>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</si>
  <si>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</si>
  <si>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</si>
  <si>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</si>
  <si>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</si>
  <si>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</si>
  <si>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</si>
  <si>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</si>
  <si>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</si>
  <si>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</si>
  <si>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</si>
  <si>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</si>
  <si>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</si>
  <si>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</si>
  <si>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</si>
  <si>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</si>
  <si>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</si>
  <si>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</si>
  <si>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</si>
  <si>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</si>
  <si>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</si>
  <si>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</si>
  <si>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</si>
  <si>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</si>
  <si>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</si>
  <si>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</si>
  <si>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</si>
  <si>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</si>
  <si>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</si>
  <si>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</si>
  <si>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</si>
  <si>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</si>
  <si>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</si>
  <si>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</si>
  <si>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</si>
  <si>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</si>
  <si>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</si>
  <si>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</si>
  <si>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</si>
  <si>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</si>
  <si>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</si>
  <si>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</si>
  <si>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</si>
  <si>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</si>
  <si>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</si>
  <si>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</si>
  <si>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</si>
  <si>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</si>
  <si>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</si>
  <si>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</si>
  <si>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</si>
  <si>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</si>
  <si>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</si>
  <si>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</si>
  <si>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</si>
  <si>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</si>
  <si>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</si>
  <si>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</si>
  <si>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</si>
  <si>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</si>
  <si>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</si>
  <si>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</si>
  <si>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</si>
  <si>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</si>
  <si>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</si>
  <si>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</si>
  <si>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</si>
  <si>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</si>
  <si>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</si>
  <si>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</si>
  <si>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</si>
  <si>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</si>
  <si>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</si>
  <si>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</si>
  <si>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</si>
  <si>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</si>
  <si>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</si>
  <si>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</si>
  <si>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</si>
  <si>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</si>
  <si>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</si>
  <si>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</si>
  <si>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</si>
  <si>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</si>
  <si>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</si>
  <si>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</si>
  <si>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</si>
  <si>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</si>
  <si>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</si>
  <si>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</si>
  <si>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</si>
  <si>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</si>
  <si>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</si>
  <si>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</si>
  <si>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</si>
  <si>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</si>
  <si>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</si>
  <si>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</si>
  <si>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</si>
  <si>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</si>
  <si>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</si>
  <si>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</si>
  <si>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</si>
  <si>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</si>
  <si>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</si>
  <si>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</si>
  <si>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</si>
  <si>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</si>
  <si>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</si>
  <si>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</si>
  <si>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</si>
  <si>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</si>
  <si>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</si>
  <si>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</si>
  <si>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</si>
  <si>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</si>
  <si>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</si>
  <si>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</si>
  <si>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</si>
  <si>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</si>
  <si>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</si>
  <si>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</si>
  <si>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</si>
  <si>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</si>
  <si>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</si>
  <si>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</si>
  <si>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</si>
  <si>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</si>
  <si>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</si>
  <si>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</si>
  <si>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</si>
  <si>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</si>
  <si>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</si>
  <si>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</si>
  <si>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</si>
  <si>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</si>
  <si>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</si>
  <si>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</si>
  <si>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</si>
  <si>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</si>
  <si>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</si>
  <si>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</si>
  <si>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</si>
  <si>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</si>
  <si>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</si>
  <si>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</si>
  <si>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</si>
  <si>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</si>
  <si>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</si>
  <si>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</si>
  <si>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</si>
  <si>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</si>
  <si>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</si>
  <si>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</si>
  <si>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</si>
  <si>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</si>
  <si>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</si>
  <si>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</si>
  <si>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</si>
  <si>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</si>
  <si>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</si>
  <si>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</si>
  <si>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</si>
  <si>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</si>
  <si>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</si>
  <si>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</si>
  <si>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</si>
  <si>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</si>
  <si>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</si>
  <si>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</si>
  <si>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</si>
  <si>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</si>
  <si>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</si>
  <si>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</si>
  <si>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</si>
  <si>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</si>
  <si>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</si>
  <si>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</si>
  <si>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</si>
  <si>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</si>
  <si>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</si>
  <si>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</si>
  <si>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</si>
  <si>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</si>
  <si>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</si>
  <si>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</si>
  <si>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</si>
  <si>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</si>
  <si>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</si>
  <si>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</si>
  <si>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</si>
  <si>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</si>
  <si>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</si>
  <si>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</si>
  <si>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</si>
  <si>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</si>
  <si>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</si>
  <si>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</si>
  <si>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</si>
  <si>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</si>
  <si>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</si>
  <si>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</si>
  <si>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</si>
  <si>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</si>
  <si>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</si>
  <si>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</si>
  <si>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</si>
  <si>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</si>
  <si>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</si>
  <si>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</si>
  <si>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</si>
  <si>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</si>
  <si>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</si>
  <si>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</si>
  <si>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</si>
  <si>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</si>
  <si>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</si>
  <si>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</si>
  <si>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</si>
  <si>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</si>
  <si>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</si>
  <si>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</si>
  <si>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</si>
  <si>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</si>
  <si>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</si>
  <si>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</si>
  <si>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</si>
  <si>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</si>
  <si>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</si>
  <si>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</si>
  <si>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</si>
  <si>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</si>
  <si>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</si>
  <si>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</si>
  <si>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</si>
  <si>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</si>
  <si>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</si>
  <si>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</si>
  <si>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</si>
  <si>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</si>
  <si>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</si>
  <si>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</si>
  <si>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</si>
  <si>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</si>
  <si>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</si>
  <si>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</si>
  <si>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</si>
  <si>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</si>
  <si>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</si>
  <si>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</si>
  <si>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</si>
  <si>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</si>
  <si>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</si>
  <si>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</si>
  <si>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</si>
  <si>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</si>
  <si>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</si>
  <si>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</si>
  <si>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</si>
  <si>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</si>
  <si>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</si>
  <si>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</si>
  <si>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</si>
  <si>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</si>
  <si>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</si>
  <si>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</si>
  <si>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</si>
  <si>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</si>
  <si>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</si>
  <si>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</si>
  <si>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</si>
  <si>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</si>
  <si>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</si>
  <si>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</si>
  <si>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</si>
  <si>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</si>
  <si>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</si>
  <si>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</si>
  <si>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</si>
  <si>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</si>
  <si>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</si>
  <si>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</si>
  <si>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</si>
  <si>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</si>
  <si>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</si>
  <si>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</si>
  <si>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</si>
  <si>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</si>
  <si>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</si>
  <si>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</si>
  <si>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</si>
  <si>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</si>
  <si>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</si>
  <si>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</si>
  <si>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</si>
  <si>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</si>
  <si>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</si>
  <si>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</si>
  <si>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</si>
  <si>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</si>
  <si>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</si>
  <si>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</si>
  <si>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</si>
  <si>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</si>
  <si>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</si>
  <si>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</si>
  <si>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</si>
  <si>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</si>
  <si>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</si>
  <si>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</si>
  <si>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</si>
  <si>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</si>
  <si>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</si>
  <si>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</si>
  <si>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</si>
  <si>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</si>
  <si>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</si>
  <si>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</si>
  <si>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</si>
  <si>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</si>
  <si>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</si>
  <si>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</si>
  <si>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</si>
  <si>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</si>
  <si>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</si>
  <si>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</si>
  <si>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</si>
  <si>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</si>
  <si>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</si>
  <si>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</si>
  <si>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</si>
  <si>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</si>
  <si>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</si>
  <si>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</si>
  <si>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</si>
  <si>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</si>
  <si>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</si>
  <si>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</si>
  <si>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</si>
  <si>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</si>
  <si>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</si>
  <si>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</si>
  <si>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</si>
  <si>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</si>
  <si>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</si>
  <si>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</si>
  <si>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</si>
  <si>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</si>
  <si>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</si>
  <si>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</si>
  <si>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</si>
  <si>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</si>
  <si>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</si>
  <si>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</si>
  <si>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</si>
  <si>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</si>
  <si>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</si>
  <si>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</si>
  <si>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</si>
  <si>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</si>
  <si>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</si>
  <si>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</si>
  <si>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</si>
  <si>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</si>
  <si>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</si>
  <si>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</si>
  <si>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</si>
  <si>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</si>
  <si>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</si>
  <si>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</si>
  <si>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</si>
  <si>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</si>
  <si>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</si>
  <si>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</si>
  <si>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</si>
  <si>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</si>
  <si>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</si>
  <si>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</si>
  <si>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</si>
  <si>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</si>
  <si>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</si>
  <si>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</si>
  <si>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</si>
  <si>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</si>
  <si>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</si>
  <si>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</si>
  <si>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</si>
  <si>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</si>
  <si>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</si>
  <si>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</si>
  <si>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</si>
  <si>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</si>
  <si>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</si>
  <si>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</si>
  <si>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</si>
  <si>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</si>
  <si>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</si>
  <si>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</si>
  <si>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</si>
  <si>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</si>
  <si>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</si>
  <si>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</si>
  <si>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</si>
  <si>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</si>
  <si>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</si>
  <si>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</si>
  <si>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</si>
  <si>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</si>
  <si>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</si>
  <si>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</si>
  <si>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</si>
  <si>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</si>
  <si>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</si>
  <si>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</si>
  <si>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</si>
  <si>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</si>
  <si>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</si>
  <si>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</si>
  <si>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</si>
  <si>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</si>
  <si>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</si>
  <si>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</si>
  <si>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</si>
  <si>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</si>
  <si>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</si>
  <si>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</si>
  <si>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</si>
  <si>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</si>
  <si>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</si>
  <si>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</si>
  <si>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</si>
  <si>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</si>
  <si>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</si>
  <si>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</si>
  <si>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</si>
  <si>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</si>
  <si>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</si>
  <si>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</si>
  <si>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</si>
  <si>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</si>
  <si>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</si>
  <si>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</si>
  <si>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</si>
  <si>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</si>
  <si>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</si>
  <si>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</si>
  <si>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</si>
  <si>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</si>
  <si>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</si>
  <si>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</si>
  <si>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</si>
  <si>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</si>
  <si>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</si>
  <si>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</si>
  <si>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</si>
  <si>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</si>
  <si>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</si>
  <si>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</si>
  <si>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</si>
  <si>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</si>
  <si>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</si>
  <si>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</si>
  <si>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</si>
  <si>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</si>
  <si>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</si>
  <si>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</si>
  <si>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</si>
  <si>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</si>
  <si>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</si>
  <si>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</si>
  <si>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</si>
  <si>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</si>
  <si>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</si>
  <si>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</si>
  <si>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</si>
  <si>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</si>
  <si>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</si>
  <si>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</si>
  <si>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</si>
  <si>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</si>
  <si>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</si>
  <si>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</si>
  <si>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</si>
  <si>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</si>
  <si>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</si>
  <si>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</si>
  <si>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</si>
  <si>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</si>
  <si>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</si>
  <si>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</si>
  <si>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</si>
  <si>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</si>
  <si>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</si>
  <si>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</si>
  <si>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</si>
  <si>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</si>
  <si>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</si>
  <si>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</si>
  <si>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</si>
  <si>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</si>
  <si>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</si>
  <si>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</si>
  <si>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</si>
  <si>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</si>
  <si>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</si>
  <si>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</si>
  <si>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</si>
  <si>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</si>
  <si>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</si>
  <si>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</si>
  <si>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</si>
  <si>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</si>
  <si>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</si>
  <si>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</si>
  <si>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</si>
  <si>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</si>
  <si>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</si>
  <si>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</si>
  <si>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</si>
  <si>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</si>
  <si>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</si>
  <si>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</si>
  <si>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</si>
  <si>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</si>
  <si>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</si>
  <si>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</si>
  <si>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</si>
  <si>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</si>
  <si>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</si>
  <si>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</si>
  <si>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</si>
  <si>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</si>
  <si>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</si>
  <si>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</si>
  <si>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</si>
  <si>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</si>
  <si>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</si>
  <si>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</si>
  <si>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</si>
  <si>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</si>
  <si>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</si>
  <si>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</si>
  <si>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</si>
  <si>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</si>
  <si>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</si>
  <si>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</si>
  <si>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</si>
  <si>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</si>
  <si>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</si>
  <si>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</si>
  <si>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</si>
  <si>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</si>
  <si>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</si>
  <si>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</si>
  <si>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</si>
  <si>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</si>
  <si>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</si>
  <si>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</si>
  <si>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</si>
  <si>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</si>
  <si>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</si>
  <si>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</si>
  <si>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</si>
  <si>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</si>
  <si>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</si>
  <si>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</si>
  <si>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</si>
  <si>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</si>
  <si>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</si>
  <si>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</si>
  <si>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</si>
  <si>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</si>
  <si>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</si>
  <si>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</si>
  <si>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</si>
  <si>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</si>
  <si>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</si>
  <si>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</si>
  <si>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</si>
  <si>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</si>
  <si>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</si>
  <si>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</si>
  <si>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</si>
  <si>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</si>
  <si>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</si>
  <si>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</si>
  <si>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</si>
  <si>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</si>
  <si>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</si>
  <si>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</si>
  <si>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</si>
  <si>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</si>
  <si>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</si>
  <si>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</si>
  <si>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</si>
  <si>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</si>
  <si>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</si>
  <si>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</si>
  <si>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</si>
  <si>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</si>
  <si>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</si>
  <si>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</si>
  <si>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</si>
  <si>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</si>
  <si>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</si>
  <si>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</si>
  <si>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</si>
  <si>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</si>
  <si>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</si>
  <si>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</si>
  <si>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</si>
  <si>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</si>
  <si>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</si>
  <si>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</si>
  <si>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</si>
  <si>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</si>
  <si>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</si>
  <si>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</si>
  <si>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</si>
  <si>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</si>
  <si>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</si>
  <si>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</si>
  <si>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</si>
  <si>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</si>
  <si>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</si>
  <si>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</si>
  <si>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</si>
  <si>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</si>
  <si>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</si>
  <si>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</si>
  <si>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</si>
  <si>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</si>
  <si>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</si>
  <si>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</si>
  <si>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</si>
  <si>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</si>
  <si>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</si>
  <si>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</si>
  <si>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</si>
  <si>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</si>
  <si>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</si>
  <si>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</si>
  <si>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</si>
  <si>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</si>
  <si>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</si>
  <si>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</si>
  <si>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</si>
  <si>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</si>
  <si>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</si>
  <si>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</si>
  <si>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</si>
  <si>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</si>
  <si>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</si>
  <si>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</si>
  <si>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</si>
  <si>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</si>
  <si>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</si>
  <si>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</si>
  <si>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</si>
  <si>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</si>
  <si>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</si>
  <si>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</si>
  <si>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</si>
  <si>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</si>
  <si>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</si>
  <si>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</si>
  <si>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</si>
  <si>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</si>
  <si>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</si>
  <si>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</si>
  <si>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</si>
  <si>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</si>
  <si>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</si>
  <si>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</si>
  <si>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</si>
  <si>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</si>
  <si>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</si>
  <si>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</si>
  <si>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</si>
  <si>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</si>
  <si>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</si>
  <si>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</si>
  <si>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</si>
  <si>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</si>
  <si>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</si>
  <si>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</si>
  <si>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</si>
  <si>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</si>
  <si>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</si>
  <si>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</si>
  <si>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</si>
  <si>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</si>
  <si>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</si>
  <si>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</si>
  <si>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</si>
  <si>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</si>
  <si>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</si>
  <si>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</si>
  <si>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</si>
  <si>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</si>
  <si>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</si>
  <si>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</si>
  <si>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</si>
  <si>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</si>
  <si>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</si>
  <si>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</si>
  <si>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</si>
  <si>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</si>
  <si>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</si>
  <si>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</si>
  <si>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</si>
  <si>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</si>
  <si>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</si>
  <si>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</si>
  <si>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</si>
  <si>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</si>
  <si>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</si>
  <si>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</si>
  <si>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</si>
  <si>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</si>
  <si>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</si>
  <si>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</si>
  <si>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</si>
  <si>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</si>
  <si>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</si>
  <si>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</si>
  <si>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</si>
  <si>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</si>
  <si>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</si>
  <si>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</si>
  <si>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</si>
  <si>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</si>
  <si>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</si>
  <si>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</si>
  <si>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</si>
  <si>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</si>
  <si>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</si>
  <si>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</si>
  <si>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</si>
  <si>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</si>
  <si>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</si>
  <si>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</si>
  <si>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</si>
  <si>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</si>
  <si>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</si>
  <si>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</si>
  <si>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</si>
  <si>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</si>
  <si>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</si>
  <si>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</si>
  <si>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</si>
  <si>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</si>
  <si>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</si>
  <si>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</si>
  <si>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</si>
  <si>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</si>
  <si>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</si>
  <si>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</si>
  <si>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</si>
  <si>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</si>
  <si>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</si>
  <si>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</si>
  <si>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</si>
  <si>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</si>
  <si>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</si>
  <si>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</si>
  <si>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</si>
  <si>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</si>
  <si>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</si>
  <si>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</si>
  <si>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</si>
  <si>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</si>
  <si>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</si>
  <si>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</si>
  <si>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</si>
  <si>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</si>
  <si>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</si>
  <si>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</si>
  <si>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</si>
  <si>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</si>
  <si>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</si>
  <si>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</si>
  <si>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</si>
  <si>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</si>
  <si>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</si>
  <si>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</si>
  <si>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</si>
  <si>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</si>
  <si>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</si>
  <si>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</si>
  <si>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</si>
  <si>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</si>
  <si>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</si>
  <si>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</si>
  <si>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</si>
  <si>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</si>
  <si>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</si>
  <si>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</si>
  <si>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</si>
  <si>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</si>
  <si>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</si>
  <si>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</si>
  <si>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</si>
  <si>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</si>
  <si>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</si>
  <si>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</si>
  <si>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</si>
  <si>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</si>
  <si>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</si>
  <si>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</si>
  <si>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</si>
  <si>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</si>
  <si>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</si>
  <si>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</si>
  <si>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</si>
  <si>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</si>
  <si>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</si>
  <si>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</si>
  <si>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</si>
  <si>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</si>
  <si>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</si>
  <si>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</si>
  <si>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</si>
  <si>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</si>
  <si>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</si>
  <si>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</si>
  <si>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</si>
  <si>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</si>
  <si>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</si>
  <si>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</si>
  <si>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</si>
  <si>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</si>
  <si>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</si>
  <si>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</si>
  <si>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</si>
  <si>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</si>
  <si>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</si>
  <si>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</si>
  <si>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</si>
  <si>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</si>
  <si>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</si>
  <si>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</si>
  <si>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</si>
  <si>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</si>
  <si>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</si>
  <si>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</si>
  <si>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</si>
  <si>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</si>
  <si>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</si>
  <si>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</si>
  <si>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</si>
  <si>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</si>
  <si>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</si>
  <si>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</si>
  <si>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</si>
  <si>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</si>
  <si>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</si>
  <si>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</si>
  <si>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</si>
  <si>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</si>
  <si>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</si>
  <si>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</si>
  <si>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</si>
  <si>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</si>
  <si>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</si>
  <si>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</si>
  <si>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</si>
  <si>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</si>
  <si>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</si>
  <si>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</si>
  <si>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</si>
  <si>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</si>
  <si>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</si>
  <si>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</si>
  <si>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</si>
  <si>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</si>
  <si>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</si>
  <si>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</si>
  <si>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</si>
  <si>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</si>
  <si>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</si>
  <si>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</si>
  <si>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</si>
  <si>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</si>
  <si>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</si>
  <si>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</si>
  <si>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</si>
  <si>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</si>
  <si>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</si>
  <si>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</si>
  <si>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</si>
  <si>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</si>
  <si>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</si>
  <si>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</si>
  <si>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</si>
  <si>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</si>
  <si>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</si>
  <si>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</si>
  <si>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</si>
  <si>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</si>
  <si>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</si>
  <si>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</si>
  <si>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</si>
  <si>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</si>
  <si>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</si>
  <si>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</si>
  <si>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</si>
  <si>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</si>
  <si>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</si>
  <si>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</si>
  <si>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</si>
  <si>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</si>
  <si>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</si>
  <si>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</si>
  <si>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</si>
  <si>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</si>
  <si>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</si>
  <si>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</si>
  <si>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</si>
  <si>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</si>
  <si>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</si>
  <si>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</si>
  <si>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</si>
  <si>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</si>
  <si>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</si>
  <si>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</si>
  <si>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</si>
  <si>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</si>
  <si>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</si>
  <si>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</si>
  <si>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</si>
  <si>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</si>
  <si>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</si>
  <si>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</si>
  <si>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</si>
  <si>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</si>
  <si>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</si>
  <si>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</si>
  <si>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</si>
  <si>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</si>
  <si>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</si>
  <si>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</si>
  <si>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</si>
  <si>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</si>
  <si>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</si>
  <si>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</si>
  <si>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</si>
  <si>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</si>
  <si>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</si>
  <si>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</si>
  <si>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</si>
  <si>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</si>
  <si>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</si>
  <si>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</si>
  <si>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</si>
  <si>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</si>
  <si>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</si>
  <si>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</si>
  <si>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</si>
  <si>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</si>
  <si>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</si>
  <si>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</si>
  <si>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</si>
  <si>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</si>
  <si>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</si>
  <si>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</si>
  <si>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</si>
  <si>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</si>
  <si>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</si>
  <si>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</si>
  <si>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</si>
  <si>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</si>
  <si>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</si>
  <si>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</si>
  <si>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</si>
  <si>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</si>
  <si>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</si>
  <si>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</si>
  <si>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</si>
  <si>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</si>
  <si>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</si>
  <si>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</si>
  <si>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</si>
  <si>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</si>
  <si>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</si>
  <si>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</si>
  <si>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</si>
  <si>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</si>
  <si>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</si>
  <si>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</si>
  <si>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</si>
  <si>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</si>
  <si>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</si>
  <si>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</si>
  <si>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</si>
  <si>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</si>
  <si>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</si>
  <si>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</si>
  <si>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</si>
  <si>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</si>
  <si>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</si>
  <si>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</si>
  <si>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</si>
  <si>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</si>
  <si>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</si>
  <si>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</si>
  <si>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</si>
  <si>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</si>
  <si>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</si>
  <si>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</si>
  <si>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</si>
  <si>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</si>
  <si>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</si>
  <si>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</si>
  <si>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</si>
  <si>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</si>
  <si>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</si>
  <si>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</si>
  <si>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</si>
  <si>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</si>
  <si>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</si>
  <si>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</si>
  <si>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</si>
  <si>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</si>
  <si>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</si>
  <si>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</si>
  <si>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</si>
  <si>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</si>
  <si>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</si>
  <si>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</si>
  <si>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</si>
  <si>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</si>
  <si>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</si>
  <si>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</si>
  <si>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</si>
  <si>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</si>
  <si>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</si>
  <si>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</si>
  <si>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</si>
  <si>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</si>
  <si>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</si>
  <si>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</si>
  <si>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</si>
  <si>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</si>
  <si>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</si>
  <si>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</si>
  <si>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</si>
  <si>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</si>
  <si>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</si>
  <si>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</si>
  <si>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</si>
  <si>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</si>
  <si>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</si>
  <si>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</si>
  <si>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</si>
  <si>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</si>
  <si>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</si>
  <si>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</si>
  <si>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</si>
  <si>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</si>
  <si>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</si>
  <si>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</si>
  <si>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</si>
  <si>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</si>
  <si>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</si>
  <si>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</si>
  <si>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</si>
  <si>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</si>
  <si>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</si>
  <si>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</si>
  <si>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</si>
  <si>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</si>
  <si>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</si>
  <si>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</si>
  <si>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</si>
  <si>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</si>
  <si>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</si>
  <si>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</si>
  <si>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</si>
  <si>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</si>
  <si>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</si>
  <si>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</si>
  <si>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</si>
  <si>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</si>
  <si>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</si>
  <si>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</si>
  <si>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</si>
  <si>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</si>
  <si>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</si>
  <si>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</si>
  <si>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</si>
  <si>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</si>
  <si>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</si>
  <si>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</si>
  <si>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</si>
  <si>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</si>
  <si>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</si>
  <si>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</si>
  <si>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</si>
  <si>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</si>
  <si>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</si>
  <si>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</si>
  <si>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</si>
  <si>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</si>
  <si>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</si>
  <si>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</si>
  <si>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</si>
  <si>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</si>
  <si>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</si>
  <si>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</si>
  <si>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</si>
  <si>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</si>
  <si>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</si>
  <si>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</si>
  <si>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</si>
  <si>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</si>
  <si>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</si>
  <si>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</si>
  <si>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</si>
  <si>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</si>
  <si>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</si>
  <si>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</si>
  <si>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</si>
  <si>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</si>
  <si>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</si>
  <si>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</si>
  <si>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</si>
  <si>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</si>
  <si>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</si>
  <si>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</si>
  <si>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</si>
  <si>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</si>
  <si>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</si>
  <si>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</si>
  <si>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</si>
  <si>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</si>
  <si>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</si>
  <si>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</si>
  <si>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</si>
  <si>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</si>
  <si>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</si>
  <si>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</si>
  <si>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</si>
  <si>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</si>
  <si>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</si>
  <si>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</si>
  <si>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</si>
  <si>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</si>
  <si>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</si>
  <si>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</si>
  <si>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</si>
  <si>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</si>
  <si>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</si>
  <si>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</si>
  <si>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</si>
  <si>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</si>
  <si>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</si>
  <si>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</si>
  <si>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</si>
  <si>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</si>
  <si>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</si>
  <si>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</si>
  <si>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</si>
  <si>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</si>
  <si>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</si>
  <si>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</si>
  <si>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</si>
  <si>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</si>
  <si>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</si>
  <si>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</si>
  <si>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</si>
  <si>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</si>
  <si>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</si>
  <si>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</si>
  <si>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</si>
  <si>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</si>
  <si>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</si>
  <si>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</si>
  <si>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</si>
  <si>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</si>
  <si>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</si>
  <si>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</si>
  <si>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</si>
  <si>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</si>
  <si>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</si>
  <si>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</si>
  <si>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</si>
  <si>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</si>
  <si>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</si>
  <si>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</si>
  <si>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</si>
  <si>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</si>
  <si>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</si>
  <si>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</si>
  <si>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</si>
  <si>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</si>
  <si>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</si>
  <si>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</si>
  <si>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</si>
  <si>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</si>
  <si>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</si>
  <si>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</si>
  <si>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</si>
  <si>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</si>
  <si>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</si>
  <si>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</si>
  <si>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</si>
  <si>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</si>
  <si>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</si>
  <si>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</si>
  <si>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</si>
  <si>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</si>
  <si>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</si>
  <si>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</si>
  <si>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</si>
  <si>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</si>
  <si>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</si>
  <si>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</si>
  <si>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</si>
  <si>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</si>
  <si>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</si>
  <si>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</si>
  <si>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</si>
  <si>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</si>
  <si>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</si>
  <si>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</si>
  <si>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</si>
  <si>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</si>
  <si>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</si>
  <si>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</si>
  <si>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</si>
  <si>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</si>
  <si>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</si>
  <si>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</si>
  <si>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</si>
  <si>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</si>
  <si>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</si>
  <si>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</si>
  <si>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</si>
  <si>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</si>
  <si>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</si>
  <si>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</si>
  <si>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</si>
  <si>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</si>
  <si>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</si>
  <si>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</si>
  <si>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</si>
  <si>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</si>
  <si>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</si>
  <si>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</si>
  <si>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</si>
  <si>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</si>
  <si>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</si>
  <si>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</si>
  <si>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</si>
  <si>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</si>
  <si>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</si>
  <si>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</si>
  <si>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</si>
  <si>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</si>
  <si>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</si>
  <si>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</si>
  <si>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</si>
  <si>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</si>
  <si>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</si>
  <si>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</si>
  <si>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</si>
  <si>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</si>
  <si>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</si>
  <si>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</si>
  <si>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</si>
  <si>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</si>
  <si>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</si>
  <si>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</si>
  <si>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</si>
  <si>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</si>
  <si>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</si>
  <si>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</si>
  <si>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</si>
  <si>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</si>
  <si>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</si>
  <si>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</si>
  <si>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</si>
  <si>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</si>
  <si>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</si>
  <si>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</si>
  <si>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</si>
  <si>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</si>
  <si>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</si>
  <si>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</si>
  <si>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</si>
  <si>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</si>
  <si>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</si>
  <si>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</si>
  <si>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</si>
  <si>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</si>
  <si>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</si>
  <si>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</si>
  <si>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</si>
  <si>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</si>
  <si>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</si>
  <si>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</si>
  <si>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</si>
  <si>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</si>
  <si>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</si>
  <si>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</si>
  <si>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</si>
  <si>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</si>
  <si>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</si>
  <si>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</si>
  <si>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</si>
  <si>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</si>
  <si>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</si>
  <si>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</si>
  <si>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</si>
  <si>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</si>
  <si>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</si>
  <si>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</si>
  <si>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</si>
  <si>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</si>
  <si>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</si>
  <si>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</si>
  <si>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</si>
  <si>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</si>
  <si>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</si>
  <si>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</si>
  <si>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</si>
  <si>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</si>
  <si>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</si>
  <si>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</si>
  <si>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</si>
  <si>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</si>
  <si>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</si>
  <si>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</si>
  <si>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</si>
  <si>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</si>
  <si>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</si>
  <si>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</si>
  <si>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</si>
  <si>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</si>
  <si>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</si>
  <si>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</si>
  <si>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</si>
  <si>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</si>
  <si>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</si>
  <si>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</si>
  <si>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</si>
  <si>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</si>
  <si>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</si>
  <si>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</si>
  <si>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</si>
  <si>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</si>
  <si>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</si>
  <si>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</si>
  <si>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</si>
  <si>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</si>
  <si>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</si>
  <si>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</si>
  <si>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</si>
  <si>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</si>
  <si>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</si>
  <si>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</si>
  <si>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</si>
  <si>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</si>
  <si>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</si>
  <si>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</si>
  <si>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</si>
  <si>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</si>
  <si>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</si>
  <si>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</si>
  <si>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</si>
  <si>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</si>
  <si>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</si>
  <si>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</si>
  <si>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</si>
  <si>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</si>
  <si>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</si>
  <si>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</si>
  <si>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</si>
  <si>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</si>
  <si>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</si>
  <si>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</si>
  <si>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</si>
  <si>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</si>
  <si>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</si>
  <si>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</si>
  <si>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</si>
  <si>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</si>
  <si>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</si>
  <si>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</si>
  <si>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</si>
  <si>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</si>
  <si>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</si>
  <si>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</si>
  <si>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</si>
  <si>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</si>
  <si>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</si>
  <si>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</si>
  <si>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</si>
  <si>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</si>
  <si>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</si>
  <si>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</si>
  <si>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</si>
  <si>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</si>
  <si>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</si>
  <si>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</si>
  <si>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</si>
  <si>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</si>
  <si>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</si>
  <si>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</si>
  <si>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</si>
  <si>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</si>
  <si>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</si>
  <si>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</si>
  <si>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</si>
  <si>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</si>
  <si>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</si>
  <si>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</si>
  <si>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</si>
  <si>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</si>
  <si>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</si>
  <si>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</si>
  <si>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</si>
  <si>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</si>
  <si>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</si>
  <si>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</si>
  <si>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</si>
  <si>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</si>
  <si>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</si>
  <si>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</si>
  <si>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</si>
  <si>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</si>
  <si>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</si>
  <si>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</si>
  <si>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</si>
  <si>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</si>
  <si>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</si>
  <si>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</si>
  <si>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</si>
  <si>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</si>
  <si>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</si>
  <si>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</si>
  <si>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</si>
  <si>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</si>
  <si>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</si>
  <si>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</si>
  <si>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</si>
  <si>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</si>
  <si>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</si>
  <si>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</si>
  <si>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</si>
  <si>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</si>
  <si>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</si>
  <si>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</si>
  <si>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</si>
  <si>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</si>
  <si>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</si>
  <si>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</si>
  <si>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</si>
  <si>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</si>
  <si>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</si>
  <si>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</si>
  <si>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</si>
  <si>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</si>
  <si>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</si>
  <si>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</si>
  <si>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</si>
  <si>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</si>
  <si>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</si>
  <si>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</si>
  <si>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</si>
  <si>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</si>
  <si>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</si>
  <si>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</si>
  <si>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</si>
  <si>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</si>
  <si>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</si>
  <si>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</si>
  <si>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</si>
  <si>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</si>
  <si>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</si>
  <si>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</si>
  <si>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</si>
  <si>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</si>
  <si>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</si>
  <si>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</si>
  <si>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</si>
  <si>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</si>
  <si>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</si>
  <si>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</si>
  <si>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</si>
  <si>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</si>
  <si>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</si>
  <si>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</si>
  <si>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</si>
  <si>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</si>
  <si>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</si>
  <si>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</si>
  <si>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</si>
  <si>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</si>
  <si>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</si>
  <si>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</si>
  <si>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</si>
  <si>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</si>
  <si>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</si>
  <si>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</si>
  <si>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</si>
  <si>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</si>
  <si>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</si>
  <si>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</si>
  <si>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</si>
  <si>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</si>
  <si>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</si>
  <si>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</si>
  <si>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</si>
  <si>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</si>
  <si>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</si>
  <si>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</si>
  <si>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</si>
  <si>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</si>
  <si>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</si>
  <si>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</si>
  <si>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</si>
  <si>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</si>
  <si>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</si>
  <si>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</si>
  <si>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</si>
  <si>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</si>
  <si>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</si>
  <si>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</si>
  <si>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</si>
  <si>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</si>
  <si>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</si>
  <si>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</si>
  <si>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</si>
  <si>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</si>
  <si>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</si>
  <si>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</si>
  <si>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</si>
  <si>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</si>
  <si>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</si>
  <si>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</si>
  <si>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</si>
  <si>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</si>
  <si>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</si>
  <si>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</si>
  <si>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</si>
  <si>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</si>
  <si>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</si>
  <si>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</si>
  <si>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</si>
  <si>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</si>
  <si>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</si>
  <si>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</si>
  <si>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</si>
  <si>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</si>
  <si>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</si>
  <si>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</si>
  <si>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</si>
  <si>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</si>
  <si>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</si>
  <si>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</si>
  <si>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</si>
  <si>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</si>
  <si>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</si>
  <si>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</si>
  <si>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</si>
  <si>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</si>
  <si>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</si>
  <si>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</si>
  <si>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</si>
  <si>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</si>
  <si>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</si>
  <si>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</si>
  <si>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</si>
  <si>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</si>
  <si>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</si>
  <si>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</si>
  <si>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</si>
  <si>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</si>
  <si>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</si>
  <si>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</si>
  <si>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</si>
  <si>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</si>
  <si>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</si>
  <si>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</si>
  <si>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</si>
  <si>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</si>
  <si>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</si>
  <si>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</si>
  <si>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</si>
  <si>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</si>
  <si>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</si>
  <si>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</si>
  <si>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</si>
  <si>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</si>
  <si>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</si>
  <si>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</si>
  <si>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</si>
  <si>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</si>
  <si>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</si>
  <si>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</si>
  <si>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</si>
  <si>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</si>
  <si>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</si>
  <si>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</si>
  <si>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</si>
  <si>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</si>
  <si>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</si>
  <si>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</si>
  <si>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</si>
  <si>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</si>
  <si>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</si>
  <si>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</si>
  <si>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</si>
  <si>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</si>
  <si>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</si>
  <si>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</si>
  <si>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</si>
  <si>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</si>
  <si>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</si>
  <si>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</si>
  <si>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</si>
  <si>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</si>
  <si>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</si>
  <si>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</si>
  <si>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</si>
  <si>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</si>
  <si>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</si>
  <si>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</si>
  <si>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</si>
  <si>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</si>
  <si>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</si>
  <si>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</si>
  <si>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</si>
  <si>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</si>
  <si>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</si>
  <si>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</si>
  <si>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</si>
  <si>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</si>
  <si>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</si>
  <si>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</si>
  <si>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</si>
  <si>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</si>
  <si>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</si>
  <si>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</si>
  <si>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</si>
  <si>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</si>
  <si>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</si>
  <si>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</si>
  <si>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</si>
  <si>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</si>
  <si>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</si>
  <si>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</si>
  <si>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</si>
  <si>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</si>
  <si>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</si>
  <si>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</si>
  <si>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</si>
  <si>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</si>
  <si>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</si>
  <si>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</si>
  <si>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</si>
  <si>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</si>
  <si>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</si>
  <si>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</si>
  <si>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</si>
  <si>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</si>
  <si>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</si>
  <si>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</si>
  <si>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</si>
  <si>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</si>
  <si>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</si>
  <si>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</si>
  <si>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</si>
  <si>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</si>
  <si>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</si>
  <si>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</si>
  <si>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</si>
  <si>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</si>
  <si>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</si>
  <si>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</si>
  <si>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</si>
  <si>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</si>
  <si>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</si>
  <si>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</si>
  <si>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</si>
  <si>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</si>
  <si>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</si>
  <si>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</si>
  <si>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</si>
  <si>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</si>
  <si>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</si>
  <si>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</si>
  <si>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</si>
  <si>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</si>
  <si>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</si>
  <si>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</si>
  <si>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</si>
  <si>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</si>
  <si>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</si>
  <si>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</si>
  <si>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</si>
  <si>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</si>
  <si>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</si>
  <si>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</si>
  <si>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</si>
  <si>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</si>
  <si>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</si>
  <si>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</si>
  <si>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</si>
  <si>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</si>
  <si>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</si>
  <si>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</si>
  <si>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</si>
  <si>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</si>
  <si>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</si>
  <si>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</si>
  <si>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</si>
  <si>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</si>
  <si>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</si>
  <si>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</si>
  <si>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</si>
  <si>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</si>
  <si>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</si>
  <si>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</si>
  <si>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</si>
  <si>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</si>
  <si>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</si>
  <si>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</si>
  <si>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</si>
  <si>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</si>
  <si>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</si>
  <si>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</si>
  <si>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</si>
  <si>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</si>
  <si>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</si>
  <si>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</si>
  <si>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</si>
  <si>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</si>
  <si>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</si>
  <si>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</si>
  <si>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</si>
  <si>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</si>
  <si>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</si>
  <si>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</si>
  <si>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</si>
  <si>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</si>
  <si>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</si>
  <si>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</si>
  <si>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</si>
  <si>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</si>
  <si>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</si>
  <si>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</si>
  <si>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</si>
  <si>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</si>
  <si>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</si>
  <si>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</si>
  <si>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</si>
  <si>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</si>
  <si>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</si>
  <si>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</si>
  <si>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</si>
  <si>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</si>
  <si>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</si>
  <si>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</si>
  <si>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</si>
  <si>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</si>
  <si>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</si>
  <si>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</si>
  <si>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</si>
  <si>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</si>
  <si>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</si>
  <si>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</si>
  <si>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</si>
  <si>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</si>
  <si>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</si>
  <si>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</si>
  <si>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</si>
  <si>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</si>
  <si>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</si>
  <si>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</si>
  <si>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</si>
  <si>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</si>
  <si>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</si>
  <si>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</si>
  <si>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</si>
  <si>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</si>
  <si>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</si>
  <si>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</si>
  <si>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</si>
  <si>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</si>
  <si>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</si>
  <si>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</si>
  <si>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</si>
  <si>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</si>
  <si>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</si>
  <si>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</si>
  <si>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</si>
  <si>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</si>
  <si>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</si>
  <si>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</si>
  <si>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</si>
  <si>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</si>
  <si>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</si>
  <si>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</si>
  <si>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</si>
  <si>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</si>
  <si>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</si>
  <si>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</si>
  <si>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</si>
  <si>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</si>
  <si>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</si>
  <si>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</si>
  <si>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</si>
  <si>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</si>
  <si>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</si>
  <si>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</si>
  <si>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</si>
  <si>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</si>
  <si>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</si>
  <si>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</si>
  <si>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</si>
  <si>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</si>
  <si>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</si>
  <si>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</si>
  <si>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</si>
  <si>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</si>
  <si>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</si>
  <si>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</si>
  <si>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</si>
  <si>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</si>
  <si>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</si>
  <si>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</si>
  <si>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</si>
  <si>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</si>
  <si>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</si>
  <si>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</si>
  <si>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</si>
  <si>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</si>
  <si>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</si>
  <si>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</si>
  <si>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</si>
  <si>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</si>
  <si>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</si>
  <si>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</si>
  <si>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</si>
  <si>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</si>
  <si>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</si>
  <si>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</si>
  <si>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</si>
  <si>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</si>
  <si>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</si>
  <si>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</si>
  <si>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</si>
  <si>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</si>
  <si>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</si>
  <si>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</si>
  <si>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</si>
  <si>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</si>
  <si>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</si>
  <si>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</si>
  <si>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</si>
  <si>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</si>
  <si>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</si>
  <si>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</si>
  <si>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</si>
  <si>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</si>
  <si>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</si>
  <si>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</si>
  <si>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</si>
  <si>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</si>
  <si>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</si>
  <si>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</si>
  <si>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</si>
  <si>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</si>
  <si>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</si>
  <si>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</si>
  <si>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</si>
  <si>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</si>
  <si>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</si>
  <si>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</si>
  <si>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</si>
  <si>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</si>
  <si>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</si>
  <si>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</si>
  <si>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</si>
  <si>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</si>
  <si>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</si>
  <si>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</si>
  <si>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</si>
  <si>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</si>
  <si>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</si>
  <si>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</si>
  <si>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</si>
  <si>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</si>
  <si>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</si>
  <si>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</si>
  <si>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</si>
  <si>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</si>
  <si>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</si>
  <si>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</si>
  <si>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</si>
  <si>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</si>
  <si>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</si>
  <si>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</si>
  <si>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</si>
  <si>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</si>
  <si>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</si>
  <si>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</si>
  <si>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</si>
  <si>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</si>
  <si>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</si>
  <si>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</si>
  <si>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</si>
  <si>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</si>
  <si>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</si>
  <si>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</si>
  <si>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</si>
  <si>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</si>
  <si>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</si>
  <si>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</si>
  <si>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</si>
  <si>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</si>
  <si>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</si>
  <si>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</si>
  <si>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</si>
  <si>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</si>
  <si>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</si>
  <si>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</si>
  <si>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</si>
  <si>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</si>
  <si>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</si>
  <si>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</si>
  <si>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</si>
  <si>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</si>
  <si>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</si>
  <si>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</si>
  <si>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</si>
  <si>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</si>
  <si>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</si>
  <si>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</si>
  <si>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</si>
  <si>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</si>
  <si>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</si>
  <si>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</si>
  <si>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</si>
  <si>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</si>
  <si>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</si>
  <si>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</si>
  <si>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</si>
  <si>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</si>
  <si>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</si>
  <si>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</si>
  <si>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</si>
  <si>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</si>
  <si>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</si>
  <si>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</si>
  <si>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</si>
  <si>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</si>
  <si>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</si>
  <si>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</si>
  <si>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</si>
  <si>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</si>
  <si>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</si>
  <si>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</si>
  <si>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</si>
  <si>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</si>
  <si>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</si>
  <si>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</si>
  <si>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</si>
  <si>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</si>
  <si>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</si>
  <si>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</si>
  <si>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</si>
  <si>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</si>
  <si>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</si>
  <si>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</si>
  <si>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</si>
  <si>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</si>
  <si>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</si>
  <si>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</si>
  <si>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</si>
  <si>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</si>
  <si>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</si>
  <si>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</si>
  <si>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</si>
  <si>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</si>
  <si>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</si>
  <si>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</si>
  <si>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</si>
  <si>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</si>
  <si>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</si>
  <si>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</si>
  <si>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</si>
  <si>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</si>
  <si>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</si>
  <si>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</si>
  <si>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</si>
  <si>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</si>
  <si>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</si>
  <si>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</si>
  <si>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</si>
  <si>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</si>
  <si>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</si>
  <si>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</si>
  <si>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</si>
  <si>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</si>
  <si>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</si>
  <si>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</si>
  <si>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</si>
  <si>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</si>
  <si>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</si>
  <si>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</si>
  <si>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</si>
  <si>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</si>
  <si>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</si>
  <si>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</si>
  <si>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</si>
  <si>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</si>
  <si>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</si>
  <si>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</si>
  <si>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</si>
  <si>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</si>
  <si>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</si>
  <si>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</si>
  <si>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</si>
  <si>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</si>
  <si>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</si>
  <si>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</si>
  <si>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</si>
  <si>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</si>
  <si>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</si>
  <si>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</si>
  <si>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</si>
  <si>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</si>
  <si>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</si>
  <si>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</si>
  <si>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</si>
  <si>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</si>
  <si>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</si>
  <si>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</si>
  <si>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</si>
  <si>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</si>
  <si>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</si>
  <si>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</si>
  <si>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</si>
  <si>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</si>
  <si>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</si>
  <si>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</si>
  <si>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</si>
  <si>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</si>
  <si>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</si>
  <si>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</si>
  <si>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</si>
  <si>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</si>
  <si>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</si>
  <si>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</si>
  <si>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</si>
  <si>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</si>
  <si>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</si>
  <si>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</si>
  <si>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</si>
  <si>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</si>
  <si>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</si>
  <si>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</si>
  <si>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</si>
  <si>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</si>
  <si>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</si>
  <si>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</si>
  <si>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</si>
  <si>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</si>
  <si>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</si>
  <si>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</si>
  <si>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</si>
  <si>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</si>
  <si>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</si>
  <si>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</si>
  <si>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</si>
  <si>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</si>
  <si>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</si>
  <si>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</si>
  <si>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</si>
  <si>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</si>
  <si>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</si>
  <si>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</si>
  <si>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</si>
  <si>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</si>
  <si>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</si>
  <si>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</si>
  <si>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</si>
  <si>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</si>
  <si>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</si>
  <si>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</si>
  <si>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</si>
  <si>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</si>
  <si>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</si>
  <si>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</si>
  <si>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</si>
  <si>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</si>
  <si>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</si>
  <si>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</si>
  <si>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</si>
  <si>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</si>
  <si>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</si>
  <si>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</si>
  <si>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</si>
  <si>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</si>
  <si>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</si>
  <si>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</si>
  <si>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</si>
  <si>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</si>
  <si>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</si>
  <si>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</si>
  <si>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</si>
  <si>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</si>
  <si>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</si>
  <si>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</si>
  <si>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</si>
  <si>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</si>
  <si>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</si>
  <si>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</si>
  <si>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</si>
  <si>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</si>
  <si>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</si>
  <si>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</si>
  <si>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</si>
  <si>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</si>
  <si>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</si>
  <si>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</si>
  <si>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</si>
  <si>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</si>
  <si>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</si>
  <si>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</si>
  <si>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</si>
  <si>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</si>
  <si>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</si>
  <si>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</si>
  <si>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</si>
  <si>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</si>
  <si>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</si>
  <si>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</si>
  <si>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</si>
  <si>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</si>
  <si>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</si>
  <si>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</si>
  <si>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</si>
  <si>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</si>
  <si>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</si>
  <si>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</si>
  <si>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</si>
  <si>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</si>
  <si>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</si>
  <si>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</si>
  <si>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</si>
  <si>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</si>
  <si>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</si>
  <si>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</si>
  <si>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</si>
  <si>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</si>
  <si>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</si>
  <si>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</si>
  <si>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</si>
  <si>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</si>
  <si>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</si>
  <si>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</si>
  <si>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</si>
  <si>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</si>
  <si>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</si>
  <si>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</si>
  <si>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</si>
  <si>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</si>
  <si>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</si>
  <si>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</si>
  <si>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</si>
  <si>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</si>
  <si>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</si>
  <si>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</si>
  <si>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</si>
  <si>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</si>
  <si>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</si>
  <si>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</si>
  <si>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</si>
  <si>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</si>
  <si>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</si>
  <si>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</si>
  <si>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</si>
  <si>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</si>
  <si>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</si>
  <si>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</si>
  <si>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</si>
  <si>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</si>
  <si>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</si>
  <si>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</si>
  <si>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</si>
  <si>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</si>
  <si>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</si>
  <si>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</si>
  <si>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</si>
  <si>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</si>
  <si>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</si>
  <si>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</si>
  <si>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</si>
  <si>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</si>
  <si>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</si>
  <si>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</si>
  <si>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</si>
  <si>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</si>
  <si>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</si>
  <si>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</si>
  <si>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</si>
  <si>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</si>
  <si>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</si>
  <si>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</si>
  <si>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</si>
  <si>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</si>
  <si>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</si>
  <si>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</si>
  <si>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</si>
  <si>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</si>
  <si>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</si>
  <si>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</si>
  <si>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</si>
  <si>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</si>
  <si>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</si>
  <si>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</si>
  <si>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</si>
  <si>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</si>
  <si>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</si>
  <si>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</si>
  <si>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</si>
  <si>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</si>
  <si>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</si>
  <si>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</si>
  <si>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</si>
  <si>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</si>
  <si>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</si>
  <si>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</si>
  <si>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</si>
  <si>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</si>
  <si>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</si>
  <si>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</si>
  <si>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</si>
  <si>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</si>
  <si>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</si>
  <si>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</si>
  <si>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</si>
  <si>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</si>
  <si>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</si>
  <si>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</si>
  <si>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</si>
  <si>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</si>
  <si>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</si>
  <si>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</si>
  <si>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</si>
  <si>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</si>
  <si>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</si>
  <si>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</si>
  <si>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</si>
  <si>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</si>
  <si>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</si>
  <si>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</si>
  <si>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</si>
  <si>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</si>
  <si>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</si>
  <si>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</si>
  <si>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</si>
  <si>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</si>
  <si>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</si>
  <si>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</si>
  <si>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</si>
  <si>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</si>
  <si>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</si>
  <si>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</si>
  <si>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</si>
  <si>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</si>
  <si>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</si>
  <si>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</si>
  <si>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</si>
  <si>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</si>
  <si>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</si>
  <si>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</si>
  <si>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</si>
  <si>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</si>
  <si>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</si>
  <si>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</si>
  <si>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</si>
  <si>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</si>
  <si>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</si>
  <si>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</si>
  <si>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</si>
  <si>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</si>
  <si>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</si>
  <si>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</si>
  <si>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</si>
  <si>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</si>
  <si>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</si>
  <si>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</si>
  <si>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</si>
  <si>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</si>
  <si>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</si>
  <si>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</si>
  <si>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</si>
  <si>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</si>
  <si>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</si>
  <si>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</si>
  <si>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</si>
  <si>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</si>
  <si>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</si>
  <si>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</si>
  <si>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</si>
  <si>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</si>
  <si>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</si>
  <si>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</si>
  <si>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</si>
  <si>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</si>
  <si>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</si>
  <si>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</si>
  <si>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</si>
  <si>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</si>
  <si>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</si>
  <si>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</si>
  <si>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</si>
  <si>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</si>
  <si>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</si>
  <si>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</si>
  <si>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</si>
  <si>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</si>
  <si>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</si>
  <si>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</si>
  <si>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</si>
  <si>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</si>
  <si>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</si>
  <si>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</si>
  <si>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</si>
  <si>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</si>
  <si>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</si>
  <si>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</si>
  <si>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</si>
  <si>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</si>
  <si>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</si>
  <si>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</si>
  <si>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</si>
  <si>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</si>
  <si>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</si>
  <si>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</si>
  <si>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</si>
  <si>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</si>
  <si>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</si>
  <si>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</si>
  <si>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</si>
  <si>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</si>
  <si>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</si>
  <si>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</si>
  <si>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</si>
  <si>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</si>
  <si>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</si>
  <si>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</si>
  <si>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</si>
  <si>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</si>
  <si>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</si>
  <si>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</si>
  <si>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</si>
  <si>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</si>
  <si>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</si>
  <si>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</si>
  <si>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</si>
  <si>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</si>
  <si>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</si>
  <si>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</si>
  <si>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</si>
  <si>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</si>
  <si>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</si>
  <si>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</si>
  <si>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</si>
  <si>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</si>
  <si>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</si>
  <si>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</si>
  <si>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</si>
  <si>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</si>
  <si>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</si>
  <si>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</si>
  <si>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</si>
  <si>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</si>
  <si>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</si>
  <si>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</si>
  <si>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</si>
  <si>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</si>
  <si>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</si>
  <si>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</si>
  <si>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</si>
  <si>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</si>
  <si>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</si>
  <si>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</si>
  <si>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</si>
  <si>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</si>
  <si>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</si>
  <si>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</si>
  <si>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</si>
  <si>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</si>
  <si>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</si>
  <si>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</si>
  <si>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</si>
  <si>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</si>
  <si>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</si>
  <si>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</si>
  <si>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</si>
  <si>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</si>
  <si>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</si>
  <si>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</si>
  <si>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</si>
  <si>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</si>
  <si>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</si>
  <si>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</si>
  <si>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</si>
  <si>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</si>
  <si>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</si>
  <si>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</si>
  <si>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</si>
  <si>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</si>
  <si>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</si>
  <si>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</si>
  <si>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</si>
  <si>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</si>
  <si>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</si>
  <si>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</si>
  <si>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</si>
  <si>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</si>
  <si>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</si>
  <si>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</si>
  <si>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</si>
  <si>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</si>
  <si>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</si>
  <si>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</si>
  <si>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</si>
  <si>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</si>
  <si>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</si>
  <si>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</si>
  <si>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</si>
  <si>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</si>
  <si>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</si>
  <si>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</si>
  <si>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</si>
  <si>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</si>
  <si>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</si>
  <si>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</si>
  <si>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</si>
  <si>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</si>
  <si>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</si>
  <si>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</si>
  <si>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</si>
  <si>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</si>
  <si>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</si>
  <si>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</si>
  <si>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</si>
  <si>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</si>
  <si>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</si>
  <si>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</si>
  <si>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</si>
  <si>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</si>
  <si>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</si>
  <si>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</si>
  <si>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</si>
  <si>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</si>
  <si>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</si>
  <si>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</si>
  <si>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</si>
  <si>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</si>
  <si>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</si>
  <si>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</si>
  <si>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</si>
  <si>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</si>
  <si>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</si>
  <si>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</si>
  <si>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</si>
  <si>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</si>
  <si>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</si>
  <si>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</si>
  <si>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</si>
  <si>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</si>
  <si>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</si>
  <si>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</si>
  <si>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</si>
  <si>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</si>
  <si>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</si>
  <si>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</si>
  <si>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</si>
  <si>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</si>
  <si>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</si>
  <si>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</si>
  <si>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</si>
  <si>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</si>
  <si>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</si>
  <si>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</si>
  <si>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</si>
  <si>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</si>
  <si>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</si>
  <si>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</si>
  <si>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</si>
  <si>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</si>
  <si>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</si>
  <si>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</si>
  <si>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</si>
  <si>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</si>
  <si>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</si>
  <si>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</si>
  <si>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</si>
  <si>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</si>
  <si>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</si>
  <si>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</si>
  <si>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</si>
  <si>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</si>
  <si>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</si>
  <si>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</si>
  <si>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</si>
  <si>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</si>
  <si>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</si>
  <si>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</si>
  <si>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</si>
  <si>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</si>
  <si>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</si>
  <si>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</si>
  <si>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</si>
  <si>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</si>
  <si>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</si>
  <si>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</si>
  <si>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</si>
  <si>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</si>
  <si>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</si>
  <si>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</si>
  <si>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</si>
  <si>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</si>
  <si>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</si>
  <si>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</si>
  <si>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</si>
  <si>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</si>
  <si>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</si>
  <si>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</si>
  <si>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</si>
  <si>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</si>
  <si>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</si>
  <si>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</si>
  <si>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</si>
  <si>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</si>
  <si>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</si>
  <si>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</si>
  <si>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</si>
  <si>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</si>
  <si>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</si>
  <si>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</si>
  <si>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</si>
  <si>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</si>
  <si>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</si>
  <si>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</si>
  <si>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</si>
  <si>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</si>
  <si>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</si>
  <si>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</si>
  <si>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</si>
  <si>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</si>
  <si>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</si>
  <si>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</si>
  <si>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</si>
  <si>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</si>
  <si>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</si>
  <si>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</si>
  <si>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</si>
  <si>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</si>
  <si>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</si>
  <si>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</si>
  <si>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</si>
  <si>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</si>
  <si>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</si>
  <si>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</si>
  <si>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</si>
  <si>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</si>
  <si>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</si>
  <si>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</si>
  <si>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</si>
  <si>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</si>
  <si>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</si>
  <si>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</si>
  <si>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</si>
  <si>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</si>
  <si>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</si>
  <si>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</si>
  <si>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</si>
  <si>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</si>
  <si>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</si>
  <si>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</si>
  <si>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</si>
  <si>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</si>
  <si>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</si>
  <si>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</si>
  <si>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</si>
  <si>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</si>
  <si>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</si>
  <si>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</si>
  <si>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</si>
  <si>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</si>
  <si>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</si>
  <si>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</si>
  <si>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</si>
  <si>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</si>
  <si>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</si>
  <si>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</si>
  <si>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</si>
  <si>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</si>
  <si>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</si>
  <si>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</si>
  <si>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</si>
  <si>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</si>
  <si>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</si>
  <si>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</si>
  <si>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</si>
  <si>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</si>
  <si>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</si>
  <si>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</si>
  <si>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</si>
  <si>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</si>
  <si>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</si>
  <si>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</si>
  <si>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</si>
  <si>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</si>
  <si>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</si>
  <si>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</si>
  <si>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</si>
  <si>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</si>
  <si>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</si>
  <si>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</si>
  <si>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</si>
  <si>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</si>
  <si>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</si>
  <si>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</si>
  <si>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</si>
  <si>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</si>
  <si>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</si>
  <si>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</si>
  <si>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</si>
  <si>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</si>
  <si>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</si>
  <si>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</si>
  <si>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</si>
  <si>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</si>
  <si>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</si>
  <si>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</si>
  <si>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</si>
  <si>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</si>
  <si>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</si>
  <si>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</si>
  <si>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</si>
  <si>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</si>
  <si>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</si>
  <si>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</si>
  <si>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</si>
  <si>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</si>
  <si>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</si>
  <si>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</si>
  <si>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</si>
  <si>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</si>
  <si>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</si>
  <si>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</si>
  <si>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</si>
  <si>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</si>
  <si>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</si>
  <si>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</si>
  <si>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</si>
  <si>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</si>
  <si>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</si>
  <si>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</si>
  <si>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</si>
  <si>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</si>
  <si>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</si>
  <si>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</si>
  <si>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</si>
  <si>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</si>
  <si>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</si>
  <si>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</si>
  <si>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</si>
  <si>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</si>
  <si>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</si>
  <si>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</si>
  <si>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</si>
  <si>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</si>
  <si>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</si>
  <si>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</si>
  <si>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</si>
  <si>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</si>
  <si>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</si>
  <si>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</si>
  <si>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</si>
  <si>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</si>
  <si>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</si>
  <si>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</si>
  <si>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</si>
  <si>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</si>
  <si>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</si>
  <si>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</si>
  <si>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</si>
  <si>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</si>
  <si>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</si>
  <si>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</si>
  <si>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</si>
  <si>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</si>
  <si>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</si>
  <si>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</si>
  <si>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</si>
  <si>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</si>
  <si>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</si>
  <si>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</si>
  <si>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</si>
  <si>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</si>
  <si>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</si>
  <si>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</si>
  <si>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</si>
  <si>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</si>
  <si>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</si>
  <si>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</si>
  <si>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</si>
  <si>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</si>
  <si>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</si>
  <si>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</si>
  <si>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</si>
  <si>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</si>
  <si>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</si>
  <si>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</si>
  <si>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</si>
  <si>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</si>
  <si>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</si>
  <si>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</si>
  <si>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</si>
  <si>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</si>
  <si>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</si>
  <si>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</si>
  <si>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</si>
  <si>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</si>
  <si>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</si>
  <si>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</si>
  <si>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</si>
  <si>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</si>
  <si>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</si>
  <si>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</si>
  <si>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</si>
  <si>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</si>
  <si>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</si>
  <si>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</si>
  <si>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</si>
  <si>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</si>
  <si>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</si>
  <si>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</si>
  <si>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</si>
  <si>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</si>
  <si>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</si>
  <si>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</si>
  <si>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</si>
  <si>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</si>
  <si>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</si>
  <si>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</si>
  <si>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</si>
  <si>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</si>
  <si>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</si>
  <si>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</si>
  <si>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</si>
  <si>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</si>
  <si>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</si>
  <si>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</si>
  <si>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</si>
  <si>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</si>
  <si>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</si>
  <si>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</si>
  <si>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</si>
  <si>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</si>
  <si>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</si>
  <si>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</si>
  <si>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</si>
  <si>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</si>
  <si>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</si>
  <si>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</si>
  <si>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</si>
  <si>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</si>
  <si>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</si>
  <si>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</si>
  <si>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</si>
  <si>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</si>
  <si>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</si>
  <si>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</si>
  <si>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</si>
  <si>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</si>
  <si>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</si>
  <si>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</si>
  <si>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</si>
  <si>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</si>
  <si>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</si>
  <si>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</si>
  <si>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</si>
  <si>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</si>
  <si>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</si>
  <si>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</si>
  <si>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</si>
  <si>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</si>
  <si>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</si>
  <si>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</si>
  <si>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</si>
  <si>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</si>
  <si>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</si>
  <si>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</si>
  <si>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</si>
  <si>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</si>
  <si>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</si>
  <si>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</si>
  <si>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</si>
  <si>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</si>
  <si>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</si>
  <si>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</si>
  <si>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</si>
  <si>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</si>
  <si>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</si>
  <si>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</si>
  <si>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</si>
  <si>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</si>
  <si>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</si>
  <si>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</si>
  <si>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</si>
  <si>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</si>
  <si>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</si>
  <si>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</si>
  <si>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</si>
  <si>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</si>
  <si>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</si>
  <si>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</si>
  <si>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</si>
  <si>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</si>
  <si>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</si>
  <si>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</si>
  <si>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</si>
  <si>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</si>
  <si>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</si>
  <si>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</si>
  <si>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</si>
  <si>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</si>
  <si>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</si>
  <si>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</si>
  <si>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</si>
  <si>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</si>
  <si>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</si>
  <si>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</si>
  <si>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</si>
  <si>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</si>
  <si>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</si>
  <si>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</si>
  <si>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</si>
  <si>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</si>
  <si>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</si>
  <si>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</si>
  <si>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</si>
  <si>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</si>
  <si>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</si>
  <si>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</si>
  <si>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</si>
  <si>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</si>
  <si>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</si>
  <si>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</si>
  <si>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</si>
  <si>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</si>
  <si>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</si>
  <si>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</si>
  <si>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</si>
  <si>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</si>
  <si>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</si>
  <si>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</si>
  <si>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</si>
  <si>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</si>
  <si>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</si>
  <si>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</si>
  <si>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</si>
  <si>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</si>
  <si>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</si>
  <si>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</si>
  <si>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</si>
  <si>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</si>
  <si>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</si>
  <si>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</si>
  <si>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</si>
  <si>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</si>
  <si>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</si>
  <si>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</si>
  <si>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</si>
  <si>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</si>
  <si>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</si>
  <si>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</si>
  <si>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</si>
  <si>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</si>
  <si>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</si>
  <si>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</si>
  <si>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</si>
  <si>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</si>
  <si>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</si>
  <si>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</si>
  <si>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</si>
  <si>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</si>
  <si>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</si>
  <si>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</si>
  <si>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</si>
  <si>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</si>
  <si>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</si>
  <si>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</si>
  <si>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</si>
  <si>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</si>
  <si>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</si>
  <si>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</si>
  <si>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</si>
  <si>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</si>
  <si>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</si>
  <si>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</si>
  <si>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</si>
  <si>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</si>
  <si>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</si>
  <si>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</si>
  <si>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</si>
  <si>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</si>
  <si>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</si>
  <si>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</si>
  <si>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</si>
  <si>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</si>
  <si>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</si>
  <si>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</si>
  <si>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</si>
  <si>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</si>
  <si>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</si>
  <si>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</si>
  <si>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</si>
  <si>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</si>
  <si>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</si>
  <si>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</si>
  <si>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</si>
  <si>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</si>
  <si>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</si>
  <si>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</si>
  <si>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</si>
  <si>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</si>
  <si>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</si>
  <si>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</si>
  <si>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</si>
  <si>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</si>
  <si>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</si>
  <si>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</si>
  <si>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</si>
  <si>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</si>
  <si>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</si>
  <si>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</si>
  <si>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</si>
  <si>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</si>
  <si>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</si>
  <si>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</si>
  <si>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</si>
  <si>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</si>
  <si>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</si>
  <si>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</si>
  <si>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</si>
  <si>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</si>
  <si>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</si>
  <si>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</si>
  <si>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</si>
  <si>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</si>
  <si>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</si>
  <si>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</si>
  <si>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</si>
  <si>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</si>
  <si>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</si>
  <si>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</si>
  <si>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</si>
  <si>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</si>
  <si>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</si>
  <si>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</si>
  <si>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</si>
  <si>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</si>
  <si>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</si>
  <si>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</si>
  <si>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</si>
  <si>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</si>
  <si>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</si>
  <si>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</si>
  <si>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</si>
  <si>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</si>
  <si>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</si>
  <si>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</si>
  <si>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</si>
  <si>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</si>
  <si>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</si>
  <si>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</si>
  <si>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</si>
  <si>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</si>
  <si>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</si>
  <si>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</si>
  <si>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</si>
  <si>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</si>
  <si>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</si>
  <si>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</si>
  <si>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</si>
  <si>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</si>
  <si>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</si>
  <si>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</si>
  <si>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</si>
  <si>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</si>
  <si>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</si>
  <si>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</si>
  <si>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</si>
  <si>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</si>
  <si>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</si>
  <si>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</si>
  <si>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</si>
  <si>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</si>
  <si>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</si>
  <si>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</si>
  <si>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</si>
  <si>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</si>
  <si>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</si>
  <si>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</si>
  <si>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</si>
  <si>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</si>
  <si>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</si>
  <si>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</si>
  <si>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</si>
  <si>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</si>
  <si>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</si>
  <si>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</si>
  <si>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</si>
  <si>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</si>
  <si>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</si>
  <si>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</si>
  <si>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</si>
  <si>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</si>
  <si>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</si>
  <si>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</si>
  <si>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</si>
  <si>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</si>
  <si>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</si>
  <si>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</si>
  <si>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</si>
  <si>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</si>
  <si>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</si>
  <si>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</si>
  <si>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</si>
  <si>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</si>
  <si>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</si>
  <si>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</si>
  <si>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</si>
  <si>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</si>
  <si>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</si>
  <si>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</si>
  <si>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</si>
  <si>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</si>
  <si>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</si>
  <si>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</si>
  <si>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</si>
  <si>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</si>
  <si>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</si>
  <si>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</si>
  <si>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</si>
  <si>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</si>
  <si>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</si>
  <si>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</si>
  <si>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</si>
  <si>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</si>
  <si>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</si>
  <si>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</si>
  <si>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</si>
  <si>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</si>
  <si>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</si>
  <si>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</si>
  <si>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</si>
  <si>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</si>
  <si>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</si>
  <si>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</si>
  <si>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</si>
  <si>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</si>
  <si>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</si>
  <si>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</si>
  <si>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</si>
  <si>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</si>
  <si>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</si>
  <si>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</si>
  <si>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</si>
  <si>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</si>
  <si>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</si>
  <si>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</si>
  <si>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</si>
  <si>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</si>
  <si>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</si>
  <si>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</si>
  <si>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</si>
  <si>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</si>
  <si>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</si>
  <si>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</si>
  <si>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</si>
  <si>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</si>
  <si>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</si>
  <si>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</si>
  <si>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</si>
  <si>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</si>
  <si>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</si>
  <si>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</si>
  <si>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</si>
  <si>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</si>
  <si>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</si>
  <si>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</si>
  <si>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</si>
  <si>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</si>
  <si>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</si>
  <si>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</si>
  <si>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</si>
  <si>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</si>
  <si>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</si>
  <si>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</si>
  <si>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</si>
  <si>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</si>
  <si>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</si>
  <si>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</si>
  <si>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</si>
  <si>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</si>
  <si>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</si>
  <si>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</si>
  <si>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</si>
  <si>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</si>
  <si>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</si>
  <si>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</si>
  <si>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</si>
  <si>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</si>
  <si>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</si>
  <si>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</si>
  <si>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</si>
  <si>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</si>
  <si>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</si>
  <si>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</si>
  <si>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</si>
  <si>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</si>
  <si>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</si>
  <si>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</si>
  <si>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</si>
  <si>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</si>
  <si>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</si>
  <si>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</si>
  <si>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</si>
  <si>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</si>
  <si>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</si>
  <si>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</si>
  <si>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</si>
  <si>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</si>
  <si>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</si>
  <si>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</si>
  <si>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</si>
  <si>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</si>
  <si>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</si>
  <si>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</si>
  <si>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</si>
  <si>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</si>
  <si>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</si>
  <si>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</si>
  <si>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</si>
  <si>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</si>
  <si>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</si>
  <si>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</si>
  <si>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</si>
  <si>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</si>
  <si>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</si>
  <si>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</si>
  <si>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</si>
  <si>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</si>
  <si>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</si>
  <si>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</si>
  <si>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</si>
  <si>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</si>
  <si>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</si>
  <si>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</si>
  <si>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</si>
  <si>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</si>
  <si>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</si>
  <si>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</si>
  <si>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</si>
  <si>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</si>
  <si>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</si>
  <si>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</si>
  <si>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</si>
  <si>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</si>
  <si>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</si>
  <si>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</si>
  <si>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</si>
  <si>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</si>
  <si>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</si>
  <si>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</si>
  <si>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</si>
  <si>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</si>
  <si>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</si>
  <si>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</si>
  <si>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</si>
  <si>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</si>
  <si>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</si>
  <si>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</si>
  <si>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</si>
  <si>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</si>
  <si>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</si>
  <si>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</si>
  <si>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</si>
  <si>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</si>
  <si>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</si>
  <si>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</si>
  <si>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</si>
  <si>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</si>
  <si>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</si>
  <si>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</si>
  <si>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</si>
  <si>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</si>
  <si>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</si>
  <si>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</si>
  <si>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</si>
  <si>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</si>
  <si>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</si>
  <si>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</si>
  <si>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</si>
  <si>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</si>
  <si>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</si>
  <si>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</si>
  <si>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</si>
  <si>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</si>
  <si>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</si>
  <si>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</si>
  <si>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</si>
  <si>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</si>
  <si>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</si>
  <si>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</si>
  <si>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</si>
  <si>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</si>
  <si>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</si>
  <si>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</si>
  <si>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</si>
  <si>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</si>
  <si>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</si>
  <si>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</si>
  <si>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</si>
  <si>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</si>
  <si>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</si>
  <si>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</si>
  <si>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</si>
  <si>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</si>
  <si>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</si>
  <si>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</si>
  <si>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</si>
  <si>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</si>
  <si>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</si>
  <si>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</si>
  <si>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</si>
  <si>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</si>
  <si>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</si>
  <si>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</si>
  <si>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</si>
  <si>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</si>
  <si>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</si>
  <si>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</si>
  <si>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</si>
  <si>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</si>
  <si>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</si>
  <si>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</si>
  <si>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</si>
  <si>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</si>
  <si>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</si>
  <si>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</si>
  <si>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</si>
  <si>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</si>
  <si>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</si>
  <si>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</si>
  <si>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</si>
  <si>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</si>
  <si>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</si>
  <si>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</si>
  <si>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</si>
  <si>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</si>
  <si>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</si>
  <si>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</si>
  <si>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</si>
  <si>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</si>
  <si>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</si>
  <si>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</si>
  <si>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</si>
  <si>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</si>
  <si>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</si>
  <si>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</si>
  <si>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</si>
  <si>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</si>
  <si>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</si>
  <si>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</si>
  <si>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</si>
  <si>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</si>
  <si>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</si>
  <si>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</si>
  <si>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</si>
  <si>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</si>
  <si>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</si>
  <si>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</si>
  <si>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</si>
  <si>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</si>
  <si>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</si>
  <si>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</si>
  <si>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</si>
  <si>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</si>
  <si>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</si>
  <si>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</si>
  <si>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</si>
  <si>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</si>
  <si>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</si>
  <si>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</si>
  <si>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</si>
  <si>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</si>
  <si>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</si>
  <si>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</si>
  <si>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</si>
  <si>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</si>
  <si>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</si>
  <si>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</si>
  <si>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</si>
  <si>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</si>
  <si>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</si>
  <si>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</si>
  <si>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</si>
  <si>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</si>
  <si>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</si>
  <si>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</si>
  <si>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</si>
  <si>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</si>
  <si>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</si>
  <si>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</si>
  <si>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</si>
  <si>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</si>
  <si>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</si>
  <si>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</si>
  <si>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</si>
  <si>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</si>
  <si>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</si>
  <si>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</si>
  <si>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</si>
  <si>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</si>
  <si>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</si>
  <si>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</si>
  <si>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</si>
  <si>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</si>
  <si>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</si>
  <si>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</si>
  <si>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</si>
  <si>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</si>
  <si>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</si>
  <si>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</si>
  <si>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</si>
  <si>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</si>
  <si>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</si>
  <si>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</si>
  <si>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</si>
  <si>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</si>
  <si>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</si>
  <si>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</si>
  <si>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</si>
  <si>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</si>
  <si>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</si>
  <si>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</si>
  <si>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</si>
  <si>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</si>
  <si>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</si>
  <si>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</si>
  <si>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</si>
  <si>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</si>
  <si>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</si>
  <si>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</si>
  <si>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</si>
  <si>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</si>
  <si>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</si>
  <si>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</si>
  <si>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</si>
  <si>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</si>
  <si>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</si>
  <si>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</si>
  <si>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</si>
  <si>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</si>
  <si>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</si>
  <si>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</si>
  <si>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</si>
  <si>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</si>
  <si>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</si>
  <si>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</si>
  <si>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</si>
  <si>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</si>
  <si>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</si>
  <si>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</si>
  <si>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</si>
  <si>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</si>
  <si>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</si>
  <si>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</si>
  <si>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</si>
  <si>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</si>
  <si>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</si>
  <si>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</si>
  <si>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</si>
  <si>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</si>
  <si>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</si>
  <si>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</si>
  <si>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</si>
  <si>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</si>
  <si>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</si>
  <si>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</si>
  <si>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</si>
  <si>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</si>
  <si>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</si>
  <si>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</si>
  <si>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</si>
  <si>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</si>
  <si>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</si>
  <si>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</si>
  <si>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</si>
  <si>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</si>
  <si>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</si>
  <si>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</si>
  <si>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</si>
  <si>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</si>
  <si>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</si>
  <si>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</si>
  <si>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</si>
  <si>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</si>
  <si>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</si>
  <si>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</si>
  <si>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</si>
  <si>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</si>
  <si>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</si>
  <si>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</si>
  <si>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</si>
  <si>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</si>
  <si>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</si>
  <si>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</si>
  <si>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</si>
  <si>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</si>
  <si>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</si>
  <si>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</si>
  <si>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</si>
  <si>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</si>
  <si>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</si>
  <si>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</si>
  <si>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</si>
  <si>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</si>
  <si>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</si>
  <si>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</si>
  <si>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</si>
  <si>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</si>
  <si>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</si>
  <si>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</si>
  <si>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</si>
  <si>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</si>
  <si>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</si>
  <si>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</si>
  <si>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</si>
  <si>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</si>
  <si>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</si>
  <si>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</si>
  <si>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</si>
  <si>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</si>
  <si>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</si>
  <si>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</si>
  <si>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</si>
  <si>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</si>
  <si>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</si>
  <si>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</si>
  <si>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</si>
  <si>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</si>
  <si>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</si>
  <si>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</si>
  <si>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</si>
  <si>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</si>
  <si>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</si>
  <si>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</si>
  <si>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</si>
  <si>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</si>
  <si>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</si>
  <si>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</si>
  <si>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</si>
  <si>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</si>
  <si>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</si>
  <si>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</si>
  <si>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</si>
  <si>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</si>
  <si>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</si>
  <si>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</si>
  <si>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</si>
  <si>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</si>
  <si>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</si>
  <si>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</si>
  <si>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</si>
  <si>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</si>
  <si>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</si>
  <si>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</si>
  <si>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</si>
  <si>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</si>
  <si>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</si>
  <si>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</si>
  <si>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</si>
  <si>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</si>
  <si>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</si>
  <si>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</si>
  <si>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</si>
  <si>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</si>
  <si>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</si>
  <si>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</si>
  <si>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</si>
  <si>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</si>
  <si>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</si>
  <si>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</si>
  <si>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</si>
  <si>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</si>
  <si>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</si>
  <si>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</si>
  <si>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</si>
  <si>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</si>
  <si>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</si>
  <si>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</si>
  <si>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</si>
  <si>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</si>
  <si>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</si>
  <si>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</si>
  <si>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</si>
  <si>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</si>
  <si>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</si>
  <si>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</si>
  <si>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</si>
  <si>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</si>
  <si>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</si>
  <si>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</si>
  <si>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</si>
  <si>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</si>
  <si>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</si>
  <si>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</si>
  <si>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</si>
  <si>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</si>
  <si>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</si>
  <si>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</si>
  <si>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</si>
  <si>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</si>
  <si>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</si>
  <si>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</si>
  <si>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</si>
  <si>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</si>
  <si>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</si>
  <si>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</si>
  <si>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</si>
  <si>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</si>
  <si>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</si>
  <si>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</si>
  <si>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</si>
  <si>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</si>
  <si>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</si>
  <si>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</si>
  <si>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</si>
  <si>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</si>
  <si>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</si>
  <si>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</si>
  <si>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</si>
  <si>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</si>
  <si>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</si>
  <si>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</si>
  <si>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</si>
  <si>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</si>
  <si>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</si>
  <si>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</si>
  <si>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</si>
  <si>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</si>
  <si>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</si>
  <si>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</si>
  <si>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</si>
  <si>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</si>
  <si>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</si>
  <si>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</si>
  <si>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</si>
  <si>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</si>
  <si>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</si>
  <si>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</si>
  <si>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</si>
  <si>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</si>
  <si>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</si>
  <si>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</si>
  <si>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</si>
  <si>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</si>
  <si>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</si>
  <si>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</si>
  <si>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</si>
  <si>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</si>
  <si>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</si>
  <si>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</si>
  <si>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</si>
  <si>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</si>
  <si>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</si>
  <si>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</si>
  <si>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</si>
  <si>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</si>
  <si>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</si>
  <si>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</si>
  <si>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</si>
  <si>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</si>
  <si>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</si>
  <si>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</si>
  <si>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</si>
  <si>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</si>
  <si>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</si>
  <si>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</si>
  <si>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</si>
  <si>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</si>
  <si>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</si>
  <si>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</si>
  <si>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</si>
  <si>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</si>
  <si>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</si>
  <si>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</si>
  <si>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</si>
  <si>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</si>
  <si>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</si>
  <si>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</si>
  <si>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</si>
  <si>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</si>
  <si>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</si>
  <si>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</si>
  <si>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</si>
  <si>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</si>
  <si>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</si>
  <si>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</si>
  <si>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</si>
  <si>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</si>
  <si>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</si>
  <si>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</si>
  <si>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</si>
  <si>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</si>
  <si>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</si>
  <si>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</si>
  <si>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</si>
  <si>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</si>
  <si>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</si>
  <si>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</si>
  <si>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</si>
  <si>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</si>
  <si>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</si>
  <si>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</si>
  <si>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</si>
  <si>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</si>
  <si>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</si>
  <si>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</si>
  <si>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</si>
  <si>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</si>
  <si>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</si>
  <si>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</si>
  <si>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</si>
  <si>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</si>
  <si>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</si>
  <si>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</si>
  <si>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</si>
  <si>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</si>
  <si>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</si>
  <si>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</si>
  <si>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</si>
  <si>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</si>
  <si>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</si>
  <si>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</si>
  <si>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</si>
  <si>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</si>
  <si>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</si>
  <si>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</si>
  <si>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</si>
  <si>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</si>
  <si>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</si>
  <si>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</si>
  <si>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</si>
  <si>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</si>
  <si>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</si>
  <si>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</si>
  <si>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</si>
  <si>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</si>
  <si>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</si>
  <si>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</si>
  <si>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</si>
  <si>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</si>
  <si>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</si>
  <si>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</si>
  <si>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</si>
  <si>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</si>
  <si>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</si>
  <si>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</si>
  <si>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</si>
  <si>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</si>
  <si>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</si>
  <si>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</si>
  <si>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</si>
  <si>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</si>
  <si>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</si>
  <si>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</si>
  <si>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</si>
  <si>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</si>
  <si>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</si>
  <si>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</si>
  <si>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</si>
  <si>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</si>
  <si>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</si>
  <si>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</si>
  <si>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</si>
  <si>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</si>
  <si>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</si>
  <si>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</si>
  <si>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</si>
  <si>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</si>
  <si>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</si>
  <si>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</si>
  <si>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</si>
  <si>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</si>
  <si>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</si>
  <si>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</si>
  <si>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</si>
  <si>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</si>
  <si>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</si>
  <si>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</si>
  <si>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</si>
  <si>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</si>
  <si>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</si>
  <si>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</si>
  <si>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</si>
  <si>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</si>
  <si>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</si>
  <si>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</si>
  <si>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</si>
  <si>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</si>
  <si>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</si>
  <si>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</si>
  <si>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</si>
  <si>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</si>
  <si>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</si>
  <si>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</si>
  <si>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</si>
  <si>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</si>
  <si>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</si>
  <si>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</si>
  <si>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</si>
  <si>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</si>
  <si>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</si>
  <si>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</si>
  <si>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</si>
  <si>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</si>
  <si>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</si>
  <si>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</si>
  <si>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</si>
  <si>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</si>
  <si>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</si>
  <si>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</si>
  <si>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</si>
  <si>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</si>
  <si>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</si>
  <si>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</si>
  <si>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</si>
  <si>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</si>
  <si>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</si>
  <si>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</si>
  <si>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</si>
  <si>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</si>
  <si>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</si>
  <si>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</si>
  <si>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</si>
  <si>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</si>
  <si>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</si>
  <si>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</si>
  <si>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</si>
  <si>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</si>
  <si>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</si>
  <si>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</si>
  <si>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</si>
  <si>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</si>
  <si>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</si>
  <si>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</si>
  <si>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</si>
  <si>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</si>
  <si>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</si>
  <si>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</si>
  <si>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</si>
  <si>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</si>
  <si>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</si>
  <si>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</si>
  <si>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</si>
  <si>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</si>
  <si>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</si>
  <si>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</si>
  <si>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</si>
  <si>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</si>
  <si>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</si>
  <si>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</si>
  <si>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</si>
  <si>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</si>
  <si>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</si>
  <si>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</si>
  <si>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</si>
  <si>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</si>
  <si>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</si>
  <si>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</si>
  <si>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</si>
  <si>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</si>
  <si>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</si>
  <si>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</si>
  <si>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</si>
  <si>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</si>
  <si>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</si>
  <si>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</si>
  <si>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</si>
  <si>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</si>
  <si>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</si>
  <si>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</si>
  <si>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</si>
  <si>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</si>
  <si>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</si>
  <si>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</si>
  <si>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</si>
  <si>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</si>
  <si>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</si>
  <si>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</si>
  <si>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</si>
  <si>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</si>
  <si>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</si>
  <si>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</si>
  <si>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</si>
  <si>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</si>
  <si>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</si>
  <si>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</si>
  <si>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</si>
  <si>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</si>
  <si>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</si>
  <si>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</si>
  <si>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</si>
  <si>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</si>
  <si>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</si>
  <si>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</si>
  <si>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</si>
  <si>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</si>
  <si>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</si>
  <si>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</si>
  <si>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</si>
  <si>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</si>
  <si>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</si>
  <si>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</si>
  <si>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</si>
  <si>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</si>
  <si>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</si>
  <si>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</si>
  <si>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</si>
  <si>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</si>
  <si>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</si>
  <si>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</si>
  <si>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</si>
  <si>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</si>
  <si>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</si>
  <si>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</si>
  <si>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</si>
  <si>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</si>
  <si>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</si>
  <si>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</si>
  <si>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</si>
  <si>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</si>
  <si>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</si>
  <si>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</si>
  <si>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</si>
  <si>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</si>
  <si>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</si>
  <si>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</si>
  <si>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</si>
  <si>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</si>
  <si>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</si>
  <si>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</si>
  <si>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</si>
  <si>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</si>
  <si>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</si>
  <si>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</si>
  <si>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</si>
  <si>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</si>
  <si>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</si>
  <si>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</si>
  <si>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</si>
  <si>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</si>
  <si>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</si>
  <si>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</si>
  <si>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</si>
  <si>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</si>
  <si>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</si>
  <si>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</si>
  <si>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</si>
  <si>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</si>
  <si>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</si>
  <si>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</si>
  <si>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</si>
  <si>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</si>
  <si>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</si>
  <si>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</si>
  <si>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</si>
  <si>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</si>
  <si>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</si>
  <si>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</si>
  <si>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</si>
  <si>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</si>
  <si>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</si>
  <si>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</si>
  <si>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</si>
  <si>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</si>
  <si>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</si>
  <si>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</si>
  <si>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</si>
  <si>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</si>
  <si>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</si>
  <si>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</si>
  <si>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</si>
  <si>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</si>
  <si>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</si>
  <si>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</si>
  <si>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</si>
  <si>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</si>
  <si>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</si>
  <si>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</si>
  <si>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</si>
  <si>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</si>
  <si>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</si>
  <si>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</si>
  <si>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</si>
  <si>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</si>
  <si>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</si>
  <si>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</si>
  <si>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</si>
  <si>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</si>
  <si>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</si>
  <si>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</si>
  <si>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</si>
  <si>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</si>
  <si>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</si>
  <si>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</si>
  <si>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</si>
  <si>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</si>
  <si>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</si>
  <si>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</si>
  <si>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</si>
  <si>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</si>
  <si>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</si>
  <si>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</si>
  <si>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</si>
  <si>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</si>
  <si>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</si>
  <si>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</si>
  <si>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</si>
  <si>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</si>
  <si>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</si>
  <si>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</si>
  <si>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</si>
  <si>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</si>
  <si>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</si>
  <si>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</si>
  <si>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</si>
  <si>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</si>
  <si>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</si>
  <si>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</si>
  <si>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</si>
  <si>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</si>
  <si>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</si>
  <si>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</si>
  <si>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</si>
  <si>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</si>
  <si>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</si>
  <si>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</si>
  <si>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</si>
  <si>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</si>
  <si>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</si>
  <si>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</si>
  <si>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</si>
  <si>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</si>
  <si>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</si>
  <si>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</si>
  <si>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</si>
  <si>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</si>
  <si>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</si>
  <si>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</si>
  <si>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</si>
  <si>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</si>
  <si>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</si>
  <si>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</si>
  <si>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</si>
  <si>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</si>
  <si>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</si>
  <si>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</si>
  <si>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</si>
  <si>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</si>
  <si>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</si>
  <si>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</si>
  <si>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</si>
  <si>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</si>
  <si>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</si>
  <si>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</si>
  <si>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</si>
  <si>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</si>
  <si>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</si>
  <si>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</si>
  <si>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</si>
  <si>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</si>
  <si>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</si>
  <si>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</si>
  <si>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</si>
  <si>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</si>
  <si>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</si>
  <si>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</si>
  <si>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</si>
  <si>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</si>
  <si>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</si>
  <si>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</si>
  <si>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</si>
  <si>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</si>
  <si>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</si>
  <si>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</si>
  <si>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</si>
  <si>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</si>
  <si>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</si>
  <si>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</si>
  <si>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</si>
  <si>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</si>
  <si>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</si>
  <si>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</si>
  <si>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</si>
  <si>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</si>
  <si>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</si>
  <si>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</si>
  <si>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</si>
  <si>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</si>
  <si>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</si>
  <si>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</si>
  <si>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</si>
  <si>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</si>
  <si>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</si>
  <si>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</si>
  <si>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</si>
  <si>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</si>
  <si>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</si>
  <si>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</si>
  <si>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</si>
  <si>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</si>
  <si>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</si>
  <si>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</si>
  <si>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</si>
  <si>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</si>
  <si>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</si>
  <si>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</si>
  <si>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</si>
  <si>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</si>
  <si>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</si>
  <si>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</si>
  <si>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</si>
  <si>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</si>
  <si>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</si>
  <si>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</si>
  <si>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</si>
  <si>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</si>
  <si>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</si>
  <si>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</si>
  <si>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</si>
  <si>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</si>
  <si>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</si>
  <si>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</si>
  <si>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</si>
  <si>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</si>
  <si>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</si>
  <si>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</si>
  <si>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</si>
  <si>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</si>
  <si>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</si>
  <si>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</si>
  <si>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</si>
  <si>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</si>
  <si>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</si>
  <si>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</si>
  <si>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</si>
  <si>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</si>
  <si>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</si>
  <si>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</si>
  <si>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</si>
  <si>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</si>
  <si>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</si>
  <si>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</si>
  <si>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</si>
  <si>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</si>
  <si>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</si>
  <si>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</si>
  <si>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</si>
  <si>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</si>
  <si>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</si>
  <si>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</si>
  <si>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</si>
  <si>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</si>
  <si>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</si>
  <si>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</si>
  <si>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</si>
  <si>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</si>
  <si>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</si>
  <si>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</si>
  <si>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</si>
  <si>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</si>
  <si>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</si>
  <si>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</si>
  <si>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</si>
  <si>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</si>
  <si>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</si>
  <si>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</si>
  <si>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</si>
  <si>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</si>
  <si>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</si>
  <si>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</si>
  <si>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</si>
  <si>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</si>
  <si>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</si>
  <si>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</si>
  <si>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</si>
  <si>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</si>
  <si>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</si>
  <si>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</si>
  <si>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</si>
  <si>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</si>
  <si>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</si>
  <si>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</si>
  <si>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</si>
  <si>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</si>
  <si>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</si>
  <si>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</si>
  <si>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</si>
  <si>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</si>
  <si>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</si>
  <si>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</si>
  <si>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</si>
  <si>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</si>
  <si>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</si>
  <si>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</si>
  <si>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</si>
  <si>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</si>
  <si>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</si>
  <si>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</si>
  <si>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</si>
  <si>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</si>
  <si>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</si>
  <si>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</si>
  <si>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</si>
  <si>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</si>
  <si>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</si>
  <si>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</si>
  <si>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</si>
  <si>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</si>
  <si>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</si>
  <si>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</si>
  <si>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</si>
  <si>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</si>
  <si>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</si>
  <si>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</si>
  <si>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</si>
  <si>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</si>
  <si>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</si>
  <si>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</si>
  <si>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</si>
  <si>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</si>
  <si>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</si>
  <si>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</si>
  <si>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</si>
  <si>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</si>
  <si>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</si>
  <si>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</si>
  <si>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</si>
  <si>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</si>
  <si>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</si>
  <si>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</si>
  <si>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</si>
  <si>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</si>
  <si>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</si>
  <si>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</si>
  <si>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</si>
  <si>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</si>
  <si>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</si>
  <si>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</si>
  <si>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</si>
  <si>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</si>
  <si>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</si>
  <si>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</si>
  <si>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</si>
  <si>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</si>
  <si>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</si>
  <si>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</si>
  <si>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</si>
  <si>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</si>
  <si>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</si>
  <si>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</si>
  <si>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</si>
  <si>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</si>
  <si>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</si>
  <si>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</si>
  <si>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</si>
  <si>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</si>
  <si>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</si>
  <si>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</si>
  <si>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</si>
  <si>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</si>
  <si>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</si>
  <si>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</si>
  <si>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</si>
  <si>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</si>
  <si>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</si>
  <si>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</si>
  <si>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</si>
  <si>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</si>
  <si>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</si>
  <si>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</si>
  <si>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</si>
  <si>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</si>
  <si>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</si>
  <si>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</si>
  <si>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</si>
  <si>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</si>
  <si>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</si>
  <si>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</si>
  <si>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</si>
  <si>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</si>
  <si>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</si>
  <si>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</si>
  <si>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</si>
  <si>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</si>
  <si>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</si>
  <si>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</si>
  <si>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</si>
  <si>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</si>
  <si>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</si>
  <si>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</si>
  <si>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</si>
  <si>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</si>
  <si>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</si>
  <si>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</si>
  <si>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</si>
  <si>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</si>
  <si>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</si>
  <si>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</si>
  <si>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</si>
  <si>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</si>
  <si>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</si>
  <si>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</si>
  <si>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</si>
  <si>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</si>
  <si>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</si>
  <si>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</si>
  <si>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</si>
  <si>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</si>
  <si>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</si>
  <si>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</si>
  <si>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</si>
  <si>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</si>
  <si>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</si>
  <si>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</si>
  <si>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</si>
  <si>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</si>
  <si>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</si>
  <si>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</si>
  <si>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</si>
  <si>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</si>
  <si>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</si>
  <si>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</si>
  <si>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</si>
  <si>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</si>
  <si>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</si>
  <si>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</si>
  <si>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</si>
  <si>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</si>
  <si>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</si>
  <si>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</si>
  <si>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</si>
  <si>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</si>
  <si>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</si>
  <si>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</si>
  <si>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</si>
  <si>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</si>
  <si>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</si>
  <si>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</si>
  <si>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</si>
  <si>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</si>
  <si>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</si>
  <si>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</si>
  <si>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</si>
  <si>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</si>
  <si>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</si>
  <si>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</si>
  <si>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</si>
  <si>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</si>
  <si>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</si>
  <si>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</si>
  <si>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</si>
  <si>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</si>
  <si>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</si>
  <si>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</si>
  <si>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</si>
  <si>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</si>
  <si>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</si>
  <si>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</si>
  <si>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</si>
  <si>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</si>
  <si>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</si>
  <si>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</si>
  <si>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</si>
  <si>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</si>
  <si>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</si>
  <si>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</si>
  <si>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</si>
  <si>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</si>
  <si>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</si>
  <si>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</si>
  <si>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</si>
  <si>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</si>
  <si>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</si>
  <si>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</si>
  <si>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</si>
  <si>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</si>
  <si>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</si>
  <si>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</si>
  <si>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</si>
  <si>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</si>
  <si>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</si>
  <si>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</si>
  <si>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</si>
  <si>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</si>
  <si>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</si>
  <si>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</si>
  <si>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</si>
  <si>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</si>
  <si>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</si>
  <si>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</si>
  <si>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</si>
  <si>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</si>
  <si>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</si>
  <si>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</si>
  <si>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</si>
  <si>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</si>
  <si>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</si>
  <si>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</si>
  <si>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</si>
  <si>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</si>
  <si>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</si>
  <si>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</si>
  <si>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</si>
  <si>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</si>
  <si>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</si>
  <si>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</si>
  <si>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</si>
  <si>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</si>
  <si>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</si>
  <si>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</si>
  <si>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</si>
  <si>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</si>
  <si>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</si>
  <si>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</si>
  <si>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</si>
  <si>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</si>
  <si>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</si>
  <si>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</si>
  <si>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</si>
  <si>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</si>
  <si>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</si>
  <si>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</si>
  <si>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</si>
  <si>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</si>
  <si>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</si>
  <si>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</si>
  <si>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</si>
  <si>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</si>
  <si>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</si>
  <si>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</si>
  <si>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</si>
  <si>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</si>
  <si>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</si>
  <si>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</si>
  <si>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</si>
  <si>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</si>
  <si>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</si>
  <si>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</si>
  <si>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</si>
  <si>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</si>
  <si>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</si>
  <si>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</si>
  <si>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</si>
  <si>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</si>
  <si>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</si>
  <si>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</si>
  <si>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</si>
  <si>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</si>
  <si>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</si>
  <si>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</si>
  <si>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</si>
  <si>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</si>
  <si>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</si>
  <si>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</si>
  <si>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</si>
  <si>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</si>
  <si>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</si>
  <si>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</si>
  <si>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</si>
  <si>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</si>
  <si>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</si>
  <si>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</si>
  <si>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</si>
  <si>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</si>
  <si>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</si>
  <si>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</si>
  <si>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</si>
  <si>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</si>
  <si>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</si>
  <si>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</si>
  <si>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</si>
  <si>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</si>
  <si>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</si>
  <si>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</si>
  <si>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</si>
  <si>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</si>
  <si>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</si>
  <si>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</si>
  <si>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</si>
  <si>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</si>
  <si>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</si>
  <si>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</si>
  <si>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</si>
  <si>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</si>
  <si>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</si>
  <si>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</si>
  <si>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</si>
  <si>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</si>
  <si>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</si>
  <si>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</si>
  <si>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</si>
  <si>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</si>
  <si>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</si>
  <si>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</si>
  <si>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</si>
  <si>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</si>
  <si>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</si>
  <si>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</si>
  <si>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</si>
  <si>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</si>
  <si>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</si>
  <si>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</si>
  <si>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</si>
  <si>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</si>
  <si>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</si>
  <si>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</si>
  <si>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</si>
  <si>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</si>
  <si>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</si>
  <si>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</si>
  <si>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</si>
  <si>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</si>
  <si>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</si>
  <si>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</si>
  <si>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</si>
  <si>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</si>
  <si>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</si>
  <si>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</si>
  <si>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</si>
  <si>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</si>
  <si>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</si>
  <si>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</si>
  <si>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</si>
  <si>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</si>
  <si>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</si>
  <si>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</si>
  <si>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</si>
  <si>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</si>
  <si>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</si>
  <si>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</si>
  <si>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</si>
  <si>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</si>
  <si>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</si>
  <si>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</si>
  <si>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</si>
  <si>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</si>
  <si>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</si>
  <si>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</si>
  <si>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</si>
  <si>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</si>
  <si>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</si>
  <si>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</si>
  <si>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</si>
  <si>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</si>
  <si>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</si>
  <si>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</si>
  <si>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</si>
  <si>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</si>
  <si>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</si>
  <si>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</si>
  <si>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</si>
  <si>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</si>
  <si>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</si>
  <si>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</si>
  <si>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</si>
  <si>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</si>
  <si>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</si>
  <si>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</si>
  <si>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</si>
  <si>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</si>
  <si>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</si>
  <si>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</si>
  <si>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</si>
  <si>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</si>
  <si>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</si>
  <si>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</si>
  <si>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</si>
  <si>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</si>
  <si>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</si>
  <si>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</si>
  <si>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</si>
  <si>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</si>
  <si>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</si>
  <si>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</si>
  <si>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</si>
  <si>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</si>
  <si>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</si>
  <si>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</si>
  <si>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</si>
  <si>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</si>
  <si>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</si>
  <si>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</si>
  <si>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</si>
  <si>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</si>
  <si>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</si>
  <si>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</si>
  <si>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</si>
  <si>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</si>
  <si>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</si>
  <si>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</si>
  <si>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</si>
  <si>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</si>
  <si>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</si>
  <si>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</si>
  <si>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</si>
  <si>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</si>
  <si>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</si>
  <si>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</si>
  <si>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</si>
  <si>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</si>
  <si>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</si>
  <si>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</si>
  <si>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</si>
  <si>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</si>
  <si>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</si>
  <si>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</si>
  <si>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</si>
  <si>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</si>
  <si>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</si>
  <si>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</si>
  <si>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</si>
  <si>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</si>
  <si>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</si>
  <si>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</si>
  <si>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</si>
  <si>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</si>
  <si>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</si>
  <si>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</si>
  <si>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</si>
  <si>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</si>
  <si>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</si>
  <si>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</si>
  <si>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</si>
  <si>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</si>
  <si>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</si>
  <si>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</si>
  <si>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</si>
  <si>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</si>
  <si>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</si>
  <si>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</si>
  <si>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</si>
  <si>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</si>
  <si>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</si>
  <si>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</si>
  <si>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</si>
  <si>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</si>
  <si>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</si>
  <si>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</si>
  <si>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</si>
  <si>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</si>
  <si>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</si>
  <si>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</si>
  <si>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</si>
  <si>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</si>
  <si>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</si>
  <si>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</si>
  <si>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</si>
  <si>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</si>
  <si>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</si>
  <si>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</si>
  <si>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</si>
  <si>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</si>
  <si>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</si>
  <si>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</si>
  <si>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</si>
  <si>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</si>
  <si>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</si>
  <si>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</si>
  <si>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</si>
  <si>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</si>
  <si>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</si>
  <si>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</si>
  <si>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</si>
  <si>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</si>
  <si>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</si>
  <si>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</si>
  <si>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</si>
  <si>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</si>
  <si>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</si>
  <si>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</si>
  <si>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</si>
  <si>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</si>
  <si>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</si>
  <si>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</si>
  <si>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</si>
  <si>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</si>
  <si>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</si>
  <si>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</si>
  <si>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</si>
  <si>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</si>
  <si>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</si>
  <si>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</si>
  <si>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</si>
  <si>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</si>
  <si>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</si>
  <si>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</si>
  <si>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</si>
  <si>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</si>
  <si>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</si>
  <si>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</si>
  <si>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</si>
  <si>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</si>
  <si>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</si>
  <si>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</si>
  <si>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</si>
  <si>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</si>
  <si>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</si>
  <si>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</si>
  <si>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</si>
  <si>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</si>
  <si>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</si>
  <si>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</si>
  <si>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</si>
  <si>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</si>
  <si>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</si>
  <si>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</si>
  <si>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</si>
  <si>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</si>
  <si>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</si>
  <si>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</si>
  <si>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</si>
  <si>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</si>
  <si>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</si>
  <si>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</si>
  <si>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</si>
  <si>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</si>
  <si>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</si>
  <si>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</si>
  <si>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</si>
  <si>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</si>
  <si>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</si>
  <si>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</si>
  <si>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</si>
  <si>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</si>
  <si>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</si>
  <si>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</si>
  <si>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</si>
  <si>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</si>
  <si>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</si>
  <si>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</si>
  <si>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</si>
  <si>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</si>
  <si>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</si>
  <si>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</si>
  <si>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</si>
  <si>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</si>
  <si>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</si>
  <si>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</si>
  <si>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</si>
  <si>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</si>
  <si>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</si>
  <si>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</si>
  <si>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</si>
  <si>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</si>
  <si>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</si>
  <si>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</si>
  <si>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</si>
  <si>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</si>
  <si>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</si>
  <si>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</si>
  <si>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</si>
  <si>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</si>
  <si>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</si>
  <si>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</si>
  <si>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</si>
  <si>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</si>
  <si>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</si>
  <si>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</si>
  <si>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</si>
  <si>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</si>
  <si>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</si>
  <si>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</si>
  <si>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</si>
  <si>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</si>
  <si>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</si>
  <si>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</si>
  <si>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</si>
  <si>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</si>
  <si>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</si>
  <si>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</si>
  <si>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</si>
  <si>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</si>
  <si>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</si>
  <si>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</si>
  <si>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</si>
  <si>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</si>
  <si>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</si>
  <si>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</si>
  <si>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</si>
  <si>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</si>
  <si>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</si>
  <si>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</si>
  <si>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</si>
  <si>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</si>
  <si>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</si>
  <si>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</si>
  <si>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</si>
  <si>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</si>
  <si>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</si>
  <si>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</si>
  <si>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</si>
  <si>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</si>
  <si>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</si>
  <si>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</si>
  <si>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</si>
  <si>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</si>
  <si>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</si>
  <si>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</si>
  <si>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</si>
  <si>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</si>
  <si>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</si>
  <si>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</si>
  <si>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</si>
  <si>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</si>
  <si>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</si>
  <si>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</si>
  <si>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</si>
  <si>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</si>
  <si>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</si>
  <si>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</si>
  <si>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</si>
  <si>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</si>
  <si>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</si>
  <si>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</si>
  <si>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</si>
  <si>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</si>
  <si>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</si>
  <si>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</si>
  <si>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</si>
  <si>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</si>
  <si>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</si>
  <si>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</si>
  <si>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</si>
  <si>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</si>
  <si>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</si>
  <si>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</si>
  <si>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</si>
  <si>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</si>
  <si>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</si>
  <si>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</si>
  <si>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</si>
  <si>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</si>
  <si>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</si>
  <si>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</si>
  <si>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</si>
  <si>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</si>
  <si>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</si>
  <si>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</si>
  <si>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</si>
  <si>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</si>
  <si>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</si>
  <si>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</si>
  <si>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</si>
  <si>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</si>
  <si>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</si>
  <si>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</si>
  <si>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</si>
  <si>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</si>
  <si>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</si>
  <si>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</si>
  <si>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</si>
  <si>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</si>
  <si>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</si>
  <si>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</si>
  <si>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</si>
  <si>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</si>
  <si>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</si>
  <si>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</si>
  <si>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</si>
  <si>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</si>
  <si>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</si>
  <si>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</si>
  <si>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</si>
  <si>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</si>
  <si>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</si>
  <si>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</si>
  <si>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</si>
  <si>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</si>
  <si>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</si>
  <si>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</si>
  <si>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</si>
  <si>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</si>
  <si>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</si>
  <si>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</si>
  <si>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</si>
  <si>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</si>
  <si>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</si>
  <si>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</si>
  <si>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</si>
  <si>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</si>
  <si>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</si>
  <si>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</si>
  <si>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</si>
  <si>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</si>
  <si>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</si>
  <si>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</si>
  <si>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</si>
  <si>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</si>
  <si>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</si>
  <si>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</si>
  <si>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</si>
  <si>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</si>
  <si>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</si>
  <si>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</si>
  <si>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</si>
  <si>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</si>
  <si>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</si>
  <si>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</si>
  <si>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</si>
  <si>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</si>
  <si>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</si>
  <si>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</si>
  <si>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</si>
  <si>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</si>
  <si>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</si>
  <si>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</si>
  <si>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</si>
  <si>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</si>
  <si>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</si>
  <si>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</si>
  <si>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</si>
  <si>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</si>
  <si>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</si>
  <si>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</si>
  <si>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</si>
  <si>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</si>
  <si>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</si>
  <si>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</si>
  <si>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</si>
  <si>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</si>
  <si>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</si>
  <si>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</si>
  <si>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</si>
  <si>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</si>
  <si>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</si>
  <si>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</si>
  <si>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</si>
  <si>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</si>
  <si>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</si>
  <si>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</si>
  <si>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</si>
  <si>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</si>
  <si>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</si>
  <si>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</si>
  <si>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</si>
  <si>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</si>
  <si>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</si>
  <si>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</si>
  <si>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</si>
  <si>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</si>
  <si>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</si>
  <si>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</si>
  <si>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</si>
  <si>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</si>
  <si>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</si>
  <si>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</si>
  <si>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</si>
  <si>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</si>
  <si>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</si>
  <si>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</si>
  <si>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</si>
  <si>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</si>
  <si>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</si>
  <si>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</si>
  <si>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</si>
  <si>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</si>
  <si>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</si>
  <si>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</si>
  <si>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</si>
  <si>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</si>
  <si>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</si>
  <si>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</si>
  <si>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</si>
  <si>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</si>
  <si>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</si>
  <si>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</si>
  <si>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</si>
  <si>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</si>
  <si>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</si>
  <si>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</si>
  <si>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</si>
  <si>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</si>
  <si>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</si>
  <si>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</si>
  <si>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</si>
  <si>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</si>
  <si>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</si>
  <si>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</si>
  <si>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</si>
  <si>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</si>
  <si>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</si>
  <si>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</si>
  <si>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</si>
  <si>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</si>
  <si>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</si>
  <si>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</si>
  <si>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</si>
  <si>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</si>
  <si>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</si>
  <si>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</si>
  <si>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</si>
  <si>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</si>
  <si>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</si>
  <si>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</si>
  <si>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</si>
  <si>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</si>
  <si>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</si>
  <si>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</si>
  <si>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</si>
  <si>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</si>
  <si>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</si>
  <si>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</si>
  <si>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</si>
  <si>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</si>
  <si>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</si>
  <si>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</si>
  <si>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</si>
  <si>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</si>
  <si>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</si>
  <si>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</si>
  <si>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</si>
  <si>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</si>
  <si>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</si>
  <si>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</si>
  <si>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</si>
  <si>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</si>
  <si>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</si>
  <si>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</si>
  <si>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</si>
  <si>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</si>
  <si>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</si>
  <si>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</si>
  <si>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</si>
  <si>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</si>
  <si>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</si>
  <si>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</si>
  <si>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</si>
  <si>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</si>
  <si>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</si>
  <si>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</si>
  <si>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</si>
  <si>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</si>
  <si>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</si>
  <si>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</si>
  <si>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</si>
  <si>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</si>
  <si>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</si>
  <si>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</si>
  <si>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</si>
  <si>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</si>
  <si>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</si>
  <si>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</si>
  <si>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</si>
  <si>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</si>
  <si>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</si>
  <si>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</si>
  <si>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</si>
  <si>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</si>
  <si>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</si>
  <si>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</si>
  <si>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</si>
  <si>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</si>
  <si>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</si>
  <si>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</si>
  <si>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</si>
  <si>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</si>
  <si>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</si>
  <si>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</si>
  <si>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</si>
  <si>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</si>
  <si>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</si>
  <si>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</si>
  <si>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</si>
  <si>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</si>
  <si>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</si>
  <si>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</si>
  <si>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</si>
  <si>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</si>
  <si>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</si>
  <si>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</si>
  <si>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</si>
  <si>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</si>
  <si>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</si>
  <si>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</si>
  <si>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</si>
  <si>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</si>
  <si>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</si>
  <si>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</si>
  <si>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</si>
  <si>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</si>
  <si>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</si>
  <si>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</si>
  <si>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</si>
  <si>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</si>
  <si>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</si>
  <si>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</si>
  <si>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</si>
  <si>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</si>
  <si>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</si>
  <si>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</si>
  <si>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</si>
  <si>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</si>
  <si>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</si>
  <si>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</si>
  <si>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</si>
  <si>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</si>
  <si>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</si>
  <si>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</si>
  <si>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</si>
  <si>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</si>
  <si>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</si>
  <si>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</si>
  <si>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</si>
  <si>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</si>
  <si>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</si>
  <si>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</si>
  <si>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</si>
  <si>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</si>
  <si>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</si>
  <si>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</si>
  <si>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</si>
  <si>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</si>
  <si>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</si>
  <si>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</si>
  <si>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</si>
  <si>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</si>
  <si>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</si>
  <si>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</si>
  <si>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</si>
  <si>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</si>
  <si>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</si>
  <si>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</si>
  <si>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</si>
  <si>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</si>
  <si>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</si>
  <si>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</si>
  <si>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</si>
  <si>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</si>
  <si>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</si>
  <si>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</si>
  <si>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</si>
  <si>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</si>
  <si>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</si>
  <si>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</si>
  <si>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</si>
  <si>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</si>
  <si>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</si>
  <si>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</si>
  <si>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</si>
  <si>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</si>
  <si>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</si>
  <si>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</si>
  <si>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</si>
  <si>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</si>
  <si>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</si>
  <si>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</si>
  <si>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</si>
  <si>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</si>
  <si>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</si>
  <si>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</si>
  <si>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</si>
  <si>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</si>
  <si>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</si>
  <si>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</si>
  <si>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</si>
  <si>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</si>
  <si>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</si>
  <si>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</si>
  <si>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</si>
  <si>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</si>
  <si>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</si>
  <si>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</si>
  <si>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</si>
  <si>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</si>
  <si>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</si>
  <si>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</si>
  <si>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</si>
  <si>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</si>
  <si>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</si>
  <si>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</si>
  <si>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</si>
  <si>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</si>
  <si>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</si>
  <si>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</si>
  <si>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</si>
  <si>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</si>
  <si>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</si>
  <si>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</si>
  <si>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</si>
  <si>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</si>
  <si>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</si>
  <si>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</si>
  <si>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</si>
  <si>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</si>
  <si>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</si>
  <si>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</si>
  <si>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</si>
  <si>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</si>
  <si>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</si>
  <si>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</si>
  <si>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</si>
  <si>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</si>
  <si>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</si>
  <si>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</si>
  <si>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</si>
  <si>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</si>
  <si>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</si>
  <si>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</si>
  <si>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</si>
  <si>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</si>
  <si>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</si>
  <si>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</si>
  <si>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</si>
  <si>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</si>
  <si>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</si>
  <si>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</si>
  <si>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</si>
  <si>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</si>
  <si>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</si>
  <si>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</si>
  <si>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</si>
  <si>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</si>
  <si>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</si>
  <si>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</si>
  <si>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</si>
  <si>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</si>
  <si>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</si>
  <si>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</si>
  <si>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</si>
  <si>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</si>
  <si>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</si>
  <si>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</si>
  <si>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</si>
  <si>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</si>
  <si>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</si>
  <si>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</si>
  <si>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</si>
  <si>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</si>
  <si>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</si>
  <si>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</si>
  <si>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</si>
  <si>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</si>
  <si>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</si>
  <si>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</si>
  <si>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</si>
  <si>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</si>
  <si>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</si>
  <si>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</si>
  <si>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</si>
  <si>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</si>
  <si>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</si>
  <si>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</si>
  <si>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</si>
  <si>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</si>
  <si>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</si>
  <si>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</si>
  <si>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</si>
  <si>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</si>
  <si>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</si>
  <si>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</si>
  <si>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</si>
  <si>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</si>
  <si>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</si>
  <si>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</si>
  <si>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</si>
  <si>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</si>
  <si>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</si>
  <si>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</si>
  <si>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</si>
  <si>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</si>
  <si>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</si>
  <si>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</si>
  <si>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</si>
  <si>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</si>
  <si>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</si>
  <si>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</si>
  <si>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</si>
  <si>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</si>
  <si>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</si>
  <si>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</si>
  <si>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</si>
  <si>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</si>
  <si>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</si>
  <si>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</si>
  <si>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</si>
  <si>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</si>
  <si>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</si>
  <si>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</si>
  <si>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</si>
  <si>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</si>
  <si>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</si>
  <si>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</si>
  <si>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</si>
  <si>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</si>
  <si>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</si>
  <si>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</si>
  <si>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</si>
  <si>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</si>
  <si>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</si>
  <si>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</si>
  <si>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</si>
  <si>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</si>
  <si>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</si>
  <si>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</si>
  <si>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</si>
  <si>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</si>
  <si>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</si>
  <si>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</si>
  <si>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</si>
  <si>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</si>
  <si>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</si>
  <si>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</si>
  <si>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</si>
  <si>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</si>
  <si>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</si>
  <si>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</si>
  <si>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</si>
  <si>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</si>
  <si>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</si>
  <si>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</si>
  <si>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</si>
  <si>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</si>
  <si>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</si>
  <si>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</si>
  <si>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</si>
  <si>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</si>
  <si>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</si>
  <si>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</si>
  <si>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</si>
  <si>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</si>
  <si>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</si>
  <si>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</si>
  <si>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</si>
  <si>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</si>
  <si>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</si>
  <si>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</si>
  <si>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</si>
  <si>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</si>
  <si>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</si>
  <si>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</si>
  <si>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</si>
  <si>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</si>
  <si>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</si>
  <si>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</si>
  <si>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</si>
  <si>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</si>
  <si>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</si>
  <si>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</si>
  <si>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</si>
  <si>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</si>
  <si>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</si>
  <si>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</si>
  <si>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</si>
  <si>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</si>
  <si>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</si>
  <si>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</si>
  <si>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</si>
  <si>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</si>
  <si>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</si>
  <si>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</si>
  <si>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</si>
  <si>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</si>
  <si>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</si>
  <si>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</si>
  <si>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</si>
  <si>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</si>
  <si>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</si>
  <si>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</si>
  <si>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</si>
  <si>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</si>
  <si>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</si>
  <si>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</si>
  <si>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</si>
  <si>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</si>
  <si>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</si>
  <si>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</si>
  <si>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</si>
  <si>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</si>
  <si>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</si>
  <si>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</si>
  <si>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</si>
  <si>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</si>
  <si>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</si>
  <si>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</si>
  <si>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</si>
  <si>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</si>
  <si>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</si>
  <si>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</si>
  <si>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</si>
  <si>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</si>
  <si>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</si>
  <si>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</si>
  <si>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</si>
  <si>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</si>
  <si>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</si>
  <si>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</si>
  <si>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</si>
  <si>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</si>
  <si>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</si>
  <si>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</si>
  <si>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</si>
  <si>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</si>
  <si>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</si>
  <si>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</si>
  <si>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</si>
  <si>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</si>
  <si>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</si>
  <si>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</si>
  <si>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</si>
  <si>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</si>
  <si>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</si>
  <si>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</si>
  <si>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</si>
  <si>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</si>
  <si>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</si>
  <si>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</si>
  <si>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</si>
  <si>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</si>
  <si>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</si>
  <si>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</si>
  <si>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</si>
  <si>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</si>
  <si>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</si>
  <si>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</si>
  <si>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</si>
  <si>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</si>
  <si>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</si>
  <si>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</si>
  <si>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</si>
  <si>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</si>
  <si>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</si>
  <si>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</si>
  <si>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</si>
  <si>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</si>
  <si>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</si>
  <si>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</si>
  <si>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</si>
  <si>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</si>
  <si>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</si>
  <si>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</si>
  <si>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</si>
  <si>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</si>
  <si>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</si>
  <si>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</si>
  <si>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</si>
  <si>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</si>
  <si>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</si>
  <si>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</si>
  <si>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</si>
  <si>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</si>
  <si>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</si>
  <si>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</si>
  <si>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</si>
  <si>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</si>
  <si>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</si>
  <si>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</si>
  <si>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</si>
  <si>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</si>
  <si>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</si>
  <si>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</si>
  <si>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</si>
  <si>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</si>
  <si>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</si>
  <si>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</si>
  <si>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</si>
  <si>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</si>
  <si>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</si>
  <si>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</si>
  <si>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</si>
  <si>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</si>
  <si>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</si>
  <si>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</si>
  <si>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</si>
  <si>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</si>
  <si>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</si>
  <si>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</si>
  <si>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</si>
  <si>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</si>
  <si>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</si>
  <si>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</si>
  <si>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</si>
  <si>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</si>
  <si>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</si>
  <si>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</si>
  <si>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</si>
  <si>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</si>
  <si>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</si>
  <si>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</si>
  <si>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</si>
  <si>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</si>
  <si>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</si>
  <si>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</si>
  <si>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</si>
  <si>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</si>
  <si>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</si>
  <si>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</si>
  <si>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</si>
  <si>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</si>
  <si>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</si>
  <si>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</si>
  <si>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</si>
  <si>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</si>
  <si>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</si>
  <si>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</si>
  <si>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</si>
  <si>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</si>
  <si>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</si>
  <si>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</si>
  <si>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</si>
  <si>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</si>
  <si>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</si>
  <si>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</si>
  <si>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</si>
  <si>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</si>
  <si>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</si>
  <si>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</si>
  <si>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</si>
  <si>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</si>
  <si>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</si>
  <si>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</si>
  <si>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</si>
  <si>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</si>
  <si>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</si>
  <si>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</si>
  <si>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</si>
  <si>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</si>
  <si>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</si>
  <si>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</si>
  <si>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</si>
  <si>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</si>
  <si>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</si>
  <si>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</si>
  <si>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</si>
  <si>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</si>
  <si>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</si>
  <si>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</si>
  <si>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</si>
  <si>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</si>
  <si>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</si>
  <si>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</si>
  <si>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</si>
  <si>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</si>
  <si>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</si>
  <si>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</si>
  <si>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</si>
  <si>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</si>
  <si>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</si>
  <si>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</si>
  <si>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</si>
  <si>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</si>
  <si>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</si>
  <si>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</si>
  <si>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</si>
  <si>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</si>
  <si>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</si>
  <si>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</si>
  <si>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</si>
  <si>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</si>
  <si>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</si>
  <si>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</si>
  <si>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</si>
  <si>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</si>
  <si>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</si>
  <si>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</si>
  <si>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</si>
  <si>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</si>
  <si>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</si>
  <si>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</si>
  <si>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</si>
  <si>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</si>
  <si>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</si>
  <si>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</si>
  <si>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</si>
  <si>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</si>
  <si>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</si>
  <si>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</si>
  <si>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</si>
  <si>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</si>
  <si>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</si>
  <si>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</si>
  <si>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</si>
  <si>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</si>
  <si>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</si>
  <si>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</si>
  <si>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</si>
  <si>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</si>
  <si>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</si>
  <si>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</si>
  <si>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</si>
  <si>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</si>
  <si>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</si>
  <si>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</si>
  <si>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</si>
  <si>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</si>
  <si>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</si>
  <si>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</si>
  <si>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</si>
  <si>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</si>
  <si>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</si>
  <si>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</si>
  <si>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</si>
  <si>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</si>
  <si>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</si>
  <si>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</si>
  <si>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</si>
  <si>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</si>
  <si>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</si>
  <si>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</si>
  <si>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</si>
  <si>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</si>
  <si>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</si>
  <si>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</si>
  <si>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</si>
  <si>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</si>
  <si>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</si>
  <si>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</si>
  <si>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</si>
  <si>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</si>
  <si>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</si>
  <si>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</si>
  <si>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</si>
  <si>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</si>
  <si>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</si>
  <si>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</si>
  <si>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</si>
  <si>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</si>
  <si>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</si>
  <si>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</si>
  <si>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</si>
  <si>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</si>
  <si>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</si>
  <si>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</si>
  <si>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</si>
  <si>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</si>
  <si>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</si>
  <si>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</si>
  <si>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</si>
  <si>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</si>
  <si>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</si>
  <si>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</si>
  <si>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</si>
  <si>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</si>
  <si>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</si>
  <si>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</si>
  <si>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</si>
  <si>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</si>
  <si>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</si>
  <si>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</si>
  <si>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</si>
  <si>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</si>
  <si>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</si>
  <si>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</si>
  <si>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</si>
  <si>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</si>
  <si>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</si>
  <si>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</si>
  <si>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</si>
  <si>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</si>
  <si>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</si>
  <si>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</si>
  <si>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</si>
  <si>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</si>
  <si>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</si>
  <si>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</si>
  <si>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</si>
  <si>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</si>
  <si>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</si>
  <si>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</si>
  <si>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</si>
  <si>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</si>
  <si>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</si>
  <si>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</si>
  <si>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</si>
  <si>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</si>
  <si>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</si>
  <si>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</si>
  <si>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</si>
  <si>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</si>
  <si>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</si>
  <si>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</si>
  <si>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</si>
  <si>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</si>
  <si>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</si>
  <si>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</si>
  <si>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</si>
  <si>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</si>
  <si>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</si>
  <si>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</si>
  <si>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</si>
  <si>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</si>
  <si>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</si>
  <si>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</si>
  <si>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</si>
  <si>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</si>
  <si>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</si>
  <si>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</si>
  <si>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</si>
  <si>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</si>
  <si>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</si>
  <si>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</si>
  <si>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</si>
  <si>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</si>
  <si>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</si>
  <si>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</si>
  <si>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</si>
  <si>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</si>
  <si>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</si>
  <si>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</si>
  <si>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</si>
  <si>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</si>
  <si>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</si>
  <si>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</si>
  <si>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</si>
  <si>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</si>
  <si>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</si>
  <si>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</si>
  <si>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</si>
  <si>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</si>
  <si>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</si>
  <si>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</si>
  <si>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</si>
  <si>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</si>
  <si>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</si>
  <si>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</si>
  <si>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</si>
  <si>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</si>
  <si>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</si>
  <si>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</si>
  <si>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</si>
  <si>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</si>
  <si>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</si>
  <si>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</si>
  <si>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</si>
  <si>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</si>
  <si>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</si>
  <si>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</si>
  <si>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</si>
  <si>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</si>
  <si>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</si>
  <si>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</si>
  <si>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</si>
  <si>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</si>
  <si>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</si>
  <si>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</si>
  <si>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</si>
  <si>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</si>
  <si>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</si>
  <si>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</si>
  <si>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</si>
  <si>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</si>
  <si>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</si>
  <si>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</si>
  <si>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</si>
  <si>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</si>
  <si>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</si>
  <si>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</si>
  <si>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</si>
  <si>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</si>
  <si>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</si>
  <si>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</si>
  <si>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</si>
  <si>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</si>
  <si>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</si>
  <si>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</si>
  <si>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</si>
  <si>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</si>
  <si>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</si>
  <si>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</si>
  <si>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</si>
  <si>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</si>
  <si>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</si>
  <si>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</si>
  <si>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</si>
  <si>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</si>
  <si>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</si>
  <si>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</si>
  <si>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</si>
  <si>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</si>
  <si>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</si>
  <si>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</si>
  <si>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</si>
  <si>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</si>
  <si>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</si>
  <si>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</si>
  <si>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</si>
  <si>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</si>
  <si>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</si>
  <si>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</si>
  <si>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</si>
  <si>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</si>
  <si>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</si>
  <si>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</si>
  <si>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</si>
  <si>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</si>
  <si>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</si>
  <si>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</si>
  <si>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</si>
  <si>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</si>
  <si>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</si>
  <si>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</si>
  <si>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</si>
  <si>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</si>
  <si>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</si>
  <si>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</si>
  <si>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</si>
  <si>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</si>
  <si>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</si>
  <si>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</si>
  <si>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</si>
  <si>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</si>
  <si>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</si>
  <si>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</si>
  <si>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</si>
  <si>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</si>
  <si>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</si>
  <si>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</si>
  <si>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</si>
  <si>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</si>
  <si>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</si>
  <si>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</si>
  <si>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</si>
  <si>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</si>
  <si>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</si>
  <si>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</si>
  <si>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</si>
  <si>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</si>
  <si>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</si>
  <si>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</si>
  <si>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</si>
  <si>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</si>
  <si>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</si>
  <si>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</si>
  <si>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</si>
  <si>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</si>
  <si>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</si>
  <si>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</si>
  <si>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</si>
  <si>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</si>
  <si>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</si>
  <si>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</si>
  <si>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</si>
  <si>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</si>
  <si>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</si>
  <si>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</si>
  <si>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</si>
  <si>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</si>
  <si>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</si>
  <si>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</si>
  <si>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</si>
  <si>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</si>
  <si>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</si>
  <si>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</si>
  <si>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</si>
  <si>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</si>
  <si>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</si>
  <si>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</si>
  <si>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</si>
  <si>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</si>
  <si>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</si>
  <si>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</si>
  <si>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</si>
  <si>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</si>
  <si>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</si>
  <si>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</si>
  <si>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</si>
  <si>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</si>
  <si>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</si>
  <si>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</si>
  <si>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</si>
  <si>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</si>
  <si>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</si>
  <si>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</si>
  <si>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</si>
  <si>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</si>
  <si>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</si>
  <si>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</si>
  <si>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</si>
  <si>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</si>
  <si>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</si>
  <si>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</si>
  <si>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</si>
  <si>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</si>
  <si>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</si>
  <si>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</si>
  <si>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</si>
  <si>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</si>
  <si>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</si>
  <si>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</si>
  <si>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</si>
  <si>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</si>
  <si>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</si>
  <si>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</si>
  <si>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</si>
  <si>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</si>
  <si>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</si>
  <si>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</si>
  <si>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</si>
  <si>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</si>
  <si>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</si>
  <si>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</si>
  <si>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</si>
  <si>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</si>
  <si>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</si>
  <si>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</si>
  <si>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</si>
  <si>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</si>
  <si>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</si>
  <si>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</si>
  <si>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</si>
  <si>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</si>
  <si>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</si>
  <si>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</si>
  <si>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</si>
  <si>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</si>
  <si>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</si>
  <si>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</si>
  <si>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</si>
  <si>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</si>
  <si>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</si>
  <si>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</si>
  <si>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</si>
  <si>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</si>
  <si>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</si>
  <si>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</si>
  <si>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</si>
  <si>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</si>
  <si>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</si>
  <si>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</si>
  <si>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</si>
  <si>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</si>
  <si>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</si>
  <si>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</si>
  <si>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</si>
  <si>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</si>
  <si>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</si>
  <si>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</si>
  <si>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</si>
  <si>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</si>
  <si>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</si>
  <si>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</si>
  <si>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</si>
  <si>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</si>
  <si>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</si>
  <si>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</si>
  <si>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</si>
  <si>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</si>
  <si>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</si>
  <si>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</si>
  <si>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</si>
  <si>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</si>
  <si>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</si>
  <si>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</si>
  <si>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</si>
  <si>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</si>
  <si>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</si>
  <si>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</si>
  <si>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</si>
  <si>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</si>
  <si>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</si>
  <si>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</si>
  <si>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</si>
  <si>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</si>
  <si>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</si>
  <si>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</si>
  <si>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</si>
  <si>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</si>
  <si>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</si>
  <si>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</si>
  <si>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</si>
  <si>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</si>
  <si>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</si>
  <si>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</si>
  <si>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</si>
  <si>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</si>
  <si>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</si>
  <si>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</si>
  <si>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</si>
  <si>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</si>
  <si>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</si>
  <si>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</si>
  <si>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</si>
  <si>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</si>
  <si>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</si>
  <si>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</si>
  <si>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</si>
  <si>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</si>
  <si>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</si>
  <si>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</si>
  <si>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</si>
  <si>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</si>
  <si>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</si>
  <si>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</si>
  <si>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</si>
  <si>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</si>
  <si>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</si>
  <si>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</si>
  <si>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</si>
  <si>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</si>
  <si>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</si>
  <si>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</si>
  <si>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</si>
  <si>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</si>
  <si>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</si>
  <si>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</si>
  <si>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</si>
  <si>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</si>
  <si>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</si>
  <si>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</si>
  <si>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</si>
  <si>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</si>
  <si>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</si>
  <si>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</si>
  <si>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</si>
  <si>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</si>
  <si>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</si>
  <si>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</si>
  <si>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</si>
  <si>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</si>
  <si>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</si>
  <si>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</si>
  <si>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</si>
  <si>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</si>
  <si>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</si>
  <si>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</si>
  <si>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</si>
  <si>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</si>
  <si>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</si>
  <si>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</si>
  <si>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</si>
  <si>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</si>
  <si>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</si>
  <si>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</si>
  <si>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</si>
  <si>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</si>
  <si>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</si>
  <si>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</si>
  <si>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</si>
  <si>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</si>
  <si>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</si>
  <si>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</si>
  <si>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</si>
  <si>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</si>
  <si>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</si>
  <si>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</si>
  <si>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</si>
  <si>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</si>
  <si>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</si>
  <si>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</si>
  <si>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</si>
  <si>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</si>
  <si>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</si>
  <si>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</si>
  <si>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</si>
  <si>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</si>
  <si>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</si>
  <si>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</si>
  <si>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</si>
  <si>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</si>
  <si>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</si>
  <si>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</si>
  <si>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</si>
  <si>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</si>
  <si>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</si>
  <si>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</si>
  <si>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</si>
  <si>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</si>
  <si>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</si>
  <si>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</si>
  <si>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</si>
  <si>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</si>
  <si>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</si>
  <si>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</si>
  <si>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</si>
  <si>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</si>
  <si>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</si>
  <si>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</si>
  <si>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</si>
  <si>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</si>
  <si>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</si>
  <si>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</si>
  <si>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</si>
  <si>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</si>
  <si>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</si>
  <si>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</si>
  <si>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</si>
  <si>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</si>
  <si>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</si>
  <si>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</si>
  <si>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</si>
  <si>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</si>
  <si>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</si>
  <si>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</si>
  <si>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</si>
  <si>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</si>
  <si>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</si>
  <si>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</si>
  <si>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</si>
  <si>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</si>
  <si>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</si>
  <si>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</si>
  <si>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</si>
  <si>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</si>
  <si>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</si>
  <si>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</si>
  <si>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</si>
  <si>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</si>
  <si>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</si>
  <si>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</si>
  <si>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</si>
  <si>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</si>
  <si>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</si>
  <si>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</si>
  <si>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</si>
  <si>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</si>
  <si>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</si>
  <si>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</si>
  <si>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</si>
  <si>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</si>
  <si>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</si>
  <si>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</si>
  <si>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</si>
  <si>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</si>
  <si>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</si>
  <si>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</si>
  <si>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</si>
  <si>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</si>
  <si>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</si>
  <si>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</si>
  <si>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</si>
  <si>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</si>
  <si>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</si>
  <si>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</si>
  <si>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</si>
  <si>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</si>
  <si>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</si>
  <si>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</si>
  <si>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</si>
  <si>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</si>
  <si>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</si>
  <si>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</si>
  <si>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</si>
  <si>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</si>
  <si>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</si>
  <si>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</si>
  <si>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</si>
  <si>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</si>
  <si>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</si>
  <si>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</si>
  <si>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</si>
  <si>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</si>
  <si>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</si>
  <si>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</si>
  <si>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</si>
  <si>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</si>
  <si>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</si>
  <si>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</si>
  <si>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</si>
  <si>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</si>
  <si>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</si>
  <si>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</si>
  <si>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</si>
  <si>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</si>
  <si>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</si>
  <si>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</si>
  <si>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</si>
  <si>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</si>
  <si>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</si>
  <si>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</si>
  <si>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</si>
  <si>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</si>
  <si>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</si>
  <si>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</si>
  <si>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</si>
  <si>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</si>
  <si>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</si>
  <si>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</si>
  <si>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</si>
  <si>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</si>
  <si>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</si>
  <si>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</si>
  <si>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</si>
  <si>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</si>
  <si>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</si>
  <si>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</si>
  <si>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</si>
  <si>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</si>
  <si>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</si>
  <si>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</si>
  <si>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</si>
  <si>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</si>
  <si>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</si>
  <si>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</si>
  <si>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</si>
  <si>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</si>
  <si>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</si>
  <si>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</si>
  <si>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</si>
  <si>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</si>
  <si>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</si>
  <si>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</si>
  <si>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</si>
  <si>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</si>
  <si>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</si>
  <si>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</si>
  <si>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</si>
  <si>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</si>
  <si>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</si>
  <si>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</si>
  <si>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</si>
  <si>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</si>
  <si>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</si>
  <si>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</si>
  <si>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</si>
  <si>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</si>
  <si>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</si>
  <si>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</si>
  <si>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</si>
  <si>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</si>
  <si>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</si>
  <si>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</si>
  <si>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</si>
  <si>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</si>
  <si>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</si>
  <si>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</si>
  <si>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</si>
  <si>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</si>
  <si>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</si>
  <si>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</si>
  <si>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</si>
  <si>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</si>
  <si>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</si>
  <si>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</si>
  <si>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</si>
  <si>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</si>
  <si>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</si>
  <si>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</si>
  <si>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</si>
  <si>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</si>
  <si>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</si>
  <si>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</si>
  <si>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</si>
  <si>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</si>
  <si>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</si>
  <si>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</si>
  <si>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</si>
  <si>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</si>
  <si>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</si>
  <si>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</si>
  <si>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</si>
  <si>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</si>
  <si>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</si>
  <si>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</si>
  <si>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</si>
  <si>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</si>
  <si>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</si>
  <si>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</si>
  <si>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</si>
  <si>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</si>
  <si>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</si>
  <si>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</si>
  <si>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</si>
  <si>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</si>
  <si>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</si>
  <si>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</si>
  <si>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</si>
  <si>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</si>
  <si>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</si>
  <si>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</si>
  <si>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</si>
  <si>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</si>
  <si>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</si>
  <si>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</si>
  <si>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</si>
  <si>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</si>
  <si>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</si>
  <si>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</si>
  <si>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</si>
  <si>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</si>
  <si>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</si>
  <si>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</si>
  <si>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</si>
  <si>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</si>
  <si>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</si>
  <si>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</si>
  <si>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</si>
  <si>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</si>
  <si>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</si>
  <si>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</si>
  <si>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</si>
  <si>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</si>
  <si>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</si>
  <si>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</si>
  <si>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</si>
  <si>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</si>
  <si>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</si>
  <si>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</si>
  <si>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</si>
  <si>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</si>
  <si>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</si>
  <si>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</si>
  <si>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</si>
  <si>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</si>
  <si>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</si>
  <si>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</si>
  <si>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</si>
  <si>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</si>
  <si>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</si>
  <si>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</si>
  <si>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</si>
  <si>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</si>
  <si>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</si>
  <si>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</si>
  <si>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</si>
  <si>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</si>
  <si>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</si>
  <si>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</si>
  <si>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</si>
  <si>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</si>
  <si>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</si>
  <si>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</si>
  <si>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</si>
  <si>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</si>
  <si>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</si>
  <si>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</si>
  <si>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</si>
  <si>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</si>
  <si>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</si>
  <si>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</si>
  <si>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</si>
  <si>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</si>
  <si>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</si>
  <si>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</si>
  <si>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</si>
  <si>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</si>
  <si>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</si>
  <si>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</si>
  <si>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</si>
  <si>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</si>
  <si>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</si>
  <si>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</si>
  <si>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</si>
  <si>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</si>
  <si>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</si>
  <si>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</si>
  <si>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</si>
  <si>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</si>
  <si>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</si>
  <si>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</si>
  <si>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</si>
  <si>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</si>
  <si>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</si>
  <si>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</si>
  <si>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</si>
  <si>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</si>
  <si>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</si>
  <si>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</si>
  <si>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</si>
  <si>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</si>
  <si>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</si>
  <si>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</si>
  <si>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</si>
  <si>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</si>
  <si>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</si>
  <si>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</si>
  <si>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</si>
  <si>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</si>
  <si>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</si>
  <si>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</si>
  <si>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</si>
  <si>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</si>
  <si>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</si>
  <si>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</si>
  <si>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</si>
  <si>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</si>
  <si>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</si>
  <si>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</si>
  <si>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</si>
  <si>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</si>
  <si>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</si>
  <si>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</si>
  <si>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</si>
  <si>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</si>
  <si>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</si>
  <si>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</si>
  <si>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</si>
  <si>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</si>
  <si>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</si>
  <si>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</si>
  <si>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</si>
  <si>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</si>
  <si>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</si>
  <si>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</si>
  <si>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</si>
  <si>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</si>
  <si>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</si>
  <si>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</si>
  <si>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</si>
  <si>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</si>
  <si>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</si>
  <si>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</si>
  <si>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</si>
  <si>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</si>
  <si>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</si>
  <si>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</si>
  <si>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</si>
  <si>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</si>
  <si>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</si>
  <si>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</si>
  <si>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</si>
  <si>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</si>
  <si>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</si>
  <si>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</si>
  <si>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</si>
  <si>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</si>
  <si>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</si>
  <si>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</si>
  <si>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</si>
  <si>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</si>
  <si>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</si>
  <si>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</si>
  <si>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</si>
  <si>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</si>
  <si>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</si>
  <si>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</si>
  <si>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</si>
  <si>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</si>
  <si>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</si>
  <si>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</si>
  <si>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</si>
  <si>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</si>
  <si>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</si>
  <si>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</si>
  <si>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</si>
  <si>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</si>
  <si>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</si>
  <si>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</si>
  <si>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</si>
  <si>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</si>
  <si>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</si>
  <si>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</si>
  <si>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</si>
  <si>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</si>
  <si>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</si>
  <si>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</si>
  <si>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</si>
  <si>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</si>
  <si>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</si>
  <si>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</si>
  <si>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</si>
  <si>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</si>
  <si>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</si>
  <si>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</si>
  <si>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</si>
  <si>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</si>
  <si>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</si>
  <si>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</si>
  <si>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</si>
  <si>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</si>
  <si>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</si>
  <si>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</si>
  <si>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</si>
  <si>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</si>
  <si>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</si>
  <si>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</si>
  <si>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</si>
  <si>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</si>
  <si>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</si>
  <si>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</si>
  <si>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</si>
  <si>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</si>
  <si>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</si>
  <si>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</si>
  <si>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</si>
  <si>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</si>
  <si>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</si>
  <si>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</si>
  <si>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</si>
  <si>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</si>
  <si>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</si>
  <si>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</si>
  <si>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</si>
  <si>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</si>
  <si>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</si>
  <si>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</si>
  <si>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</si>
  <si>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</si>
  <si>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</si>
  <si>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</si>
  <si>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</si>
  <si>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</si>
  <si>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</si>
  <si>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</si>
  <si>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</si>
  <si>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</si>
  <si>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</si>
  <si>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</si>
  <si>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</si>
  <si>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</si>
  <si>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</si>
  <si>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</si>
  <si>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</si>
  <si>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</si>
  <si>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</si>
  <si>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</si>
  <si>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</si>
  <si>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</si>
  <si>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</si>
  <si>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</si>
  <si>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</si>
  <si>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</si>
  <si>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</si>
  <si>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</si>
  <si>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</si>
  <si>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</si>
  <si>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</si>
  <si>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</si>
  <si>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</si>
  <si>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</si>
  <si>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</si>
  <si>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</si>
  <si>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</si>
  <si>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</si>
  <si>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</si>
  <si>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</si>
  <si>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</si>
  <si>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</si>
  <si>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</si>
  <si>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</si>
  <si>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</si>
  <si>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</si>
  <si>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</si>
  <si>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</si>
  <si>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</si>
  <si>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</si>
  <si>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</si>
  <si>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</si>
  <si>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</si>
  <si>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</si>
  <si>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</si>
  <si>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</si>
  <si>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</si>
  <si>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</si>
  <si>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</si>
  <si>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</si>
  <si>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</si>
  <si>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</si>
  <si>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</si>
  <si>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</si>
  <si>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</si>
  <si>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</si>
  <si>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</si>
  <si>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</si>
  <si>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</si>
  <si>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</si>
  <si>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</si>
  <si>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</si>
  <si>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</si>
  <si>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</si>
  <si>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</si>
  <si>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</si>
  <si>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</si>
  <si>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</si>
  <si>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</si>
  <si>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</si>
  <si>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</si>
  <si>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</si>
  <si>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</si>
  <si>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</si>
  <si>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</si>
  <si>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</si>
  <si>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</si>
  <si>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</si>
  <si>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</si>
  <si>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</si>
  <si>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</si>
  <si>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</si>
  <si>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</si>
  <si>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</si>
  <si>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</si>
  <si>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</si>
  <si>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</si>
  <si>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</si>
  <si>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</si>
  <si>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</si>
  <si>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</si>
  <si>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</si>
  <si>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</si>
  <si>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</si>
  <si>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</si>
  <si>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</si>
  <si>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</si>
  <si>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</si>
  <si>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</si>
  <si>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</si>
  <si>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</si>
  <si>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</si>
  <si>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</si>
  <si>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</si>
  <si>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</si>
  <si>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</si>
  <si>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</si>
  <si>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</si>
  <si>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</si>
  <si>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</si>
  <si>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</si>
  <si>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</si>
  <si>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</si>
  <si>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</si>
  <si>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</si>
  <si>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</si>
  <si>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</si>
  <si>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</si>
  <si>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</si>
  <si>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</si>
  <si>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</si>
  <si>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</si>
  <si>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</si>
  <si>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</si>
  <si>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</si>
  <si>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</si>
  <si>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</si>
  <si>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</si>
  <si>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</si>
  <si>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</si>
  <si>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</si>
  <si>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</si>
  <si>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</si>
  <si>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</si>
  <si>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</si>
  <si>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</si>
  <si>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</si>
  <si>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</si>
  <si>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</si>
  <si>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</si>
  <si>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</si>
  <si>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</si>
  <si>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</si>
  <si>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</si>
  <si>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</si>
  <si>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</si>
  <si>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</si>
  <si>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</si>
  <si>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</si>
  <si>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</si>
  <si>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</si>
  <si>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</si>
  <si>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</si>
  <si>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</si>
  <si>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</si>
  <si>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</si>
  <si>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</si>
  <si>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</si>
  <si>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</si>
  <si>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</si>
  <si>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</si>
  <si>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</si>
  <si>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</si>
  <si>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</si>
  <si>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</si>
  <si>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</si>
  <si>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</si>
  <si>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</si>
  <si>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</si>
  <si>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</si>
  <si>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</si>
  <si>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</si>
  <si>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</si>
  <si>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</si>
  <si>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</si>
  <si>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</si>
  <si>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</si>
  <si>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</si>
  <si>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</si>
  <si>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</si>
  <si>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</si>
  <si>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</si>
  <si>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</si>
  <si>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</si>
  <si>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</si>
  <si>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</si>
  <si>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</si>
  <si>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</si>
  <si>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</si>
  <si>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</si>
  <si>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</si>
  <si>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</si>
  <si>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</si>
  <si>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</si>
  <si>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</si>
  <si>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</si>
  <si>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</si>
  <si>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</si>
  <si>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</si>
  <si>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</si>
  <si>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</si>
  <si>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</si>
  <si>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</si>
  <si>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</si>
  <si>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</si>
  <si>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</si>
  <si>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</si>
  <si>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</si>
  <si>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</si>
  <si>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</si>
  <si>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</si>
  <si>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</si>
  <si>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</si>
  <si>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</si>
  <si>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</si>
  <si>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</si>
  <si>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</si>
  <si>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</si>
  <si>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</si>
  <si>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</si>
  <si>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</si>
  <si>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</si>
  <si>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</si>
  <si>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</si>
  <si>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</si>
  <si>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</si>
  <si>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</si>
  <si>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</si>
  <si>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</si>
  <si>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</si>
  <si>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</si>
  <si>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</si>
  <si>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</si>
  <si>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</si>
  <si>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</si>
  <si>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</si>
  <si>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</si>
  <si>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</si>
  <si>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</si>
  <si>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</si>
  <si>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</si>
  <si>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</si>
  <si>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</si>
  <si>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</si>
  <si>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</si>
  <si>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</si>
  <si>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</si>
  <si>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</si>
  <si>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</si>
  <si>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</si>
  <si>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</si>
  <si>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</si>
  <si>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</si>
  <si>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</si>
  <si>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</si>
  <si>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</si>
  <si>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</si>
  <si>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</si>
  <si>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</si>
  <si>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</si>
  <si>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</si>
  <si>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</si>
  <si>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</si>
  <si>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</si>
  <si>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</si>
  <si>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</si>
  <si>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</si>
  <si>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</si>
  <si>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</si>
  <si>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</si>
  <si>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</si>
  <si>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</si>
  <si>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</si>
  <si>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</si>
  <si>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</si>
  <si>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</si>
  <si>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</si>
  <si>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</si>
  <si>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</si>
  <si>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</si>
  <si>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</si>
  <si>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</si>
  <si>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</si>
  <si>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</si>
  <si>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</si>
  <si>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</si>
  <si>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</si>
  <si>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</si>
  <si>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</si>
  <si>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</si>
  <si>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</si>
  <si>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</si>
  <si>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</si>
  <si>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</si>
  <si>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</si>
  <si>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</si>
  <si>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</si>
  <si>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</si>
  <si>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</si>
  <si>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</si>
  <si>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</si>
  <si>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</si>
  <si>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</si>
  <si>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</si>
  <si>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</si>
  <si>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</si>
  <si>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</si>
  <si>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</si>
  <si>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</si>
  <si>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</si>
  <si>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</si>
  <si>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</si>
  <si>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</si>
  <si>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</si>
  <si>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</si>
  <si>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</si>
  <si>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</si>
  <si>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</si>
  <si>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</si>
  <si>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</si>
  <si>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</si>
  <si>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</si>
  <si>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</si>
  <si>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</si>
  <si>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</si>
  <si>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</si>
  <si>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</si>
  <si>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</si>
  <si>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</si>
  <si>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</si>
  <si>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</si>
  <si>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</si>
  <si>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</si>
  <si>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</si>
  <si>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</si>
  <si>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</si>
  <si>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</si>
  <si>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</si>
  <si>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</si>
  <si>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</si>
  <si>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</si>
  <si>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</si>
  <si>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</si>
  <si>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</si>
  <si>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</si>
  <si>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</si>
  <si>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</si>
  <si>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</si>
  <si>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</si>
  <si>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</si>
  <si>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</si>
  <si>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</si>
  <si>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</si>
  <si>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</si>
  <si>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</si>
  <si>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</si>
  <si>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</si>
  <si>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</si>
  <si>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</si>
  <si>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</si>
  <si>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</si>
  <si>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</si>
  <si>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</si>
  <si>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</si>
  <si>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</si>
  <si>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</si>
  <si>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</si>
  <si>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</si>
  <si>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</si>
  <si>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</si>
  <si>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</si>
  <si>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</si>
  <si>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</si>
  <si>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</si>
  <si>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</si>
  <si>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</si>
  <si>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</si>
  <si>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</si>
  <si>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</si>
  <si>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</si>
  <si>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</si>
  <si>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</si>
  <si>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</si>
  <si>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</si>
  <si>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</si>
  <si>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</si>
  <si>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</si>
  <si>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</si>
  <si>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</si>
  <si>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</si>
  <si>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</si>
  <si>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</si>
  <si>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</si>
  <si>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</si>
  <si>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</si>
  <si>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</si>
  <si>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</si>
  <si>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</si>
  <si>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</si>
  <si>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</si>
  <si>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</si>
  <si>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</si>
  <si>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</si>
  <si>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</si>
  <si>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</si>
  <si>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</si>
  <si>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</si>
  <si>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</si>
  <si>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</si>
  <si>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</si>
  <si>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</si>
  <si>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</si>
  <si>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</si>
  <si>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</si>
  <si>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</si>
  <si>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</si>
  <si>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</si>
  <si>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</si>
  <si>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</si>
  <si>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</si>
  <si>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</si>
  <si>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</si>
  <si>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</si>
  <si>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</si>
  <si>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</si>
  <si>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</si>
  <si>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</si>
  <si>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</si>
  <si>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</si>
  <si>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</si>
  <si>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</si>
  <si>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</si>
  <si>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</si>
  <si>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</si>
  <si>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</si>
  <si>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</si>
  <si>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</si>
  <si>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</si>
  <si>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</si>
  <si>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</si>
  <si>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</si>
  <si>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</si>
  <si>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</si>
  <si>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</si>
  <si>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</si>
  <si>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</si>
  <si>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</si>
  <si>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</si>
  <si>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</si>
  <si>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</si>
  <si>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</si>
  <si>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</si>
  <si>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</si>
  <si>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</si>
  <si>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</si>
  <si>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</si>
  <si>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</si>
  <si>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</si>
  <si>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</si>
  <si>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</si>
  <si>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</si>
  <si>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</si>
  <si>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</si>
  <si>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</si>
  <si>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</si>
  <si>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</si>
  <si>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</si>
  <si>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</si>
  <si>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</si>
  <si>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</si>
  <si>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</si>
  <si>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</si>
  <si>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</si>
  <si>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</si>
  <si>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</si>
  <si>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</si>
  <si>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</si>
  <si>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</si>
  <si>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</si>
  <si>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</si>
  <si>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</si>
  <si>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</si>
  <si>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</si>
  <si>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</si>
  <si>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</si>
  <si>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</si>
  <si>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</si>
  <si>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</si>
  <si>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</si>
  <si>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</si>
  <si>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</si>
  <si>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</si>
  <si>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</si>
  <si>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</si>
  <si>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</si>
  <si>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</si>
  <si>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</si>
  <si>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</si>
  <si>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</si>
  <si>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</si>
  <si>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</si>
  <si>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</si>
  <si>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</si>
  <si>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</si>
  <si>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</si>
  <si>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</si>
  <si>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</si>
  <si>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</si>
  <si>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</si>
  <si>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</si>
  <si>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</si>
  <si>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</si>
  <si>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</si>
  <si>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</si>
  <si>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</si>
  <si>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</si>
  <si>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</si>
  <si>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</si>
  <si>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</si>
  <si>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</si>
  <si>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</si>
  <si>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</si>
  <si>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</si>
  <si>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</si>
  <si>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</si>
  <si>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</si>
  <si>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</si>
  <si>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</si>
  <si>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</si>
  <si>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</si>
  <si>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</si>
  <si>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</si>
  <si>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</si>
  <si>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</si>
  <si>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</si>
  <si>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</si>
  <si>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</si>
  <si>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</si>
  <si>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</si>
  <si>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</si>
  <si>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</si>
  <si>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</si>
  <si>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</si>
  <si>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</si>
  <si>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</si>
  <si>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</si>
  <si>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</si>
  <si>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</si>
  <si>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</si>
  <si>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</si>
  <si>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</si>
  <si>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</si>
  <si>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</si>
  <si>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</si>
  <si>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</si>
  <si>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</si>
  <si>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</si>
  <si>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</si>
  <si>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</si>
  <si>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</si>
  <si>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</si>
  <si>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</si>
  <si>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</si>
  <si>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</si>
  <si>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</si>
  <si>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</si>
  <si>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</si>
  <si>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</si>
  <si>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</si>
  <si>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</si>
  <si>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</si>
  <si>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</si>
  <si>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</si>
  <si>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</si>
  <si>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</si>
  <si>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</si>
  <si>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</si>
  <si>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</si>
  <si>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</si>
  <si>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</si>
  <si>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</si>
  <si>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</si>
  <si>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</si>
  <si>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</si>
  <si>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</si>
  <si>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</si>
  <si>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</si>
  <si>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</si>
  <si>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</si>
  <si>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</si>
  <si>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</si>
  <si>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</si>
  <si>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</si>
  <si>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</si>
  <si>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</si>
  <si>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</si>
  <si>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</si>
  <si>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</si>
  <si>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</si>
  <si>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</si>
  <si>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</si>
  <si>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</si>
  <si>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</si>
  <si>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</si>
  <si>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</si>
  <si>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</si>
  <si>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</si>
  <si>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</si>
  <si>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</si>
  <si>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</si>
  <si>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</si>
  <si>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</si>
  <si>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</si>
  <si>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</si>
  <si>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</si>
  <si>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</si>
  <si>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</si>
  <si>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</si>
  <si>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</si>
  <si>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</si>
  <si>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</si>
  <si>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</si>
  <si>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</si>
  <si>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</si>
  <si>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</si>
  <si>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</si>
  <si>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</si>
  <si>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</si>
  <si>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</si>
  <si>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</si>
  <si>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</si>
  <si>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</si>
  <si>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</si>
  <si>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</si>
  <si>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</si>
  <si>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</si>
  <si>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</si>
  <si>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</si>
  <si>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</si>
  <si>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</si>
  <si>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</si>
  <si>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</si>
  <si>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</si>
  <si>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</si>
  <si>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</si>
  <si>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</si>
  <si>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</si>
  <si>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</si>
  <si>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</si>
  <si>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</si>
  <si>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</si>
  <si>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</si>
  <si>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</si>
  <si>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</si>
  <si>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</si>
  <si>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</si>
  <si>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</si>
  <si>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</si>
  <si>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</si>
  <si>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</si>
  <si>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</si>
  <si>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</si>
  <si>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</si>
  <si>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</si>
  <si>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</si>
  <si>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</si>
  <si>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</si>
  <si>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</si>
  <si>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</si>
  <si>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</si>
  <si>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</si>
  <si>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</si>
  <si>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</si>
  <si>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</si>
  <si>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</si>
  <si>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</si>
  <si>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</si>
  <si>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</si>
  <si>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</si>
  <si>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</si>
  <si>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</si>
  <si>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</si>
  <si>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</si>
  <si>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</si>
  <si>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</si>
  <si>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</si>
  <si>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</si>
  <si>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</si>
  <si>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</si>
  <si>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</si>
  <si>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</si>
  <si>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</si>
  <si>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</si>
  <si>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</si>
  <si>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</si>
  <si>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</si>
  <si>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</si>
  <si>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</si>
  <si>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</si>
  <si>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</si>
  <si>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</si>
  <si>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</si>
  <si>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</si>
  <si>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</si>
  <si>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</si>
  <si>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</si>
  <si>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</si>
  <si>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</si>
  <si>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</si>
  <si>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</si>
  <si>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</si>
  <si>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</si>
  <si>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</si>
  <si>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</si>
  <si>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</si>
  <si>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</si>
  <si>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</si>
  <si>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</si>
  <si>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</si>
  <si>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</si>
  <si>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</si>
  <si>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</si>
  <si>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</si>
  <si>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</si>
  <si>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</si>
  <si>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</si>
  <si>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</si>
  <si>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</si>
  <si>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</si>
  <si>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</si>
  <si>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</si>
  <si>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</si>
  <si>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</si>
  <si>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</si>
  <si>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</si>
  <si>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</si>
  <si>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</si>
  <si>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</si>
  <si>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</si>
  <si>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</si>
  <si>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</si>
  <si>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</si>
  <si>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</si>
  <si>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</si>
  <si>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</si>
  <si>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</si>
  <si>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</si>
  <si>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</si>
  <si>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</si>
  <si>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</si>
  <si>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</si>
  <si>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</si>
  <si>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</si>
  <si>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</si>
  <si>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</si>
  <si>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</si>
  <si>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CC_002098_DEFAULTL</t>
  </si>
  <si>
    <t>G000000422</t>
  </si>
  <si>
    <t>G000000532</t>
  </si>
  <si>
    <t>G000000951</t>
  </si>
  <si>
    <t>G000001025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</si>
  <si>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</si>
  <si>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</si>
  <si>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</si>
  <si>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</si>
  <si>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</si>
  <si>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</si>
  <si>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</si>
  <si>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</si>
  <si>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</si>
  <si>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</si>
  <si>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</si>
  <si>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L000013174_IO</t>
  </si>
  <si>
    <t>L000006429_IO</t>
  </si>
  <si>
    <t>WEIRD</t>
  </si>
  <si>
    <t>ITR_1000$$$1022ITR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</si>
</sst>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31.084201504629" createdVersion="7" refreshedVersion="7" minRefreshableVersion="3" recordCount="5243" xr:uid="{11839AE3-6158-4318-87AD-2C711D0BF451}">
  <cacheSource type="worksheet">
    <worksheetSource name="Proc"/>
  </cacheSource>
  <cacheFields count="19">
    <cacheField name="App" numFmtId="0">
      <sharedItems containsBlank="1" count="166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07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7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7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5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4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4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4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4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4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4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4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4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4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4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4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4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4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4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4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4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4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4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4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4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4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4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4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4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4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4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4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4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4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4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4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4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4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4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4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4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4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4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4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4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4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4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4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4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4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4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4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4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4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4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4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4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3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3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3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3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3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3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3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3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3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3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3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2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2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2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2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2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2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2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2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2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2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1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1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1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1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1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1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9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9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9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9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9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8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7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7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7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7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7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7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7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7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7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7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7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7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7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7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7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7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7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7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7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7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6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6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6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6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6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6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6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6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6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6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6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5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5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5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5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4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4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4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4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4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4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4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4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4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4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4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4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4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38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38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38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38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3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3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3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3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3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3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3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3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3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3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3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3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3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3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3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3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3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3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3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3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3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3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3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3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3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3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3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3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31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29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28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28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2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27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27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2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2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2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2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2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2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2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2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2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2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2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2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2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2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2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2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2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2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2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2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2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2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2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2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2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2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2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2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2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2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2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2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2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2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1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1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1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1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1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1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1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1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1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1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1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1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1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13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13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13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13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13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13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13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13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13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13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13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13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13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13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13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13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13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13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13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13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13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13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13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13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13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13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13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13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13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13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13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13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13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13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13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13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13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13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13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13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13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13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13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13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13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13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13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13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13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13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13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13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13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13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13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13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13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13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13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13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13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13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13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13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13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13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13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13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13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13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13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13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13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13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13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13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13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13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13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13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13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13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13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13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13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13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13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13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13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13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13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13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13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13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13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13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13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13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13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13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13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13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13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13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13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13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13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13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13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10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10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10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10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10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10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10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10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10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10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10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10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10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10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09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09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08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08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08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08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08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08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08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07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07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07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06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06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06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06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06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06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06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06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06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06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06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06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06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06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06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06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06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06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06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06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06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06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06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06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06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06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06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06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06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06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06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06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06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06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06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06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06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05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04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04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03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03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03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03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00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00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00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00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00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00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00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00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00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00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00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00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00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99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99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99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99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98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98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98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98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98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98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98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98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98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98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98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98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98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98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98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98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98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98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98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98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98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98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98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98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98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98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98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98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98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98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98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98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98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98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98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98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98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98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98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98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98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98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98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98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98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98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98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98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98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98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98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98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98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98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98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98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98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98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98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98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98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98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98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98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98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98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98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98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98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98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98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98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98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98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98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98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98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98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98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98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98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98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98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98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98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98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98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98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98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98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98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98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98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98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98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98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98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98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98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98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98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98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98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98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98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98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98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98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98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98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98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98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98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98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98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98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98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98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98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98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98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98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98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98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98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98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96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96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96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96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96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96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96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96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96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96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94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94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94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94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94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94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94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94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94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94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94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94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93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93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93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93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93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93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93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93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93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93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93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93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93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93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93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93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93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93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93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93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93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93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93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93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93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93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93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93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93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93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93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93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93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93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93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93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93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93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93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93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93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93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93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93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93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93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93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93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93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93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93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93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93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93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93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93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93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93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93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93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93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93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93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93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93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93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93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93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93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93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93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93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93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93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93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93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93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93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93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93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93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93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93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93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93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93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93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93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93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93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93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93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93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93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93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93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93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93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93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93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93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93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93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93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93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93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93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93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93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93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93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93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93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93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93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89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89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89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89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89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89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89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89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89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89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89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89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88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88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88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88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88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88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88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88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88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88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88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88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88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8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8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8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8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88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88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88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5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5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5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5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5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5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5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5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5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84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83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83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83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83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83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83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82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82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82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82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82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82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81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81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81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81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81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81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80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80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80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80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80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80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80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80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80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80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80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80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77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77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77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77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77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77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77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77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77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77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77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77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77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77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77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77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77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77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77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77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77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77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77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77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76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76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73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72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72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72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72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72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72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70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70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70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70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70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70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70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70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70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70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70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70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70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70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70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70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70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70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70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70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68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68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68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68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68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68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68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68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68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68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68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68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68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68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68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68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61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61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61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61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61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57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57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57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57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57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57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57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57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57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57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57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57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57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57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57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57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57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57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57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57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57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57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57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57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57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57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57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57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57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56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55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54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54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54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54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54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54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54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54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54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54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54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54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54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54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54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54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54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54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54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54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54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54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54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54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54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54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54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53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53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53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53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53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53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53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53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53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53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53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53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53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53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53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53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53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53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53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53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53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53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53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53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53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53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53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52"/>
    <s v="Ruby Grace Garcia"/>
    <m/>
  </r>
  <r>
    <x v="408"/>
    <x v="1"/>
    <x v="8"/>
    <s v="ITEMPEU_001700006137"/>
    <s v="H000004596"/>
    <s v="No_Hierarchy"/>
    <s v="Non-LFF"/>
    <s v=""/>
    <m/>
    <b v="0"/>
    <x v="1"/>
    <x v="0"/>
    <d v="2025-10-24T00:00:00"/>
    <m/>
    <m/>
    <x v="1"/>
    <n v="55"/>
    <s v="Anna Glab"/>
    <m/>
  </r>
  <r>
    <x v="408"/>
    <x v="1"/>
    <x v="8"/>
    <s v="ITEMPEU_001700006138"/>
    <s v="H000004597"/>
    <s v="No_Hierarchy"/>
    <s v="Non-LFF"/>
    <s v=""/>
    <m/>
    <b v="0"/>
    <x v="1"/>
    <x v="0"/>
    <d v="2025-10-24T00:00:00"/>
    <m/>
    <m/>
    <x v="1"/>
    <n v="55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50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50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50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50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50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50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50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50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50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50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50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50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50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50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50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50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50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50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50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50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48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48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48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48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48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48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48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48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48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48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48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48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48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48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48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48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48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48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48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48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48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48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48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48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48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48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48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48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48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47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45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45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45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42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42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42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42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42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39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39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39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39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39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39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38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38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38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38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38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36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34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34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34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34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34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34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34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34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34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34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34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34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34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34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34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34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34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34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34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34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34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34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34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34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34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34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34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34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34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34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34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34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34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33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33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33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33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33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33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33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33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33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33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31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31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31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31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31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31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31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31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31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31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31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31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31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31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31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31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31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31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31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31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31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31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31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31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31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31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31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31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31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31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31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31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31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31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30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30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30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30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30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30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30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30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30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30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30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30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30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30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30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30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30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30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30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30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30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30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30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30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30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30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29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29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29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29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29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29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29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29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29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28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28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28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28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28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28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28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28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28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28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28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27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26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26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24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24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24"/>
    <s v="Ruby Grace Garcia"/>
    <m/>
  </r>
  <r>
    <x v="463"/>
    <x v="1"/>
    <x v="8"/>
    <s v="RDC0000095"/>
    <s v="H000004396"/>
    <s v="DFLTPGCOH_MISSING_NODES"/>
    <s v="Non-LFF"/>
    <s v=""/>
    <m/>
    <b v="0"/>
    <x v="1"/>
    <x v="0"/>
    <d v="2025-12-08T00:00:00"/>
    <m/>
    <m/>
    <x v="1"/>
    <n v="24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24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24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24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24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24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22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6"/>
    <x v="1"/>
    <x v="2"/>
    <s v="CFLTFLE_2152IMIPEVOL01"/>
    <s v="P000000411"/>
    <s v="P000000411"/>
    <s v="Non-LFF"/>
    <s v=""/>
    <m/>
    <b v="1"/>
    <x v="3"/>
    <x v="0"/>
    <d v="2025-12-12T00:00:00"/>
    <m/>
    <m/>
    <x v="1"/>
    <n v="20"/>
    <s v="Roselle Delos Angeles"/>
    <m/>
  </r>
  <r>
    <x v="466"/>
    <x v="1"/>
    <x v="8"/>
    <s v="CFLTFLE_2152IMIPPCRD01"/>
    <s v="P000000540"/>
    <s v="DFLTPGCOH_002152"/>
    <s v="Non-LFF"/>
    <s v=""/>
    <m/>
    <b v="0"/>
    <x v="3"/>
    <x v="0"/>
    <d v="2025-12-12T00:00:00"/>
    <m/>
    <m/>
    <x v="1"/>
    <n v="20"/>
    <s v="Roselle Delos Angeles"/>
    <m/>
  </r>
  <r>
    <x v="466"/>
    <x v="1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20"/>
    <s v="Roselle Delos Angeles"/>
    <m/>
  </r>
  <r>
    <x v="466"/>
    <x v="1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20"/>
    <s v="Roselle Delos Angeles"/>
    <m/>
  </r>
  <r>
    <x v="466"/>
    <x v="1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20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19"/>
    <s v="Ruby Grace Garcia"/>
    <m/>
  </r>
  <r>
    <x v="468"/>
    <x v="1"/>
    <x v="5"/>
    <s v="CNOW_7210$$$0000021322 SM-AL8 Biomolecular ARD US"/>
    <s v="L000006661"/>
    <s v="G000000864"/>
    <s v="Non-LFF"/>
    <s v=""/>
    <s v="TO BE DONE IN 2026"/>
    <b v="0"/>
    <x v="0"/>
    <x v="0"/>
    <d v="2025-12-15T00:00:00"/>
    <m/>
    <m/>
    <x v="1"/>
    <n v="19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6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6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16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16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16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6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6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16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16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9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9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9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0"/>
    <n v="5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EMERAL_70007001457754 Reg LS Project Eagle"/>
    <s v="L000013905"/>
    <s v="L000013905"/>
    <s v="Non-LFF"/>
    <s v=""/>
    <m/>
    <b v="1"/>
    <x v="2"/>
    <x v="0"/>
    <d v="2026-01-02T00:00:00"/>
    <m/>
    <m/>
    <x v="0"/>
    <n v="5"/>
    <s v="Ruby Grace Garcia"/>
    <m/>
  </r>
  <r>
    <x v="477"/>
    <x v="1"/>
    <x v="6"/>
    <s v="CLFF_7210$$$1756Y11755 LS Project Eagle"/>
    <s v="L000013905"/>
    <s v="L000011321"/>
    <s v="LFF (MDG-F)"/>
    <s v="1756Y11755"/>
    <s v="mapped for 2025 mapped for 2026"/>
    <b v="0"/>
    <x v="2"/>
    <x v="0"/>
    <d v="2026-01-02T00:00:00"/>
    <m/>
    <m/>
    <x v="0"/>
    <n v="5"/>
    <s v="Ruby Grace Garcia"/>
    <m/>
  </r>
  <r>
    <x v="477"/>
    <x v="1"/>
    <x v="2"/>
    <s v="CORAERP_MMOR1975.9208 PS - A&amp;F Patent Fees"/>
    <s v="L000013785"/>
    <s v="L00001378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3601 CTO Super Enzyme program"/>
    <s v="L000006435"/>
    <s v="L00000643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NOW_7210$$$0000000311 VGT Bioprocessing 2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5"/>
    <s v="ITEMPEU_001300003829 In silico cQA Risk Assessment"/>
    <s v="L000007087"/>
    <s v="L000013174_IO"/>
    <s v="Non-LFF"/>
    <s v=""/>
    <s v="WEIRD"/>
    <b v="0"/>
    <x v="2"/>
    <x v="0"/>
    <d v="2026-01-02T00:00:00"/>
    <m/>
    <m/>
    <x v="0"/>
    <n v="5"/>
    <s v="Ruby Grace Garcia"/>
    <m/>
  </r>
  <r>
    <x v="477"/>
    <x v="1"/>
    <x v="5"/>
    <s v="CNOW_7210$$$0000021381 *STL APPLIED MARKET ADMETox R&amp;D"/>
    <s v="L000007087"/>
    <s v="CC_002098_DEFAULTL"/>
    <s v="Non-LFF"/>
    <s v=""/>
    <s v="WEIRD"/>
    <b v="0"/>
    <x v="2"/>
    <x v="0"/>
    <d v="2026-01-02T00:00:00"/>
    <m/>
    <m/>
    <x v="0"/>
    <n v="5"/>
    <s v="Ruby Grace Garcia"/>
    <m/>
  </r>
  <r>
    <x v="477"/>
    <x v="1"/>
    <x v="2"/>
    <s v="CNOW_7210$$$0000020561 GENM - R&amp;D Management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111 P-LNP-Synthetic Cholesterol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18 CH71 EXP PLGA/PLA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64 P-LNP-DMG-DSG-PEG2ka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2 CH71 ACB_ALC-0159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3 CH71 ACA_ALC-0315 Invest F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4 CH71 MBH DOTMA Invest F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5 CH71 MBC DOPE Invest F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348501 XXXT_mRNA AmpTec support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13801 T_mRNA Upscaling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7301 P-LNP-Lipidomic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5"/>
    <s v="IPHOENX_000002425301 P-PGM-mRNA Process Development"/>
    <s v="L000013901"/>
    <s v="L000006429_IO"/>
    <s v="Non-LFF"/>
    <s v=""/>
    <s v="WEIRD"/>
    <b v="0"/>
    <x v="2"/>
    <x v="0"/>
    <d v="2026-01-02T00:00:00"/>
    <m/>
    <m/>
    <x v="0"/>
    <n v="5"/>
    <s v="Ruby Grace Garcia"/>
    <m/>
  </r>
  <r>
    <x v="478"/>
    <x v="1"/>
    <x v="6"/>
    <s v="CLFF_1000$$$DE10537813"/>
    <s v="G000000397"/>
    <s v="G000000532"/>
    <s v="LFF (MDG-F)"/>
    <s v="DE10537813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7813"/>
    <s v="G000000397"/>
    <s v="G000000532"/>
    <s v="LFF (MDG-F)"/>
    <s v="DE20537813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999"/>
    <s v="G000000397"/>
    <s v="G000000422"/>
    <s v="LFF (MDG-F)"/>
    <s v="DE1053899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29"/>
    <s v="G000000397"/>
    <s v="G000001025"/>
    <s v="LFF (MDG-F)"/>
    <s v="DE1053852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36"/>
    <s v="G000000397"/>
    <s v="G000001025"/>
    <s v="LFF (MDG-F)"/>
    <s v="DE10538536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39"/>
    <s v="G000000397"/>
    <s v="G000001025"/>
    <s v="LFF (MDG-F)"/>
    <s v="DE1053853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40"/>
    <s v="G000000397"/>
    <s v="G000001025"/>
    <s v="LFF (MDG-F)"/>
    <s v="DE10538540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29"/>
    <s v="G000000397"/>
    <s v="G000000951"/>
    <s v="LFF (MDG-F)"/>
    <s v="DE2053852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36"/>
    <s v="G000000397"/>
    <s v="G000000951"/>
    <s v="LFF (MDG-F)"/>
    <s v="DE20538536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39"/>
    <s v="G000000397"/>
    <s v="G000000951"/>
    <s v="LFF (MDG-F)"/>
    <s v="DE2053853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40"/>
    <s v="G000000397"/>
    <s v="G000000951"/>
    <s v="LFF (MDG-F)"/>
    <s v="DE20538540"/>
    <s v="mapped for 2025 mapped for 2026"/>
    <b v="0"/>
    <x v="5"/>
    <x v="0"/>
    <d v="2026-01-02T00:00:00"/>
    <m/>
    <m/>
    <x v="0"/>
    <n v="5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80"/>
    <x v="1"/>
    <x v="5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0"/>
    <n v="3"/>
    <s v="Jay-R Lizardo"/>
    <m/>
  </r>
  <r>
    <x v="480"/>
    <x v="1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0"/>
    <n v="3"/>
    <s v="Jay-R Lizardo"/>
    <m/>
  </r>
  <r>
    <x v="480"/>
    <x v="1"/>
    <x v="6"/>
    <s v="CLFF_1000$$$DE65GIT032"/>
    <s v="G000000256"/>
    <s v="DFLTPGCOH_BF-C2_001242"/>
    <s v="LFF (MDG-F)"/>
    <s v="DE65GIT032"/>
    <s v="mapped for 2025 waiting for 2026"/>
    <b v="0"/>
    <x v="0"/>
    <x v="0"/>
    <d v="2026-01-06T00:00:00"/>
    <m/>
    <m/>
    <x v="0"/>
    <n v="3"/>
    <s v="Jay-R Lizardo"/>
    <m/>
  </r>
  <r>
    <x v="480"/>
    <x v="1"/>
    <x v="6"/>
    <s v="CLFF_1000$$$DE10YIT020"/>
    <s v="G000000273"/>
    <s v="G000001240"/>
    <s v="LFF (MDG-F)"/>
    <s v="DE10YIT020"/>
    <s v="mapped for 2025 waiting for 2026"/>
    <b v="0"/>
    <x v="0"/>
    <x v="0"/>
    <d v="2026-01-06T00:00:00"/>
    <m/>
    <m/>
    <x v="0"/>
    <n v="3"/>
    <s v="Jay-R Lizardo"/>
    <m/>
  </r>
  <r>
    <x v="480"/>
    <x v="1"/>
    <x v="6"/>
    <s v="CLFF_1000$$$DE10YIT021"/>
    <s v="G000000339"/>
    <s v="G000000786"/>
    <s v="LFF (MDG-F)"/>
    <s v="DE10YIT021"/>
    <s v="mapped for 2025 waiting for 2026"/>
    <b v="0"/>
    <x v="0"/>
    <x v="0"/>
    <d v="2026-01-06T00:00:00"/>
    <m/>
    <m/>
    <x v="0"/>
    <n v="3"/>
    <s v="Jay-R Lizar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1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8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11"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3"/>
    </i>
    <i>
      <x v="9"/>
    </i>
    <i r="1">
      <x/>
    </i>
    <i>
      <x v="10"/>
    </i>
    <i r="1">
      <x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6" firstHeaderRow="1" firstDataRow="1" firstDataCol="1" rowPageCount="1" colPageCount="1"/>
  <pivotFields count="19">
    <pivotField axis="axisRow" showAll="0" sortType="ascending">
      <items count="1663">
        <item m="1" x="1047"/>
        <item x="0"/>
        <item m="1" x="1117"/>
        <item m="1" x="1538"/>
        <item m="1" x="700"/>
        <item m="1" x="1555"/>
        <item m="1" x="1077"/>
        <item m="1" x="1167"/>
        <item m="1" x="1588"/>
        <item m="1" x="1382"/>
        <item m="1" x="1070"/>
        <item m="1" x="1654"/>
        <item m="1" x="1400"/>
        <item m="1" x="1644"/>
        <item m="1" x="1018"/>
        <item m="1" x="919"/>
        <item m="1" x="623"/>
        <item m="1" x="884"/>
        <item m="1" x="1608"/>
        <item m="1" x="676"/>
        <item m="1" x="984"/>
        <item m="1" x="1352"/>
        <item m="1" x="1067"/>
        <item m="1" x="1160"/>
        <item m="1" x="1456"/>
        <item m="1" x="1641"/>
        <item m="1" x="1102"/>
        <item m="1" x="1124"/>
        <item m="1" x="889"/>
        <item m="1" x="1290"/>
        <item m="1" x="1049"/>
        <item m="1" x="1595"/>
        <item m="1" x="1252"/>
        <item m="1" x="685"/>
        <item m="1" x="793"/>
        <item m="1" x="1580"/>
        <item m="1" x="1344"/>
        <item m="1" x="598"/>
        <item m="1" x="1430"/>
        <item m="1" x="1096"/>
        <item m="1" x="1391"/>
        <item m="1" x="977"/>
        <item m="1" x="1329"/>
        <item m="1" x="588"/>
        <item m="1" x="618"/>
        <item m="1" x="1657"/>
        <item m="1" x="1336"/>
        <item m="1" x="1404"/>
        <item m="1" x="1511"/>
        <item m="1" x="1280"/>
        <item m="1" x="1378"/>
        <item m="1" x="1217"/>
        <item m="1" x="672"/>
        <item m="1" x="863"/>
        <item m="1" x="1639"/>
        <item m="1" x="1207"/>
        <item m="1" x="1347"/>
        <item m="1" x="875"/>
        <item m="1" x="836"/>
        <item m="1" x="1128"/>
        <item m="1" x="1020"/>
        <item m="1" x="1053"/>
        <item m="1" x="612"/>
        <item m="1" x="751"/>
        <item m="1" x="1413"/>
        <item m="1" x="1630"/>
        <item m="1" x="816"/>
        <item m="1" x="1221"/>
        <item m="1" x="1231"/>
        <item m="1" x="1408"/>
        <item m="1" x="1518"/>
        <item m="1" x="1396"/>
        <item m="1" x="691"/>
        <item m="1" x="1539"/>
        <item m="1" x="1269"/>
        <item m="1" x="1256"/>
        <item m="1" x="791"/>
        <item m="1" x="1144"/>
        <item m="1" x="1491"/>
        <item m="1" x="609"/>
        <item m="1" x="1188"/>
        <item m="1" x="1541"/>
        <item m="1" x="1379"/>
        <item m="1" x="1114"/>
        <item m="1" x="1156"/>
        <item m="1" x="1037"/>
        <item m="1" x="1272"/>
        <item m="1" x="1084"/>
        <item m="1" x="1316"/>
        <item m="1" x="800"/>
        <item m="1" x="1629"/>
        <item m="1" x="1154"/>
        <item m="1" x="1440"/>
        <item m="1" x="517"/>
        <item m="1" x="1645"/>
        <item m="1" x="1181"/>
        <item m="1" x="1470"/>
        <item m="1" x="1383"/>
        <item m="1" x="1161"/>
        <item m="1" x="671"/>
        <item m="1" x="678"/>
        <item m="1" x="718"/>
        <item m="1" x="900"/>
        <item m="1" x="1324"/>
        <item m="1" x="1085"/>
        <item m="1" x="1201"/>
        <item m="1" x="1264"/>
        <item m="1" x="1411"/>
        <item m="1" x="1494"/>
        <item m="1" x="1056"/>
        <item m="1" x="777"/>
        <item m="1" x="620"/>
        <item m="1" x="763"/>
        <item m="1" x="1638"/>
        <item m="1" x="795"/>
        <item m="1" x="1476"/>
        <item m="1" x="1405"/>
        <item m="1" x="1023"/>
        <item m="1" x="1095"/>
        <item m="1" x="961"/>
        <item m="1" x="1218"/>
        <item m="1" x="1593"/>
        <item m="1" x="769"/>
        <item m="1" x="717"/>
        <item m="1" x="652"/>
        <item m="1" x="1318"/>
        <item m="1" x="1578"/>
        <item m="1" x="1506"/>
        <item m="1" x="1163"/>
        <item m="1" x="687"/>
        <item m="1" x="1412"/>
        <item m="1" x="864"/>
        <item m="1" x="1118"/>
        <item m="1" x="1293"/>
        <item m="1" x="1401"/>
        <item m="1" x="521"/>
        <item m="1" x="1350"/>
        <item m="1" x="1313"/>
        <item m="1" x="754"/>
        <item m="1" x="1202"/>
        <item m="1" x="1090"/>
        <item m="1" x="1043"/>
        <item m="1" x="776"/>
        <item m="1" x="712"/>
        <item m="1" x="952"/>
        <item m="1" x="1139"/>
        <item m="1" x="546"/>
        <item m="1" x="885"/>
        <item m="1" x="744"/>
        <item m="1" x="486"/>
        <item m="1" x="996"/>
        <item m="1" x="1197"/>
        <item m="1" x="1079"/>
        <item m="1" x="1125"/>
        <item m="1" x="1444"/>
        <item m="1" x="1026"/>
        <item m="1" x="1552"/>
        <item m="1" x="1276"/>
        <item m="1" x="1215"/>
        <item m="1" x="729"/>
        <item m="1" x="1362"/>
        <item m="1" x="1640"/>
        <item m="1" x="1328"/>
        <item m="1" x="1312"/>
        <item m="1" x="599"/>
        <item m="1" x="647"/>
        <item m="1" x="1182"/>
        <item m="1" x="688"/>
        <item m="1" x="1625"/>
        <item m="1" x="1291"/>
        <item m="1" x="1216"/>
        <item m="1" x="1168"/>
        <item m="1" x="969"/>
        <item m="1" x="597"/>
        <item m="1" x="697"/>
        <item m="1" x="803"/>
        <item m="1" x="1536"/>
        <item m="1" x="1568"/>
        <item m="1" x="1267"/>
        <item m="1" x="994"/>
        <item m="1" x="1082"/>
        <item m="1" x="592"/>
        <item m="1" x="632"/>
        <item m="1" x="971"/>
        <item m="1" x="1196"/>
        <item m="1" x="1109"/>
        <item m="1" x="767"/>
        <item m="1" x="1000"/>
        <item m="1" x="714"/>
        <item m="1" x="909"/>
        <item m="1" x="831"/>
        <item m="1" x="666"/>
        <item m="1" x="802"/>
        <item m="1" x="1172"/>
        <item m="1" x="582"/>
        <item m="1" x="821"/>
        <item m="1" x="613"/>
        <item m="1" x="1306"/>
        <item m="1" x="1495"/>
        <item m="1" x="1105"/>
        <item m="1" x="749"/>
        <item m="1" x="1399"/>
        <item m="1" x="1244"/>
        <item m="1" x="761"/>
        <item m="1" x="762"/>
        <item m="1" x="947"/>
        <item m="1" x="637"/>
        <item m="1" x="826"/>
        <item m="1" x="621"/>
        <item m="1" x="807"/>
        <item m="1" x="1375"/>
        <item m="1" x="886"/>
        <item m="1" x="1253"/>
        <item m="1" x="1303"/>
        <item m="1" x="1437"/>
        <item m="1" x="1441"/>
        <item m="1" x="1158"/>
        <item m="1" x="999"/>
        <item m="1" x="1038"/>
        <item m="1" x="1605"/>
        <item m="1" x="898"/>
        <item m="1" x="710"/>
        <item m="1" x="1088"/>
        <item m="1" x="545"/>
        <item m="1" x="1609"/>
        <item m="1" x="1072"/>
        <item m="1" x="506"/>
        <item m="1" x="1527"/>
        <item m="1" x="1570"/>
        <item m="1" x="1407"/>
        <item m="1" x="784"/>
        <item m="1" x="523"/>
        <item m="1" x="1457"/>
        <item m="1" x="848"/>
        <item m="1" x="484"/>
        <item m="1" x="1628"/>
        <item m="1" x="872"/>
        <item m="1" x="1027"/>
        <item m="1" x="1472"/>
        <item m="1" x="559"/>
        <item m="1" x="1384"/>
        <item m="1" x="1192"/>
        <item m="1" x="1057"/>
        <item m="1" x="927"/>
        <item m="1" x="674"/>
        <item m="1" x="1175"/>
        <item m="1" x="877"/>
        <item m="1" x="1415"/>
        <item m="1" x="737"/>
        <item m="1" x="1485"/>
        <item m="1" x="1492"/>
        <item m="1" x="1176"/>
        <item m="1" x="1366"/>
        <item m="1" x="783"/>
        <item m="1" x="1080"/>
        <item m="1" x="1369"/>
        <item m="1" x="953"/>
        <item m="1" x="1243"/>
        <item m="1" x="882"/>
        <item m="1" x="667"/>
        <item m="1" x="871"/>
        <item m="1" x="1637"/>
        <item m="1" x="1579"/>
        <item m="1" x="724"/>
        <item m="1" x="1525"/>
        <item m="1" x="531"/>
        <item m="1" x="1547"/>
        <item m="1" x="566"/>
        <item m="1" x="868"/>
        <item m="1" x="966"/>
        <item m="1" x="913"/>
        <item m="1" x="1520"/>
        <item m="1" x="1423"/>
        <item m="1" x="664"/>
        <item m="1" x="1234"/>
        <item m="1" x="1442"/>
        <item m="1" x="1576"/>
        <item m="1" x="1483"/>
        <item m="1" x="569"/>
        <item m="1" x="1649"/>
        <item m="1" x="720"/>
        <item m="1" x="1001"/>
        <item m="1" x="1445"/>
        <item m="1" x="568"/>
        <item m="1" x="1504"/>
        <item m="1" x="733"/>
        <item m="1" x="1377"/>
        <item m="1" x="1241"/>
        <item m="1" x="1219"/>
        <item m="1" x="798"/>
        <item m="1" x="760"/>
        <item m="1" x="1572"/>
        <item m="1" x="513"/>
        <item m="1" x="695"/>
        <item m="1" x="1354"/>
        <item m="1" x="1465"/>
        <item m="1" x="1392"/>
        <item m="1" x="1596"/>
        <item m="1" x="1100"/>
        <item m="1" x="727"/>
        <item m="1" x="847"/>
        <item m="1" x="1166"/>
        <item m="1" x="908"/>
        <item m="1" x="1236"/>
        <item m="1" x="849"/>
        <item m="1" x="651"/>
        <item m="1" x="1304"/>
        <item m="1" x="706"/>
        <item m="1" x="586"/>
        <item m="1" x="1438"/>
        <item m="1" x="1585"/>
        <item m="1" x="1286"/>
        <item m="1" x="551"/>
        <item m="1" x="1477"/>
        <item m="1" x="1275"/>
        <item m="1" x="1385"/>
        <item m="1" x="1524"/>
        <item m="1" x="752"/>
        <item m="1" x="944"/>
        <item m="1" x="782"/>
        <item m="1" x="1050"/>
        <item m="1" x="974"/>
        <item m="1" x="1004"/>
        <item m="1" x="1540"/>
        <item m="1" x="986"/>
        <item m="1" x="1189"/>
        <item m="1" x="721"/>
        <item m="1" x="920"/>
        <item m="1" x="894"/>
        <item m="1" x="1237"/>
        <item m="1" x="1140"/>
        <item m="1" x="1368"/>
        <item m="1" x="890"/>
        <item m="1" x="1526"/>
        <item m="1" x="728"/>
        <item m="1" x="654"/>
        <item m="1" x="910"/>
        <item m="1" x="1451"/>
        <item m="1" x="561"/>
        <item m="1" x="562"/>
        <item m="1" x="858"/>
        <item m="1" x="1531"/>
        <item m="1" x="925"/>
        <item m="1" x="570"/>
        <item m="1" x="730"/>
        <item m="1" x="972"/>
        <item m="1" x="1283"/>
        <item m="1" x="1255"/>
        <item m="1" x="926"/>
        <item m="1" x="507"/>
        <item m="1" x="645"/>
        <item m="1" x="857"/>
        <item m="1" x="745"/>
        <item m="1" x="502"/>
        <item m="1" x="1455"/>
        <item m="1" x="1584"/>
        <item m="1" x="1054"/>
        <item m="1" x="1484"/>
        <item m="1" x="1544"/>
        <item m="1" x="567"/>
        <item m="1" x="1582"/>
        <item m="1" x="1320"/>
        <item m="1" x="743"/>
        <item m="1" x="929"/>
        <item m="1" x="833"/>
        <item m="1" x="1195"/>
        <item m="1" x="766"/>
        <item m="1" x="982"/>
        <item m="1" x="1277"/>
        <item m="1" x="1402"/>
        <item m="1" x="905"/>
        <item m="1" x="1033"/>
        <item m="1" x="845"/>
        <item m="1" x="771"/>
        <item m="1" x="1282"/>
        <item m="1" x="1397"/>
        <item m="1" x="1559"/>
        <item m="1" x="601"/>
        <item m="1" x="805"/>
        <item m="1" x="1245"/>
        <item m="1" x="646"/>
        <item m="1" x="933"/>
        <item m="1" x="1314"/>
        <item m="1" x="579"/>
        <item m="1" x="789"/>
        <item m="1" x="899"/>
        <item m="1" x="1505"/>
        <item m="1" x="738"/>
        <item m="1" x="1008"/>
        <item m="1" x="1561"/>
        <item m="1" x="689"/>
        <item m="1" x="878"/>
        <item m="1" x="1066"/>
        <item m="1" x="1403"/>
        <item m="1" x="701"/>
        <item m="1" x="957"/>
        <item m="1" x="799"/>
        <item m="1" x="1295"/>
        <item m="1" x="1481"/>
        <item m="1" x="607"/>
        <item m="1" x="827"/>
        <item m="1" x="1563"/>
        <item m="1" x="1528"/>
        <item m="1" x="628"/>
        <item m="1" x="945"/>
        <item m="1" x="1469"/>
        <item m="1" x="1600"/>
        <item m="1" x="1471"/>
        <item m="1" x="1446"/>
        <item m="1" x="577"/>
        <item m="1" x="753"/>
        <item m="1" x="835"/>
        <item m="1" x="824"/>
        <item m="1" x="1051"/>
        <item m="1" x="539"/>
        <item m="1" x="1238"/>
        <item m="1" x="1309"/>
        <item m="1" x="491"/>
        <item m="1" x="1569"/>
        <item m="1" x="1431"/>
        <item m="1" x="1560"/>
        <item m="1" x="1590"/>
        <item m="1" x="1626"/>
        <item m="1" x="1564"/>
        <item m="1" x="928"/>
        <item m="1" x="1288"/>
        <item m="1" x="895"/>
        <item m="1" x="1301"/>
        <item m="1" x="1266"/>
        <item m="1" x="704"/>
        <item m="1" x="742"/>
        <item m="1" x="880"/>
        <item m="1" x="1345"/>
        <item m="1" x="865"/>
        <item m="1" x="611"/>
        <item m="1" x="1610"/>
        <item m="1" x="1360"/>
        <item m="1" x="1193"/>
        <item m="1" x="1225"/>
        <item m="1" x="1274"/>
        <item m="1" x="699"/>
        <item m="1" x="1041"/>
        <item m="1" x="1386"/>
        <item m="1" x="537"/>
        <item m="1" x="780"/>
        <item m="1" x="680"/>
        <item m="1" x="677"/>
        <item m="1" x="681"/>
        <item m="1" x="482"/>
        <item m="1" x="703"/>
        <item m="1" x="1500"/>
        <item m="1" x="504"/>
        <item m="1" x="1150"/>
        <item m="1" x="1587"/>
        <item m="1" x="1398"/>
        <item m="1" x="658"/>
        <item m="1" x="1658"/>
        <item m="1" x="587"/>
        <item m="1" x="954"/>
        <item m="1" x="1177"/>
        <item m="1" x="633"/>
        <item m="1" x="1086"/>
        <item m="1" x="1246"/>
        <item m="1" x="1514"/>
        <item m="1" x="1416"/>
        <item m="1" x="495"/>
        <item m="1" x="1178"/>
        <item m="1" x="578"/>
        <item m="1" x="814"/>
        <item m="1" x="786"/>
        <item m="1" x="548"/>
        <item m="1" x="1141"/>
        <item m="1" x="1148"/>
        <item m="1" x="1248"/>
        <item m="1" x="997"/>
        <item m="1" x="1497"/>
        <item m="1" x="906"/>
        <item m="1" x="1616"/>
        <item m="1" x="1251"/>
        <item m="1" x="1142"/>
        <item m="1" x="806"/>
        <item m="1" x="1214"/>
        <item m="1" x="1512"/>
        <item m="1" x="1577"/>
        <item m="1" x="1556"/>
        <item m="1" x="1486"/>
        <item m="1" x="1235"/>
        <item m="1" x="1348"/>
        <item m="1" x="861"/>
        <item m="1" x="1310"/>
        <item m="1" x="1135"/>
        <item m="1" x="1094"/>
        <item m="1" x="1092"/>
        <item m="1" x="1093"/>
        <item m="1" x="790"/>
        <item m="1" x="834"/>
        <item m="1" x="1447"/>
        <item m="1" x="1012"/>
        <item m="1" x="854"/>
        <item m="1" x="896"/>
        <item m="1" x="942"/>
        <item m="1" x="1194"/>
        <item m="1" x="1532"/>
        <item m="1" x="1621"/>
        <item m="1" x="739"/>
        <item m="1" x="690"/>
        <item m="1" x="527"/>
        <item m="1" x="549"/>
        <item m="1" x="846"/>
        <item m="1" x="634"/>
        <item m="1" x="962"/>
        <item m="1" x="1498"/>
        <item m="1" x="839"/>
        <item m="1" x="631"/>
        <item m="1" x="1390"/>
        <item m="1" x="508"/>
        <item m="1" x="1516"/>
        <item m="1" x="1591"/>
        <item m="1" x="1655"/>
        <item m="1" x="1530"/>
        <item m="1" x="773"/>
        <item m="1" x="550"/>
        <item m="1" x="1014"/>
        <item m="1" x="1098"/>
        <item m="1" x="1294"/>
        <item m="1" x="1262"/>
        <item m="1" x="1298"/>
        <item m="1" x="1075"/>
        <item m="1" x="1113"/>
        <item m="1" x="1554"/>
        <item m="1" x="1317"/>
        <item m="1" x="1287"/>
        <item m="1" x="1226"/>
        <item m="1" x="1299"/>
        <item m="1" x="500"/>
        <item m="1" x="505"/>
        <item m="1" x="1108"/>
        <item m="1" x="1493"/>
        <item m="1" x="1063"/>
        <item m="1" x="1633"/>
        <item m="1" x="1032"/>
        <item m="1" x="1208"/>
        <item m="1" x="1279"/>
        <item m="1" x="893"/>
        <item m="1" x="725"/>
        <item m="1" x="1101"/>
        <item m="1" x="787"/>
        <item m="1" x="1642"/>
        <item m="1" x="1557"/>
        <item m="1" x="1370"/>
        <item m="1" x="627"/>
        <item m="1" x="554"/>
        <item m="1" x="1127"/>
        <item m="1" x="1371"/>
        <item m="1" x="1660"/>
        <item m="1" x="1006"/>
        <item m="1" x="1607"/>
        <item m="1" x="541"/>
        <item m="1" x="655"/>
        <item m="1" x="967"/>
        <item m="1" x="1058"/>
        <item m="1" x="1487"/>
        <item m="1" x="811"/>
        <item m="1" x="1490"/>
        <item m="1" x="907"/>
        <item m="1" x="1479"/>
        <item m="1" x="1643"/>
        <item m="1" x="571"/>
        <item m="1" x="1627"/>
        <item m="1" x="518"/>
        <item m="1" x="1380"/>
        <item m="1" x="998"/>
        <item m="1" x="829"/>
        <item m="1" x="792"/>
        <item m="1" x="936"/>
        <item m="1" x="535"/>
        <item m="1" x="1620"/>
        <item m="1" x="619"/>
        <item m="1" x="640"/>
        <item m="1" x="1513"/>
        <item m="1" x="1592"/>
        <item m="1" x="1106"/>
        <item m="1" x="1247"/>
        <item m="1" x="948"/>
        <item m="1" x="1061"/>
        <item m="1" x="1210"/>
        <item m="1" x="1327"/>
        <item m="1" x="914"/>
        <item m="1" x="1190"/>
        <item m="1" x="1009"/>
        <item m="1" x="1646"/>
        <item m="1" x="499"/>
        <item m="1" x="938"/>
        <item m="1" x="879"/>
        <item m="1" x="840"/>
        <item m="1" x="1634"/>
        <item m="1" x="1452"/>
        <item m="1" x="1583"/>
        <item m="1" x="596"/>
        <item m="1" x="1594"/>
        <item m="1" x="1581"/>
        <item m="1" x="1458"/>
        <item m="1" x="693"/>
        <item m="1" x="1062"/>
        <item m="1" x="1155"/>
        <item m="1" x="901"/>
        <item m="1" x="1499"/>
        <item m="1" x="1285"/>
        <item m="1" x="1305"/>
        <item m="1" x="1199"/>
        <item m="1" x="542"/>
        <item m="1" x="1372"/>
        <item m="1" x="1534"/>
        <item m="1" x="939"/>
        <item m="1" x="1653"/>
        <item m="1" x="1147"/>
        <item m="1" x="734"/>
        <item m="1" x="867"/>
        <item m="1" x="903"/>
        <item m="1" x="1562"/>
        <item m="1" x="1546"/>
        <item m="1" x="606"/>
        <item m="1" x="608"/>
        <item m="1" x="522"/>
        <item m="1" x="1482"/>
        <item m="1" x="524"/>
        <item m="1" x="941"/>
        <item m="1" x="841"/>
        <item m="1" x="1297"/>
        <item m="1" x="1240"/>
        <item m="1" x="1589"/>
        <item m="1" x="1521"/>
        <item m="1" x="1013"/>
        <item m="1" x="1227"/>
        <item m="1" x="1462"/>
        <item m="1" x="575"/>
        <item m="1" x="1007"/>
        <item m="1" x="937"/>
        <item m="1" x="1631"/>
        <item m="1" x="1598"/>
        <item m="1" x="1029"/>
        <item m="1" x="635"/>
        <item m="1" x="930"/>
        <item m="1" x="1103"/>
        <item m="1" x="557"/>
        <item m="1" x="1393"/>
        <item m="1" x="987"/>
        <item m="1" x="797"/>
        <item m="1" x="891"/>
        <item m="1" x="1337"/>
        <item m="1" x="1636"/>
        <item m="1" x="715"/>
        <item m="1" x="1488"/>
        <item m="1" x="709"/>
        <item m="1" x="1273"/>
        <item m="1" x="1045"/>
        <item m="1" x="976"/>
        <item m="1" x="698"/>
        <item m="1" x="765"/>
        <item m="1" x="553"/>
        <item m="1" x="1353"/>
        <item m="1" x="866"/>
        <item m="1" x="590"/>
        <item m="1" x="1204"/>
        <item m="1" x="1519"/>
        <item m="1" x="1059"/>
        <item m="1" x="1017"/>
        <item m="1" x="488"/>
        <item m="1" x="1624"/>
        <item m="1" x="874"/>
        <item m="1" x="934"/>
        <item m="1" x="1341"/>
        <item m="1" x="1618"/>
        <item m="1" x="1543"/>
        <item m="1" x="1394"/>
        <item m="1" x="1509"/>
        <item m="1" x="670"/>
        <item m="1" x="869"/>
        <item m="1" x="702"/>
        <item m="1" x="494"/>
        <item m="1" x="1107"/>
        <item m="1" x="556"/>
        <item m="1" x="778"/>
        <item m="1" x="722"/>
        <item m="1" x="668"/>
        <item m="1" x="1623"/>
        <item m="1" x="719"/>
        <item m="1" x="1321"/>
        <item m="1" x="1533"/>
        <item m="1" x="659"/>
        <item m="1" x="563"/>
        <item m="1" x="1356"/>
        <item m="1" x="1332"/>
        <item m="1" x="1373"/>
        <item m="1" x="1292"/>
        <item m="1" x="636"/>
        <item m="1" x="992"/>
        <item m="1" x="1260"/>
        <item m="1" x="1510"/>
        <item m="1" x="1104"/>
        <item m="1" x="1222"/>
        <item m="1" x="1566"/>
        <item m="1" x="978"/>
        <item m="1" x="822"/>
        <item m="1" x="1055"/>
        <item m="1" x="1002"/>
        <item m="1" x="932"/>
        <item m="1" x="1449"/>
        <item m="1" x="1136"/>
        <item m="1" x="1232"/>
        <item m="1" x="483"/>
        <item m="1" x="1028"/>
        <item m="1" x="630"/>
        <item m="1" x="897"/>
        <item m="1" x="1035"/>
        <item m="1" x="565"/>
        <item m="1" x="682"/>
        <item m="1" x="1137"/>
        <item m="1" x="1334"/>
        <item m="1" x="1604"/>
        <item m="1" x="1647"/>
        <item m="1" x="1257"/>
        <item m="1" x="605"/>
        <item m="1" x="533"/>
        <item m="1" x="1119"/>
        <item m="1" x="741"/>
        <item m="1" x="1015"/>
        <item m="1" x="643"/>
        <item m="1" x="746"/>
        <item m="1" x="1173"/>
        <item m="1" x="1529"/>
        <item m="1" x="1460"/>
        <item m="1" x="876"/>
        <item m="1" x="911"/>
        <item m="1" x="1187"/>
        <item m="1" x="1617"/>
        <item m="1" x="1343"/>
        <item m="1" x="509"/>
        <item m="1" x="1571"/>
        <item m="1" x="617"/>
        <item m="1" x="1263"/>
        <item m="1" x="1308"/>
        <item m="1" x="1311"/>
        <item m="1" x="1651"/>
        <item m="1" x="544"/>
        <item m="1" x="1322"/>
        <item m="1" x="1419"/>
        <item m="1" x="1191"/>
        <item m="1" x="1361"/>
        <item m="1" x="603"/>
        <item m="1" x="995"/>
        <item m="1" x="842"/>
        <item m="1" x="1454"/>
        <item m="1" x="1549"/>
        <item m="1" x="1078"/>
        <item m="1" x="1517"/>
        <item m="1" x="1565"/>
        <item m="1" x="918"/>
        <item m="1" x="1421"/>
        <item m="1" x="1284"/>
        <item m="1" x="1567"/>
        <item m="1" x="1611"/>
        <item m="1" x="1349"/>
        <item m="1" x="959"/>
        <item m="1" x="764"/>
        <item m="1" x="1599"/>
        <item m="1" x="1146"/>
        <item m="1" x="1120"/>
        <item m="1" x="1129"/>
        <item m="1" x="1650"/>
        <item m="1" x="1374"/>
        <item m="1" x="1069"/>
        <item m="1" x="1338"/>
        <item m="1" x="1315"/>
        <item m="1" x="931"/>
        <item m="1" x="832"/>
        <item m="1" x="1331"/>
        <item m="1" x="726"/>
        <item m="1" x="683"/>
        <item m="1" x="625"/>
        <item m="1" x="1612"/>
        <item m="1" x="1228"/>
        <item m="1" x="963"/>
        <item m="1" x="1044"/>
        <item m="1" x="525"/>
        <item m="1" x="1601"/>
        <item m="1" x="1152"/>
        <item m="1" x="1300"/>
        <item m="1" x="748"/>
        <item m="1" x="1432"/>
        <item m="1" x="935"/>
        <item m="1" x="828"/>
        <item m="1" x="1656"/>
        <item m="1" x="958"/>
        <item m="1" x="1597"/>
        <item m="1" x="1183"/>
        <item m="1" x="859"/>
        <item m="1" x="650"/>
        <item m="1" x="593"/>
        <item m="1" x="887"/>
        <item m="1" x="584"/>
        <item m="1" x="555"/>
        <item m="1" x="572"/>
        <item m="1" x="851"/>
        <item m="1" x="696"/>
        <item m="1" x="1003"/>
        <item m="1" x="1060"/>
        <item m="1" x="1159"/>
        <item m="1" x="1030"/>
        <item m="1" x="1363"/>
        <item m="1" x="1427"/>
        <item m="1" x="639"/>
        <item m="1" x="649"/>
        <item m="1" x="838"/>
        <item m="1" x="980"/>
        <item m="1" x="770"/>
        <item m="1" x="1323"/>
        <item m="1" x="1073"/>
        <item m="1" x="990"/>
        <item m="1" x="1123"/>
        <item m="1" x="1429"/>
        <item m="1" x="1367"/>
        <item m="1" x="1453"/>
        <item m="1" x="1209"/>
        <item m="1" x="629"/>
        <item m="1" x="1635"/>
        <item m="1" x="1048"/>
        <item m="1" x="663"/>
        <item m="1" x="487"/>
        <item m="1" x="1632"/>
        <item m="1" x="1116"/>
        <item m="1" x="1083"/>
        <item m="1" x="855"/>
        <item m="1" x="735"/>
        <item m="1" x="819"/>
        <item m="1" x="973"/>
        <item m="1" x="1548"/>
        <item m="1" x="1467"/>
        <item m="1" x="843"/>
        <item m="1" x="916"/>
        <item m="1" x="923"/>
        <item m="1" x="1461"/>
        <item m="1" x="1064"/>
        <item m="1" x="536"/>
        <item m="1" x="1097"/>
        <item m="1" x="1376"/>
        <item m="1" x="1502"/>
        <item m="1" x="1395"/>
        <item m="1" x="1203"/>
        <item m="1" x="1501"/>
        <item m="1" x="515"/>
        <item m="1" x="1418"/>
        <item m="1" x="497"/>
        <item m="1" x="837"/>
        <item m="1" x="501"/>
        <item m="1" x="660"/>
        <item m="1" x="750"/>
        <item m="1" x="756"/>
        <item m="1" x="1174"/>
        <item m="1" x="1428"/>
        <item m="1" x="955"/>
        <item m="1" x="526"/>
        <item m="1" x="732"/>
        <item m="1" x="520"/>
        <item m="1" x="1515"/>
        <item m="1" x="740"/>
        <item m="1" x="1076"/>
        <item m="1" x="1535"/>
        <item m="1" x="862"/>
        <item m="1" x="804"/>
        <item m="1" x="1200"/>
        <item m="1" x="757"/>
        <item m="1" x="1065"/>
        <item m="1" x="1359"/>
        <item m="1" x="498"/>
        <item m="1" x="1011"/>
        <item m="1" x="1130"/>
        <item m="1" x="622"/>
        <item m="1" x="964"/>
        <item m="1" x="1099"/>
        <item m="1" x="850"/>
        <item m="1" x="888"/>
        <item m="1" x="615"/>
        <item m="1" x="1021"/>
        <item m="1" x="485"/>
        <item m="1" x="1157"/>
        <item m="1" x="1550"/>
        <item m="1" x="1271"/>
        <item m="1" x="1265"/>
        <item m="1" x="1164"/>
        <item m="1" x="490"/>
        <item m="1" x="1296"/>
        <item m="1" x="1339"/>
        <item m="1" x="1145"/>
        <item m="1" x="489"/>
        <item m="1" x="1496"/>
        <item m="1" x="1463"/>
        <item m="1" x="493"/>
        <item m="1" x="772"/>
        <item m="1" x="1162"/>
        <item m="1" x="1417"/>
        <item m="1" x="614"/>
        <item m="1" x="510"/>
        <item m="1" x="669"/>
        <item m="1" x="560"/>
        <item m="1" x="968"/>
        <item m="1" x="781"/>
        <item m="1" x="779"/>
        <item m="1" x="950"/>
        <item m="1" x="1052"/>
        <item m="1" x="956"/>
        <item m="1" x="1153"/>
        <item m="1" x="1005"/>
        <item m="1" x="870"/>
        <item m="1" x="985"/>
        <item m="1" x="1478"/>
        <item m="1" x="1573"/>
        <item m="1" x="830"/>
        <item m="1" x="1553"/>
        <item m="1" x="595"/>
        <item m="1" x="1542"/>
        <item m="1" x="1239"/>
        <item m="1" x="1410"/>
        <item m="1" x="1489"/>
        <item m="1" x="1169"/>
        <item m="1" x="1381"/>
        <item m="1" x="673"/>
        <item m="1" x="656"/>
        <item m="1" x="1278"/>
        <item m="1" x="1250"/>
        <item m="1" x="812"/>
        <item m="1" x="1648"/>
        <item m="1" x="1220"/>
        <item m="1" x="960"/>
        <item m="1" x="1034"/>
        <item m="1" x="993"/>
        <item m="1" x="1503"/>
        <item m="1" x="1507"/>
        <item m="1" x="503"/>
        <item m="1" x="1387"/>
        <item m="1" x="1433"/>
        <item m="1" x="552"/>
        <item m="1" x="924"/>
        <item m="1" x="915"/>
        <item m="1" x="1422"/>
        <item m="1" x="1121"/>
        <item m="1" x="1325"/>
        <item m="1" x="991"/>
        <item m="1" x="1342"/>
        <item m="1" x="530"/>
        <item m="1" x="653"/>
        <item m="1" x="1622"/>
        <item m="1" x="1242"/>
        <item m="1" x="1614"/>
        <item m="1" x="534"/>
        <item m="1" x="794"/>
        <item m="1" x="610"/>
        <item m="1" x="543"/>
        <item m="1" x="558"/>
        <item m="1" x="1110"/>
        <item m="1" x="1143"/>
        <item m="1" x="815"/>
        <item m="1" x="1233"/>
        <item m="1" x="1551"/>
        <item m="1" x="902"/>
        <item m="1" x="981"/>
        <item m="1" x="1131"/>
        <item m="1" x="1619"/>
        <item m="1" x="796"/>
        <item m="1" x="808"/>
        <item m="1" x="818"/>
        <item m="1" x="1439"/>
        <item m="1" x="1575"/>
        <item m="1" x="492"/>
        <item m="1" x="1319"/>
        <item m="1" x="1615"/>
        <item m="1" x="716"/>
        <item m="1" x="1031"/>
        <item m="1" x="1652"/>
        <item m="1" x="1558"/>
        <item m="1" x="705"/>
        <item m="1" x="817"/>
        <item m="1" x="904"/>
        <item m="1" x="1229"/>
        <item m="1" x="1426"/>
        <item m="1" x="661"/>
        <item m="1" x="1132"/>
        <item m="1" x="657"/>
        <item m="1" x="626"/>
        <item m="1" x="574"/>
        <item m="1" x="1545"/>
        <item m="1" x="1138"/>
        <item m="1" x="1586"/>
        <item m="1" x="979"/>
        <item m="1" x="1603"/>
        <item m="1" x="1355"/>
        <item m="1" x="644"/>
        <item m="1" x="1459"/>
        <item m="1" x="1473"/>
        <item m="1" x="1133"/>
        <item m="1" x="1508"/>
        <item m="1" x="1346"/>
        <item m="1" x="1211"/>
        <item m="1" x="528"/>
        <item m="1" x="1357"/>
        <item m="1" x="1089"/>
        <item m="1" x="1022"/>
        <item m="1" x="1365"/>
        <item m="1" x="949"/>
        <item m="1" x="583"/>
        <item m="1" x="755"/>
        <item m="1" x="532"/>
        <item m="1" x="881"/>
        <item m="1" x="1259"/>
        <item m="1" x="844"/>
        <item m="1" x="707"/>
        <item m="1" x="922"/>
        <item m="1" x="600"/>
        <item m="1" x="852"/>
        <item m="1" x="723"/>
        <item m="1" x="1074"/>
        <item m="1" x="1661"/>
        <item m="1" x="1115"/>
        <item m="1" x="711"/>
        <item m="1" x="988"/>
        <item m="1" x="694"/>
        <item m="1" x="747"/>
        <item m="1" x="1039"/>
        <item m="1" x="1307"/>
        <item m="1" x="1024"/>
        <item m="1" x="1474"/>
        <item m="1" x="1036"/>
        <item m="1" x="1270"/>
        <item m="1" x="585"/>
        <item m="1" x="1068"/>
        <item m="1" x="708"/>
        <item m="1" x="638"/>
        <item m="1" x="1364"/>
        <item m="1" x="679"/>
        <item m="1" x="1388"/>
        <item m="1" x="580"/>
        <item m="1" x="1205"/>
        <item m="1" x="1212"/>
        <item m="1" x="616"/>
        <item m="1" x="1134"/>
        <item m="1" x="512"/>
        <item m="1" x="1335"/>
        <item m="1" x="1040"/>
        <item m="1" x="1261"/>
        <item m="1" x="1230"/>
        <item m="1" x="1450"/>
        <item m="1" x="1223"/>
        <item m="1" x="801"/>
        <item m="1" x="1302"/>
        <item m="1" x="1436"/>
        <item m="1" x="1126"/>
        <item m="1" x="1258"/>
        <item m="1" x="591"/>
        <item m="1" x="1424"/>
        <item m="1" x="1081"/>
        <item m="1" x="946"/>
        <item m="1" x="1330"/>
        <item m="1" x="856"/>
        <item m="1" x="1179"/>
        <item m="1" x="713"/>
        <item m="1" x="809"/>
        <item m="1" x="1206"/>
        <item m="1" x="975"/>
        <item m="1" x="519"/>
        <item m="1" x="853"/>
        <item m="1" x="1333"/>
        <item m="1" x="1435"/>
        <item m="1" x="538"/>
        <item m="1" x="823"/>
        <item m="1" x="758"/>
        <item m="1" x="1091"/>
        <item m="1" x="1184"/>
        <item m="1" x="624"/>
        <item m="1" x="1606"/>
        <item m="1" x="589"/>
        <item m="1" x="662"/>
        <item m="1" x="1443"/>
        <item m="1" x="951"/>
        <item m="1" x="965"/>
        <item m="1" x="1019"/>
        <item m="1" x="594"/>
        <item m="1" x="873"/>
        <item m="1" x="1268"/>
        <item m="1" x="1180"/>
        <item m="1" x="970"/>
        <item m="1" x="917"/>
        <item m="1" x="547"/>
        <item m="1" x="785"/>
        <item m="1" x="1249"/>
        <item m="1" x="883"/>
        <item m="1" x="1046"/>
        <item m="1" x="983"/>
        <item m="1" x="1165"/>
        <item m="1" x="529"/>
        <item m="1" x="1010"/>
        <item m="1" x="684"/>
        <item m="1" x="1087"/>
        <item m="1" x="1213"/>
        <item m="1" x="1289"/>
        <item m="1" x="1224"/>
        <item m="1" x="1185"/>
        <item m="1" x="1111"/>
        <item m="1" x="1522"/>
        <item m="1" x="1414"/>
        <item m="1" x="665"/>
        <item m="1" x="1406"/>
        <item m="1" x="860"/>
        <item m="1" x="1170"/>
        <item m="1" x="576"/>
        <item m="1" x="1149"/>
        <item m="1" x="1016"/>
        <item m="1" x="1448"/>
        <item m="1" x="602"/>
        <item m="1" x="1659"/>
        <item m="1" x="641"/>
        <item m="1" x="581"/>
        <item m="1" x="1151"/>
        <item m="1" x="1351"/>
        <item m="1" x="1254"/>
        <item m="1" x="540"/>
        <item m="1" x="692"/>
        <item m="1" x="1480"/>
        <item m="1" x="1420"/>
        <item m="1" x="675"/>
        <item m="1" x="648"/>
        <item m="1" x="943"/>
        <item m="1" x="564"/>
        <item m="1" x="1171"/>
        <item m="1" x="604"/>
        <item m="1" x="774"/>
        <item m="1" x="1071"/>
        <item m="1" x="1602"/>
        <item m="1" x="642"/>
        <item m="1" x="912"/>
        <item m="1" x="759"/>
        <item m="1" x="921"/>
        <item m="1" x="1475"/>
        <item m="1" x="1358"/>
        <item m="1" x="820"/>
        <item m="1" x="573"/>
        <item m="1" x="1523"/>
        <item m="1" x="686"/>
        <item m="1" x="1468"/>
        <item m="1" x="1025"/>
        <item m="1" x="1409"/>
        <item m="1" x="768"/>
        <item m="1" x="940"/>
        <item m="1" x="1425"/>
        <item m="1" x="1613"/>
        <item m="1" x="1389"/>
        <item m="1" x="788"/>
        <item m="1" x="731"/>
        <item m="1" x="1434"/>
        <item m="1" x="1198"/>
        <item m="1" x="1042"/>
        <item m="1" x="1466"/>
        <item m="1" x="514"/>
        <item m="1" x="511"/>
        <item m="1" x="1186"/>
        <item m="1" x="1326"/>
        <item m="1" x="1281"/>
        <item m="1" x="1464"/>
        <item m="1" x="989"/>
        <item m="1" x="736"/>
        <item m="1" x="810"/>
        <item m="1" x="1340"/>
        <item m="1" x="892"/>
        <item m="1" x="1122"/>
        <item m="1" x="1537"/>
        <item m="1" x="775"/>
        <item m="1" x="1112"/>
        <item m="1" x="496"/>
        <item m="1" x="82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m="1" x="813"/>
        <item m="1" x="1574"/>
        <item m="1" x="516"/>
        <item m="1" x="48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2">
    <i>
      <x/>
    </i>
    <i r="1">
      <x v="1651"/>
    </i>
    <i r="2">
      <x v="11"/>
    </i>
    <i r="1">
      <x v="1652"/>
    </i>
    <i r="2">
      <x v="3"/>
    </i>
    <i r="2">
      <x v="8"/>
    </i>
    <i r="2">
      <x v="11"/>
    </i>
    <i r="1">
      <x v="1657"/>
    </i>
    <i r="2">
      <x v="3"/>
    </i>
    <i r="2">
      <x v="8"/>
    </i>
    <i r="2">
      <x v="11"/>
    </i>
    <i>
      <x v="1"/>
    </i>
    <i r="1">
      <x v="1580"/>
    </i>
    <i r="2">
      <x v="13"/>
    </i>
    <i r="1">
      <x v="1631"/>
    </i>
    <i r="2">
      <x v="13"/>
    </i>
    <i r="1">
      <x v="1643"/>
    </i>
    <i r="2">
      <x v="3"/>
    </i>
    <i r="2">
      <x v="13"/>
    </i>
    <i r="1">
      <x v="1644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00" totalsRowShown="0" totalsRowDxfId="23">
  <autoFilter ref="A1:C1400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244" totalsRowShown="0">
  <autoFilter ref="A1:S5244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1"/>
  <sheetViews>
    <sheetView workbookViewId="0">
      <selection activeCell="A26" sqref="A2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287</v>
      </c>
    </row>
    <row r="5" spans="1:2">
      <c r="A5" s="111" t="s">
        <v>369</v>
      </c>
      <c r="B5" s="150">
        <v>280</v>
      </c>
    </row>
    <row r="6" spans="1:2">
      <c r="A6" s="111" t="s">
        <v>404</v>
      </c>
      <c r="B6" s="150"/>
    </row>
    <row r="7" spans="1:2">
      <c r="A7" s="111" t="s">
        <v>370</v>
      </c>
      <c r="B7" s="150">
        <v>2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3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305</v>
      </c>
    </row>
    <row r="15" spans="1:2">
      <c r="A15" s="111" t="s">
        <v>369</v>
      </c>
      <c r="B15" s="150">
        <v>301</v>
      </c>
    </row>
    <row r="16" spans="1:2">
      <c r="A16" s="111" t="s">
        <v>370</v>
      </c>
      <c r="B16" s="150">
        <v>3</v>
      </c>
    </row>
    <row r="17" spans="1:2">
      <c r="A17" s="111" t="s">
        <v>375</v>
      </c>
      <c r="B17" s="150">
        <v>1</v>
      </c>
    </row>
    <row r="18" spans="1:2">
      <c r="A18" s="17" t="s">
        <v>569</v>
      </c>
      <c r="B18" s="150">
        <v>221</v>
      </c>
    </row>
    <row r="19" spans="1:2">
      <c r="A19" s="111" t="s">
        <v>369</v>
      </c>
      <c r="B19" s="150">
        <v>216</v>
      </c>
    </row>
    <row r="20" spans="1:2">
      <c r="A20" s="111" t="s">
        <v>377</v>
      </c>
      <c r="B20" s="150">
        <v>2</v>
      </c>
    </row>
    <row r="21" spans="1:2">
      <c r="A21" s="111" t="s">
        <v>692</v>
      </c>
      <c r="B21" s="150">
        <v>3</v>
      </c>
    </row>
    <row r="22" spans="1:2">
      <c r="A22" s="17" t="s">
        <v>570</v>
      </c>
      <c r="B22" s="150">
        <v>307</v>
      </c>
    </row>
    <row r="23" spans="1:2">
      <c r="A23" s="111" t="s">
        <v>369</v>
      </c>
      <c r="B23" s="150">
        <v>297</v>
      </c>
    </row>
    <row r="24" spans="1:2">
      <c r="A24" s="111" t="s">
        <v>377</v>
      </c>
      <c r="B24" s="150">
        <v>9</v>
      </c>
    </row>
    <row r="25" spans="1:2">
      <c r="A25" s="111" t="s">
        <v>692</v>
      </c>
      <c r="B25" s="150">
        <v>1</v>
      </c>
    </row>
    <row r="26" spans="1:2">
      <c r="A26" s="17" t="s">
        <v>6998</v>
      </c>
      <c r="B26" s="150">
        <v>4</v>
      </c>
    </row>
    <row r="27" spans="1:2">
      <c r="A27" s="111" t="s">
        <v>369</v>
      </c>
      <c r="B27" s="150">
        <v>4</v>
      </c>
    </row>
    <row r="28" spans="1:2">
      <c r="A28" s="17" t="s">
        <v>7194</v>
      </c>
      <c r="B28" s="150">
        <v>16</v>
      </c>
    </row>
    <row r="29" spans="1:2">
      <c r="A29" s="111" t="s">
        <v>369</v>
      </c>
      <c r="B29" s="150">
        <v>5</v>
      </c>
    </row>
    <row r="30" spans="1:2">
      <c r="A30" s="111" t="s">
        <v>375</v>
      </c>
      <c r="B30" s="150">
        <v>11</v>
      </c>
    </row>
    <row r="31" spans="1:2">
      <c r="A31" s="17" t="s">
        <v>381</v>
      </c>
      <c r="B31" s="150">
        <v>1140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zoomScale="115" zoomScaleNormal="115" workbookViewId="0">
      <selection activeCell="C2" sqref="C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50</v>
      </c>
      <c r="C5"/>
      <c r="D5"/>
      <c r="E5"/>
    </row>
    <row r="6" spans="1:6">
      <c r="A6" s="111" t="s">
        <v>7519</v>
      </c>
      <c r="B6" s="150">
        <v>11</v>
      </c>
      <c r="C6" s="126"/>
      <c r="D6" s="124"/>
      <c r="E6" s="124"/>
    </row>
    <row r="7" spans="1:6">
      <c r="A7" s="112" t="s">
        <v>375</v>
      </c>
      <c r="B7" s="150">
        <v>11</v>
      </c>
      <c r="C7"/>
      <c r="D7"/>
      <c r="E7"/>
    </row>
    <row r="8" spans="1:6">
      <c r="A8" s="111" t="s">
        <v>7476</v>
      </c>
      <c r="B8" s="150">
        <v>34</v>
      </c>
      <c r="C8" s="56"/>
      <c r="D8" s="124"/>
      <c r="E8" s="124"/>
    </row>
    <row r="9" spans="1:6">
      <c r="A9" s="112" t="s">
        <v>369</v>
      </c>
      <c r="B9" s="150">
        <v>30</v>
      </c>
      <c r="C9"/>
      <c r="D9"/>
    </row>
    <row r="10" spans="1:6">
      <c r="A10" s="112" t="s">
        <v>370</v>
      </c>
      <c r="B10" s="150">
        <v>3</v>
      </c>
      <c r="C10" s="53"/>
      <c r="D10" s="124"/>
      <c r="E10" s="124"/>
    </row>
    <row r="11" spans="1:6">
      <c r="A11" s="112" t="s">
        <v>375</v>
      </c>
      <c r="B11" s="150">
        <v>1</v>
      </c>
      <c r="C11"/>
      <c r="D11"/>
    </row>
    <row r="12" spans="1:6">
      <c r="A12" s="111" t="s">
        <v>7532</v>
      </c>
      <c r="B12" s="150">
        <v>5</v>
      </c>
      <c r="C12" s="126"/>
      <c r="D12"/>
    </row>
    <row r="13" spans="1:6">
      <c r="A13" s="112" t="s">
        <v>369</v>
      </c>
      <c r="B13" s="150">
        <v>1</v>
      </c>
      <c r="C13"/>
      <c r="D13"/>
    </row>
    <row r="14" spans="1:6">
      <c r="A14" s="112" t="s">
        <v>370</v>
      </c>
      <c r="B14" s="150">
        <v>1</v>
      </c>
      <c r="C14" s="126"/>
      <c r="D14"/>
    </row>
    <row r="15" spans="1:6">
      <c r="A15" s="112" t="s">
        <v>375</v>
      </c>
      <c r="B15" s="150">
        <v>3</v>
      </c>
      <c r="C15"/>
      <c r="D15" s="124"/>
      <c r="E15" s="124"/>
    </row>
    <row r="16" spans="1:6">
      <c r="A16" s="17" t="s">
        <v>4326</v>
      </c>
      <c r="B16" s="150">
        <v>9</v>
      </c>
      <c r="C16"/>
      <c r="D16"/>
    </row>
    <row r="17" spans="1:5">
      <c r="A17" s="111" t="s">
        <v>6639</v>
      </c>
      <c r="B17" s="150">
        <v>2</v>
      </c>
      <c r="C17"/>
      <c r="D17" s="124"/>
      <c r="E17" s="124"/>
    </row>
    <row r="18" spans="1:5">
      <c r="A18" s="112" t="s">
        <v>692</v>
      </c>
      <c r="B18" s="150">
        <v>2</v>
      </c>
      <c r="C18" s="126"/>
      <c r="D18"/>
    </row>
    <row r="19" spans="1:5">
      <c r="A19" s="111" t="s">
        <v>7343</v>
      </c>
      <c r="B19" s="150">
        <v>1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7364</v>
      </c>
      <c r="B21" s="150">
        <v>5</v>
      </c>
    </row>
    <row r="22" spans="1:5">
      <c r="A22" s="112" t="s">
        <v>369</v>
      </c>
      <c r="B22" s="150">
        <v>4</v>
      </c>
    </row>
    <row r="23" spans="1:5">
      <c r="A23" s="112" t="s">
        <v>692</v>
      </c>
      <c r="B23" s="150">
        <v>1</v>
      </c>
    </row>
    <row r="24" spans="1:5">
      <c r="A24" s="111" t="s">
        <v>7376</v>
      </c>
      <c r="B24" s="150">
        <v>1</v>
      </c>
    </row>
    <row r="25" spans="1:5">
      <c r="A25" s="112" t="s">
        <v>370</v>
      </c>
      <c r="B25" s="150">
        <v>1</v>
      </c>
      <c r="D25" s="124"/>
      <c r="E25" s="124"/>
    </row>
    <row r="26" spans="1:5">
      <c r="A26" s="17" t="s">
        <v>381</v>
      </c>
      <c r="B26" s="150">
        <v>59</v>
      </c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00"/>
  <sheetViews>
    <sheetView topLeftCell="A1350" workbookViewId="0">
      <selection activeCell="C1394" sqref="C1394:C140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7398</v>
      </c>
      <c r="B1391">
        <v>4</v>
      </c>
      <c r="C1391" s="149" t="s">
        <v>4</v>
      </c>
    </row>
    <row r="1392" spans="1:3">
      <c r="A1392" t="s">
        <v>7384</v>
      </c>
      <c r="B1392">
        <v>7</v>
      </c>
      <c r="C1392" s="149" t="s">
        <v>4</v>
      </c>
    </row>
    <row r="1393" spans="1:3">
      <c r="A1393" t="s">
        <v>7381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  <row r="1395" spans="1:3">
      <c r="A1395" t="s">
        <v>7458</v>
      </c>
      <c r="B1395">
        <v>16</v>
      </c>
      <c r="C1395" s="149" t="s">
        <v>4</v>
      </c>
    </row>
    <row r="1396" spans="1:3">
      <c r="A1396" t="s">
        <v>7455</v>
      </c>
      <c r="B1396">
        <v>1</v>
      </c>
      <c r="C1396" s="149" t="s">
        <v>4</v>
      </c>
    </row>
    <row r="1397" spans="1:3">
      <c r="A1397" t="s">
        <v>7425</v>
      </c>
      <c r="B1397">
        <v>24</v>
      </c>
      <c r="C1397" s="149" t="s">
        <v>4</v>
      </c>
    </row>
    <row r="1398" spans="1:3">
      <c r="A1398" t="s">
        <v>7520</v>
      </c>
      <c r="B1398">
        <v>4</v>
      </c>
      <c r="C1398" s="149" t="s">
        <v>4</v>
      </c>
    </row>
    <row r="1399" spans="1:3">
      <c r="A1399" t="s">
        <v>7403</v>
      </c>
      <c r="B1399">
        <v>16</v>
      </c>
      <c r="C1399" s="149" t="s">
        <v>4</v>
      </c>
    </row>
    <row r="1400" spans="1:3">
      <c r="A1400" t="s">
        <v>7424</v>
      </c>
      <c r="B1400">
        <v>3</v>
      </c>
      <c r="C1400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244"/>
  <sheetViews>
    <sheetView tabSelected="1" zoomScale="105" zoomScaleNormal="105" workbookViewId="0">
      <selection activeCell="E5245" sqref="E524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276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251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251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251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251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251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251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251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251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251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251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251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247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244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244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244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244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244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244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244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244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244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244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244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244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244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244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244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244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244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244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244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244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244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244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244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244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244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244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244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244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244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244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244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244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244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244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244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244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244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244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244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244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244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243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243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243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243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243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243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243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243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243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243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243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243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243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243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243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243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243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243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243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243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243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243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243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243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243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243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243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243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243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243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243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243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243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243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243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243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243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243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243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243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243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243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243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243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243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243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243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243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243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243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243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243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243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243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243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243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243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243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243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242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242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242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242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242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241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241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239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239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238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235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235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235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235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235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235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235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235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235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235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235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235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235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235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235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235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235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235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235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235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235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234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234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234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234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234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229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229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229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224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224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224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224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224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224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224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224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224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224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224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224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224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224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224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224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224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224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220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220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220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215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214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214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214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214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214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214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214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214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214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214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214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214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200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200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199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199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199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189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174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174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174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174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174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174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174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174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174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174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174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174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174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174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174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174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174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174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174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174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171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171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171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171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170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170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170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170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170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170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170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170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170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170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170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170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170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170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170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170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170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170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170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170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170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170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170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170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170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170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170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170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170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170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169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169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169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169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169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169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169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169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169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169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169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169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169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169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169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169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169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169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165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165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165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165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165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165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165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165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165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165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165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165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165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165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165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165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165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165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165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165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165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165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165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165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165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165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165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165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165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165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165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165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165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165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165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165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165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165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165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165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165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165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165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165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165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165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165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165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165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165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165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165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165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165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165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165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165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165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165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165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165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165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165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165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165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165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165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165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165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165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165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165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165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165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165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165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165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165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165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165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165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165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165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165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165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165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165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165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165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165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165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165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159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159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154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154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149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149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149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149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149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149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149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149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149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149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149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149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149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149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149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149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149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149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149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149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149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149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149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149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149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149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149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149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149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149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149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149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149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149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149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149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149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149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149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149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149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149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149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149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149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149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149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149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149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149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149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149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149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149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149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149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149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149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149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149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149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149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149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149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149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149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149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149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149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149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149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149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149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149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149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149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149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149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149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149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149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149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149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149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149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149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149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149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149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149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149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149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149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149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149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149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149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149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149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149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149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149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149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149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149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146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146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146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146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147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144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144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139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139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139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139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139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139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139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139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139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139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139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137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137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137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137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137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137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137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137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137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137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137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137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137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137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137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137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137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137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137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137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137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137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137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137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137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137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137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137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137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137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137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137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137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137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137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137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137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137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137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137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137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137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137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137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137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137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137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137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137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137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137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137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137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137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137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137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137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137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137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137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137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137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137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137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137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137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137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137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137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137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137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137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137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137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137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137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137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137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137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137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137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137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137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137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137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137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137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137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137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137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137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137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137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137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137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137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137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137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137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137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137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137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137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137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137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137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137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137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137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137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137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137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137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137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137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137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137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137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137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137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137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137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137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137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137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137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137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137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137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137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137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137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137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137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137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137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137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137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137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137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137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137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137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137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137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137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137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137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137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137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137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137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137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137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137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137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137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137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137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137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137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137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137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137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137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137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137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137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137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137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137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137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137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137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137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137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137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137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137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137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137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137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137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137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137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137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137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137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137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137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137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137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137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137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137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137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137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137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137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137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137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137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137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137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137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137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137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137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137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137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137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137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137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137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137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137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137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137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137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137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137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137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137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137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137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137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137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137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137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137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137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137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137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137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137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137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137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137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137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137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137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137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137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137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137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137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137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137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137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137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137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137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137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137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137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137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137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137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137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137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137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137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137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137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137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137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137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137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137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137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137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137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137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137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137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137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137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137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137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137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137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137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137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137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137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137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137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137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137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137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137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137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137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137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137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137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137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137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137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137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137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137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137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137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137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137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137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137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137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137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137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137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137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137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137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137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137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137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137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137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137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137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137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137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137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137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137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137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137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137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137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137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137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137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137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135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135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135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135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135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135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135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135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135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135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134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134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134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133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133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133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133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133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133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132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132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130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129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129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129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128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128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128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126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126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126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126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126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126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126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123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123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123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123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123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123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123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123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123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123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123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123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123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123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123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123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123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123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123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123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123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123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123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123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123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123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123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123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123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122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122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120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120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120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120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120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120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120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120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120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120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118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118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118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118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118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118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118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118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117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117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117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117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117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117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117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117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117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117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117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117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117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117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117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117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117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115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115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115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115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115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115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115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115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115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115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115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115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115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115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115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115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115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115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115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115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115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115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115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115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115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115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115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115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115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115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115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115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115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115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115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115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115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115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115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115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115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115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115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115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115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115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115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115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115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115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115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115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115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115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115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115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115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115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115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115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115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115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115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115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115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115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115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115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115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115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115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115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115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115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115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115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115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115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115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115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115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115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115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115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115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115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115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115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115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115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115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115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115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115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115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115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115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115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115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115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115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115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115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115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115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115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115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115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115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115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115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115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115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115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115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115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115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115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115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115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115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115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115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115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115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115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115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115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115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115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115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115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115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115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115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115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115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115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115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115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115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115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115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115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115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115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115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115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115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115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115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115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115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115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115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115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115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115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115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115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115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115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115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115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115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115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115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115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115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115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115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115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115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115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115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115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115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115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115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115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115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115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115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115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115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115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115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115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115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115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115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115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115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115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115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115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115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115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115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115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115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115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115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115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115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115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115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115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115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115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115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115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115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115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115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115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115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115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115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115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115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115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115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115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115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115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115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115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115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115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115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115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115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115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115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115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115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115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115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115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115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115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115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115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115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115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115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115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115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115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115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115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115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115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115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115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115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115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115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115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115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115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115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115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115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115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115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115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115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115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115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115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115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115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115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115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115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115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115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115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115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115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115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115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115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115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115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115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115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115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115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115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115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115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115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114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114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114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114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114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114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114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114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114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114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114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114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114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114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114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114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114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114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114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114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114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114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114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114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114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114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114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114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114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114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114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114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114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114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114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114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114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114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114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114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114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114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114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114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114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114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114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114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114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114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114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114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114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114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114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114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114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114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114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114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114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114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114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114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114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114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114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114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114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114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114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114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114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114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114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114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114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114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114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114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114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114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114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114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114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114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114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114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114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114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114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114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114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114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114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114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114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114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114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114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114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114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114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114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114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114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114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114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114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114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114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114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114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114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114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114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114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114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114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114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114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114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114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114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114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114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114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114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114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114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114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114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114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114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114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114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114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114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114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114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114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114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114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114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114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114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114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114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114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114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114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114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114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114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114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114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114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114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114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114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114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114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114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114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114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114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114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114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114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114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114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114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114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114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114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114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114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114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114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114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114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114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114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114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114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114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114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114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114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114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114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114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114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114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114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114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114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114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114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114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114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114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111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111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111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111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111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111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111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111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111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111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111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111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111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111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111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111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111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111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111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111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111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111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111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111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111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111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111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111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111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111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111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111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111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111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111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111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111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111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111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111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111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111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111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110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110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109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109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109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109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109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109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109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108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108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108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107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107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107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107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107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107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107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107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107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107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107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107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107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107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107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107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107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107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107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107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107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107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107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107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107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107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107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107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107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107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107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107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107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107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107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107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107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107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107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107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107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107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107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107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107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107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107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107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107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107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107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107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107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107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107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107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107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107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107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107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107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107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107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107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107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107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107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107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107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107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107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107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107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107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107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107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107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107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107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107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107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107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107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107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107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107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107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107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107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107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107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107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107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107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106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106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106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106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106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106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106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106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106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106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106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106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106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106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106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106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106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106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106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105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105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105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105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105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105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105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105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105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105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105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105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105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105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105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105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105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105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104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104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104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104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104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104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104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104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104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104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104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104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101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101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101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101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101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101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101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101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101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101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101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101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101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101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101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101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101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101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101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101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101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101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101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101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101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101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101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101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101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100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100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100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100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100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100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100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100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100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100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100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100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100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100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100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100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100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100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100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100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100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100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100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100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100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100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100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100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100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100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100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100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100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100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100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99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99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99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99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99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99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99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99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99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99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99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99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99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99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99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99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99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99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99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99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99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99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99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99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99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99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99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99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99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99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99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99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99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99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99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99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99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99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99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99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99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99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99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99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99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99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99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99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99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99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99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99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99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99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99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99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99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99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99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99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99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99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99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99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99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99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99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99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99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99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99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99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99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99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99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99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99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99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99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99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99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99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99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99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99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99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99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99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99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99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99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99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99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99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99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99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99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99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99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99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99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99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99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99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99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99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99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99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99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99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99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99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99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99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99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99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99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99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99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99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99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99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99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99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99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99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99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99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99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99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99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99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99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99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99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99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99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99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99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99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99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99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99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99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99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99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99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99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99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99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99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99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99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99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99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99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99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99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99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99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99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99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99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99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99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99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99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99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99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99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99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99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99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99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99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99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99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99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99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99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99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99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99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99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99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99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99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99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99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99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99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99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99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99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99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99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99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99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99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99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99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99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99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99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99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99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99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99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99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99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99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99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99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99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99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99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99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99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99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99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99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99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99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99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99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99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99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99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99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99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99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99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99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99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99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99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97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97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97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97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97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97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97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97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97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97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97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97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97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97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97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97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96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96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96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96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96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96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96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96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96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96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96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96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96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96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96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96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96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96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96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96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96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96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96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96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96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96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96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96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96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96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96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96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96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96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96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96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96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96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96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95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95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95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95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95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95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95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95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95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95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95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95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95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95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95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95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95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95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94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94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94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94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94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94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94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94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94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94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94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94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94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94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94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94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94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94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94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94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94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94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94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94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94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94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94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94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94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94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94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94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94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94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94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94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94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94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94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94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94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94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94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94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94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94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94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94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94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94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94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94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94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94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94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94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94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94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94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94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94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94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94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94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94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94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94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94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94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94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94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94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94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94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94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94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94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94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94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94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94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94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94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94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94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94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94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94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94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94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94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94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94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94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94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94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94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94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94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94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94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94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94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94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94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94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94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94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94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94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94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94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94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94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94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90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90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90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90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90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90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90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90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90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90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90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90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89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89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89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89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89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89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89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89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89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89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89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89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89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89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89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89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89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89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89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89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89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89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89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89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89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89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89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89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89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89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89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86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86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86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86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86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86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86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86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86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85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84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84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84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84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84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84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83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83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83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83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83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83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83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83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83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83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83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83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83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83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83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83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83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83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83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83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82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82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82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82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82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82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82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82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82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82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82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82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81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81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81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81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81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81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81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81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81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81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81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81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78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78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78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78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78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78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78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78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78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78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78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78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78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78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78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78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78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78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78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78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78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78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78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78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78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78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78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78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78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78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78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78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78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78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78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78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78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78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78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78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78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78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78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78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78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78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78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78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78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78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77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77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77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77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77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77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77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77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77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77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77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77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77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77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77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77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74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73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73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73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73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73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73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71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71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71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71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71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71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71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71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71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71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71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71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71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71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71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71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71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71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71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71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71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71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71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71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71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71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71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71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71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71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71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71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71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71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71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71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71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71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71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71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71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71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71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71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71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71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71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69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69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69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69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69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69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69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69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69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69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69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69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69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69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69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69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69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69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69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69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69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69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69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69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69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69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69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69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67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67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67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67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62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62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62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62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62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61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61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61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61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61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61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61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61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61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61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61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61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58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58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58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58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58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58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58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58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58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58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58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58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58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58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58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58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58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58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58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58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58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58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58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58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58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58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58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58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58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57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56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55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55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55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55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55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55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55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55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55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55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55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55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55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55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55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55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55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55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55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55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55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55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55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55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55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55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55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54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54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54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54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54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54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54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54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54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54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54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54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54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54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54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54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54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54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54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54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54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54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54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54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54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54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54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54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54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54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54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54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54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54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54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54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54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54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54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53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370</v>
      </c>
      <c r="D4490" t="s">
        <v>6742</v>
      </c>
      <c r="E4490" t="s">
        <v>6640</v>
      </c>
      <c r="F4490" s="150" t="s">
        <v>6565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56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370</v>
      </c>
      <c r="D4491" t="s">
        <v>6743</v>
      </c>
      <c r="E4491" t="s">
        <v>6641</v>
      </c>
      <c r="F4491" s="150" t="s">
        <v>6565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56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51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51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51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51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51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51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51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51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51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51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51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51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51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51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51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51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51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51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51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51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51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51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51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51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51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51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51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51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51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51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51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51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51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51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51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51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51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51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51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51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51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51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51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51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51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51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51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51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51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51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51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51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51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51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51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51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51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51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51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51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51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51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51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51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51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51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51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51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51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51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51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51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51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51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51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51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51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51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51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51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51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51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51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51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51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51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51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51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51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51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51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51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51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49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49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49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49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49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49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49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49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49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49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49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49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49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49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49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49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49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49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49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49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49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49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49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49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49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49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49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49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49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48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46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46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46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43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43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43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43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43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43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43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43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43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43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43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43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43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43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43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43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43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43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43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43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43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43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43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43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43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43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43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43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43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43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43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43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43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43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43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43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43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43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43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43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43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43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43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43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43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43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43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43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43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43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43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43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43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43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43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43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43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43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43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40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40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40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40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40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40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40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40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40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40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40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40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40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40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40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40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40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40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40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40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40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40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40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40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39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39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39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39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39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39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39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39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39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39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39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39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39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39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37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37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37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37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37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37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37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35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35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35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35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35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35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35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35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35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35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35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35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35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35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35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35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35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35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35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35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35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35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35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35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35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35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35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35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35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35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35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35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35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35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35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35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35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35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35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35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35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35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35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35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35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35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35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35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35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35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35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35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35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35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35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35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35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35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35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35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35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35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35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35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34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34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34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34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34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34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34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34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34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34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32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32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32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32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32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32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32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32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32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32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32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32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32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32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32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32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32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32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32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32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32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32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32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32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32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32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32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32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32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32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32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32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32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32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31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31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31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31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31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31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31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31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31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31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31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31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31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31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31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31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31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31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31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31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31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31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31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31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31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31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31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31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31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31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31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31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31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31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31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31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31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31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31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31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31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31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31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31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31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31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31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31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31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31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31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31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31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31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31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31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31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31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31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31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31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31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31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31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31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31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31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31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31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31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31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31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31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31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31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31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31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31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31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31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31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31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31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31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31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31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31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31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31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31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31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31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31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31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31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31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31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31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31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31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31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31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31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31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31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31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31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31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31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31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31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31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31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31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31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31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31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31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31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31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31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31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31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31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31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31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31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31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31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31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31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31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31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31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31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31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31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31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31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31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31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31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31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31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31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30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30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30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30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30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30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30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30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30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30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30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30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30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30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30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30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30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30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30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30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30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30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30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30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30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30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30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30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29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29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29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29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29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29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29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29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29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29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29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28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28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28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28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28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28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28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28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28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28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28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28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28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28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28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28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28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28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28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28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28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28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28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28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28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28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27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27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26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26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26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26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26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26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26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26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26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26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26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26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26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26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26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26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26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26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26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26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25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25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25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25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25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25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25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25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25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25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25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25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25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25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25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25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25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25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25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25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25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25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25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25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25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25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25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25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open</v>
      </c>
      <c r="C5090" s="149" t="s">
        <v>692</v>
      </c>
      <c r="D5090" t="s">
        <v>7342</v>
      </c>
      <c r="E5090" t="s">
        <v>4829</v>
      </c>
      <c r="F5090" s="150" t="s">
        <v>7400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25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25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25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25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25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25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23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23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23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23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23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23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23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23</v>
      </c>
      <c r="R5103" s="175" t="s">
        <v>5709</v>
      </c>
      <c r="S5103" s="150"/>
    </row>
    <row r="5104" spans="1:19" hidden="1">
      <c r="A5104" t="s">
        <v>7364</v>
      </c>
      <c r="B5104" s="150" t="str">
        <f>IFERROR(VLOOKUP(Proc[[#This Row],[App]],Table2[],3,0),"open")</f>
        <v>open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21</v>
      </c>
      <c r="R5104" s="176" t="s">
        <v>780</v>
      </c>
      <c r="S5104" s="150"/>
    </row>
    <row r="5105" spans="1:19">
      <c r="A5105" t="s">
        <v>7364</v>
      </c>
      <c r="B5105" s="150" t="str">
        <f>IFERROR(VLOOKUP(Proc[[#This Row],[App]],Table2[],3,0),"open")</f>
        <v>open</v>
      </c>
      <c r="C5105" s="149" t="s">
        <v>692</v>
      </c>
      <c r="D5105" t="s">
        <v>7367</v>
      </c>
      <c r="E5105" t="s">
        <v>2467</v>
      </c>
      <c r="F5105" s="150" t="s">
        <v>7401</v>
      </c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21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open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21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open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21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open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21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20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20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20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20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20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20</v>
      </c>
      <c r="R5114" s="177" t="s">
        <v>489</v>
      </c>
      <c r="S5114" s="150"/>
    </row>
    <row r="5115" spans="1:19">
      <c r="A5115" t="s">
        <v>7376</v>
      </c>
      <c r="B5115" s="150" t="str">
        <f>IFERROR(VLOOKUP(Proc[[#This Row],[App]],Table2[],3,0),"open")</f>
        <v>open</v>
      </c>
      <c r="C5115" t="s">
        <v>370</v>
      </c>
      <c r="D5115" t="s">
        <v>7378</v>
      </c>
      <c r="E5115" t="s">
        <v>7377</v>
      </c>
      <c r="F5115" s="150" t="s">
        <v>7399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20</v>
      </c>
      <c r="R5115" s="177" t="s">
        <v>485</v>
      </c>
      <c r="S5115" s="150"/>
    </row>
    <row r="5116" spans="1:19" hidden="1">
      <c r="A5116" t="s">
        <v>7381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17</v>
      </c>
      <c r="R5116" s="177" t="s">
        <v>481</v>
      </c>
      <c r="S5116" s="150"/>
    </row>
    <row r="5117" spans="1:19" hidden="1">
      <c r="A5117" s="149" t="s">
        <v>7381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17</v>
      </c>
      <c r="R5117" s="177" t="s">
        <v>481</v>
      </c>
      <c r="S5117" s="150"/>
    </row>
    <row r="5118" spans="1:19" hidden="1">
      <c r="A5118" s="149" t="s">
        <v>7381</v>
      </c>
      <c r="B5118" s="150" t="str">
        <f>IFERROR(VLOOKUP(Proc[[#This Row],[App]],Table2[],3,0),"open")</f>
        <v>ok</v>
      </c>
      <c r="C5118" s="149" t="s">
        <v>369</v>
      </c>
      <c r="D5118" t="s">
        <v>7382</v>
      </c>
      <c r="E5118" t="s">
        <v>7380</v>
      </c>
      <c r="F5118" s="150" t="s">
        <v>7380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17</v>
      </c>
      <c r="R5118" s="177" t="s">
        <v>481</v>
      </c>
      <c r="S5118" s="150"/>
    </row>
    <row r="5119" spans="1:19" hidden="1">
      <c r="A5119" s="149" t="s">
        <v>7381</v>
      </c>
      <c r="B5119" s="150" t="str">
        <f>IFERROR(VLOOKUP(Proc[[#This Row],[App]],Table2[],3,0),"open")</f>
        <v>ok</v>
      </c>
      <c r="C5119" s="149" t="s">
        <v>369</v>
      </c>
      <c r="D5119" t="s">
        <v>7383</v>
      </c>
      <c r="E5119" t="s">
        <v>7380</v>
      </c>
      <c r="F5119" s="150" t="s">
        <v>7380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17</v>
      </c>
      <c r="R5119" s="177" t="s">
        <v>481</v>
      </c>
      <c r="S5119" s="150"/>
    </row>
    <row r="5120" spans="1:19" hidden="1">
      <c r="A5120" t="s">
        <v>7384</v>
      </c>
      <c r="B5120" s="150" t="str">
        <f>IFERROR(VLOOKUP(Proc[[#This Row],[App]],Table2[],3,0),"open")</f>
        <v>ok</v>
      </c>
      <c r="C5120" s="149" t="s">
        <v>369</v>
      </c>
      <c r="D5120" t="s">
        <v>7420</v>
      </c>
      <c r="E5120" t="s">
        <v>7391</v>
      </c>
      <c r="F5120" s="150" t="s">
        <v>7391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17</v>
      </c>
      <c r="R5120" s="177" t="s">
        <v>489</v>
      </c>
      <c r="S5120" s="150"/>
    </row>
    <row r="5121" spans="1:19" hidden="1">
      <c r="A5121" s="149" t="s">
        <v>7384</v>
      </c>
      <c r="B5121" s="150" t="str">
        <f>IFERROR(VLOOKUP(Proc[[#This Row],[App]],Table2[],3,0),"open")</f>
        <v>ok</v>
      </c>
      <c r="C5121" s="149" t="s">
        <v>369</v>
      </c>
      <c r="D5121" t="s">
        <v>7385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17</v>
      </c>
      <c r="R5121" s="177" t="s">
        <v>489</v>
      </c>
      <c r="S5121" s="150"/>
    </row>
    <row r="5122" spans="1:19" hidden="1">
      <c r="A5122" s="149" t="s">
        <v>7384</v>
      </c>
      <c r="B5122" s="150" t="str">
        <f>IFERROR(VLOOKUP(Proc[[#This Row],[App]],Table2[],3,0),"open")</f>
        <v>ok</v>
      </c>
      <c r="C5122" s="149" t="s">
        <v>369</v>
      </c>
      <c r="D5122" t="s">
        <v>7386</v>
      </c>
      <c r="E5122" t="s">
        <v>7392</v>
      </c>
      <c r="F5122" s="150" t="s">
        <v>7392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17</v>
      </c>
      <c r="R5122" s="177" t="s">
        <v>489</v>
      </c>
      <c r="S5122" s="150"/>
    </row>
    <row r="5123" spans="1:19" hidden="1">
      <c r="A5123" s="149" t="s">
        <v>7384</v>
      </c>
      <c r="B5123" s="150" t="str">
        <f>IFERROR(VLOOKUP(Proc[[#This Row],[App]],Table2[],3,0),"open")</f>
        <v>ok</v>
      </c>
      <c r="C5123" s="149" t="s">
        <v>369</v>
      </c>
      <c r="D5123" t="s">
        <v>7387</v>
      </c>
      <c r="E5123" t="s">
        <v>7393</v>
      </c>
      <c r="F5123" s="150" t="s">
        <v>7393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17</v>
      </c>
      <c r="R5123" s="177" t="s">
        <v>489</v>
      </c>
      <c r="S5123" s="150"/>
    </row>
    <row r="5124" spans="1:19" hidden="1">
      <c r="A5124" s="149" t="s">
        <v>7384</v>
      </c>
      <c r="B5124" s="150" t="str">
        <f>IFERROR(VLOOKUP(Proc[[#This Row],[App]],Table2[],3,0),"open")</f>
        <v>ok</v>
      </c>
      <c r="C5124" s="149" t="s">
        <v>369</v>
      </c>
      <c r="D5124" t="s">
        <v>7388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17</v>
      </c>
      <c r="R5124" s="177" t="s">
        <v>489</v>
      </c>
      <c r="S5124" s="150"/>
    </row>
    <row r="5125" spans="1:19" hidden="1">
      <c r="A5125" s="149" t="s">
        <v>7384</v>
      </c>
      <c r="B5125" s="150" t="str">
        <f>IFERROR(VLOOKUP(Proc[[#This Row],[App]],Table2[],3,0),"open")</f>
        <v>ok</v>
      </c>
      <c r="C5125" s="149" t="s">
        <v>369</v>
      </c>
      <c r="D5125" t="s">
        <v>7389</v>
      </c>
      <c r="E5125" t="s">
        <v>7394</v>
      </c>
      <c r="F5125" s="150" t="s">
        <v>7394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17</v>
      </c>
      <c r="R5125" s="177" t="s">
        <v>489</v>
      </c>
      <c r="S5125" s="150"/>
    </row>
    <row r="5126" spans="1:19" hidden="1">
      <c r="A5126" s="149" t="s">
        <v>7384</v>
      </c>
      <c r="B5126" s="150" t="str">
        <f>IFERROR(VLOOKUP(Proc[[#This Row],[App]],Table2[],3,0),"open")</f>
        <v>ok</v>
      </c>
      <c r="C5126" s="149" t="s">
        <v>369</v>
      </c>
      <c r="D5126" t="s">
        <v>7390</v>
      </c>
      <c r="E5126" t="s">
        <v>7395</v>
      </c>
      <c r="F5126" s="150" t="s">
        <v>7395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17</v>
      </c>
      <c r="R5126" s="177" t="s">
        <v>489</v>
      </c>
      <c r="S5126" s="150"/>
    </row>
    <row r="5127" spans="1:19" hidden="1">
      <c r="A5127" t="s">
        <v>7398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17</v>
      </c>
      <c r="R5127" s="177" t="s">
        <v>481</v>
      </c>
      <c r="S5127" s="150"/>
    </row>
    <row r="5128" spans="1:19" hidden="1">
      <c r="A5128" s="149" t="s">
        <v>7398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17</v>
      </c>
      <c r="R5128" s="177" t="s">
        <v>481</v>
      </c>
      <c r="S5128" s="150"/>
    </row>
    <row r="5129" spans="1:19" hidden="1">
      <c r="A5129" s="149" t="s">
        <v>7398</v>
      </c>
      <c r="B5129" s="150" t="str">
        <f>IFERROR(VLOOKUP(Proc[[#This Row],[App]],Table2[],3,0),"open")</f>
        <v>ok</v>
      </c>
      <c r="C5129" s="149" t="s">
        <v>369</v>
      </c>
      <c r="D5129" t="s">
        <v>7396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17</v>
      </c>
      <c r="R5129" s="177" t="s">
        <v>481</v>
      </c>
      <c r="S5129" s="150"/>
    </row>
    <row r="5130" spans="1:19" hidden="1">
      <c r="A5130" s="149" t="s">
        <v>7398</v>
      </c>
      <c r="B5130" s="150" t="str">
        <f>IFERROR(VLOOKUP(Proc[[#This Row],[App]],Table2[],3,0),"open")</f>
        <v>ok</v>
      </c>
      <c r="C5130" s="149" t="s">
        <v>369</v>
      </c>
      <c r="D5130" t="s">
        <v>7397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17</v>
      </c>
      <c r="R5130" s="177" t="s">
        <v>481</v>
      </c>
      <c r="S5130" s="150"/>
    </row>
    <row r="5131" spans="1:19" hidden="1">
      <c r="A5131" s="149" t="s">
        <v>7403</v>
      </c>
      <c r="B5131" s="150" t="str">
        <f>IFERROR(VLOOKUP(Proc[[#This Row],[App]],Table2[],3,0),"open")</f>
        <v>ok</v>
      </c>
      <c r="C5131" s="149" t="s">
        <v>369</v>
      </c>
      <c r="D5131" t="s">
        <v>7405</v>
      </c>
      <c r="E5131" t="s">
        <v>7402</v>
      </c>
      <c r="F5131" s="150" t="s">
        <v>7402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13</v>
      </c>
      <c r="R5131" s="177" t="s">
        <v>7404</v>
      </c>
      <c r="S5131" s="150"/>
    </row>
    <row r="5132" spans="1:19" hidden="1">
      <c r="A5132" s="149" t="s">
        <v>7403</v>
      </c>
      <c r="B5132" s="150" t="str">
        <f>IFERROR(VLOOKUP(Proc[[#This Row],[App]],Table2[],3,0),"open")</f>
        <v>ok</v>
      </c>
      <c r="C5132" s="149" t="s">
        <v>369</v>
      </c>
      <c r="D5132" t="s">
        <v>7406</v>
      </c>
      <c r="E5132" t="s">
        <v>7402</v>
      </c>
      <c r="F5132" s="150" t="s">
        <v>7402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13</v>
      </c>
      <c r="R5132" s="177" t="s">
        <v>7404</v>
      </c>
      <c r="S5132" s="150"/>
    </row>
    <row r="5133" spans="1:19" hidden="1">
      <c r="A5133" s="149" t="s">
        <v>7403</v>
      </c>
      <c r="B5133" s="150" t="str">
        <f>IFERROR(VLOOKUP(Proc[[#This Row],[App]],Table2[],3,0),"open")</f>
        <v>ok</v>
      </c>
      <c r="C5133" s="149" t="s">
        <v>369</v>
      </c>
      <c r="D5133" t="s">
        <v>7407</v>
      </c>
      <c r="E5133" t="s">
        <v>7402</v>
      </c>
      <c r="F5133" s="150" t="s">
        <v>7402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13</v>
      </c>
      <c r="R5133" s="177" t="s">
        <v>7404</v>
      </c>
      <c r="S5133" s="150"/>
    </row>
    <row r="5134" spans="1:19" hidden="1">
      <c r="A5134" s="149" t="s">
        <v>7403</v>
      </c>
      <c r="B5134" s="150" t="str">
        <f>IFERROR(VLOOKUP(Proc[[#This Row],[App]],Table2[],3,0),"open")</f>
        <v>ok</v>
      </c>
      <c r="C5134" s="149" t="s">
        <v>369</v>
      </c>
      <c r="D5134" t="s">
        <v>7408</v>
      </c>
      <c r="E5134" t="s">
        <v>7402</v>
      </c>
      <c r="F5134" s="150" t="s">
        <v>7402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13</v>
      </c>
      <c r="R5134" s="177" t="s">
        <v>7404</v>
      </c>
      <c r="S5134" s="150"/>
    </row>
    <row r="5135" spans="1:19" hidden="1">
      <c r="A5135" s="149" t="s">
        <v>7403</v>
      </c>
      <c r="B5135" s="150" t="str">
        <f>IFERROR(VLOOKUP(Proc[[#This Row],[App]],Table2[],3,0),"open")</f>
        <v>ok</v>
      </c>
      <c r="C5135" s="149" t="s">
        <v>369</v>
      </c>
      <c r="D5135" t="s">
        <v>7409</v>
      </c>
      <c r="E5135" t="s">
        <v>7402</v>
      </c>
      <c r="F5135" s="150" t="s">
        <v>7402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13</v>
      </c>
      <c r="R5135" s="177" t="s">
        <v>7404</v>
      </c>
      <c r="S5135" s="150"/>
    </row>
    <row r="5136" spans="1:19" hidden="1">
      <c r="A5136" s="149" t="s">
        <v>7403</v>
      </c>
      <c r="B5136" s="150" t="str">
        <f>IFERROR(VLOOKUP(Proc[[#This Row],[App]],Table2[],3,0),"open")</f>
        <v>ok</v>
      </c>
      <c r="C5136" s="149" t="s">
        <v>369</v>
      </c>
      <c r="D5136" t="s">
        <v>7407</v>
      </c>
      <c r="E5136" t="s">
        <v>7402</v>
      </c>
      <c r="F5136" s="150" t="s">
        <v>7402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13</v>
      </c>
      <c r="R5136" s="177" t="s">
        <v>7404</v>
      </c>
      <c r="S5136" s="150"/>
    </row>
    <row r="5137" spans="1:19" hidden="1">
      <c r="A5137" s="149" t="s">
        <v>7403</v>
      </c>
      <c r="B5137" s="150" t="str">
        <f>IFERROR(VLOOKUP(Proc[[#This Row],[App]],Table2[],3,0),"open")</f>
        <v>ok</v>
      </c>
      <c r="C5137" s="149" t="s">
        <v>369</v>
      </c>
      <c r="D5137" t="s">
        <v>7410</v>
      </c>
      <c r="E5137" t="s">
        <v>7402</v>
      </c>
      <c r="F5137" s="150" t="s">
        <v>7402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13</v>
      </c>
      <c r="R5137" s="177" t="s">
        <v>7404</v>
      </c>
      <c r="S5137" s="150"/>
    </row>
    <row r="5138" spans="1:19" hidden="1">
      <c r="A5138" s="149" t="s">
        <v>7403</v>
      </c>
      <c r="B5138" s="150" t="str">
        <f>IFERROR(VLOOKUP(Proc[[#This Row],[App]],Table2[],3,0),"open")</f>
        <v>ok</v>
      </c>
      <c r="C5138" s="149" t="s">
        <v>369</v>
      </c>
      <c r="D5138" t="s">
        <v>7411</v>
      </c>
      <c r="E5138" t="s">
        <v>7402</v>
      </c>
      <c r="F5138" s="150" t="s">
        <v>7402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13</v>
      </c>
      <c r="R5138" s="177" t="s">
        <v>7404</v>
      </c>
      <c r="S5138" s="150"/>
    </row>
    <row r="5139" spans="1:19" hidden="1">
      <c r="A5139" s="149" t="s">
        <v>7403</v>
      </c>
      <c r="B5139" s="150" t="str">
        <f>IFERROR(VLOOKUP(Proc[[#This Row],[App]],Table2[],3,0),"open")</f>
        <v>ok</v>
      </c>
      <c r="C5139" s="149" t="s">
        <v>369</v>
      </c>
      <c r="D5139" t="s">
        <v>7412</v>
      </c>
      <c r="E5139" t="s">
        <v>7402</v>
      </c>
      <c r="F5139" s="150" t="s">
        <v>7402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13</v>
      </c>
      <c r="R5139" s="177" t="s">
        <v>7404</v>
      </c>
      <c r="S5139" s="150"/>
    </row>
    <row r="5140" spans="1:19" hidden="1">
      <c r="A5140" s="149" t="s">
        <v>7403</v>
      </c>
      <c r="B5140" s="150" t="str">
        <f>IFERROR(VLOOKUP(Proc[[#This Row],[App]],Table2[],3,0),"open")</f>
        <v>ok</v>
      </c>
      <c r="C5140" s="149" t="s">
        <v>369</v>
      </c>
      <c r="D5140" t="s">
        <v>7413</v>
      </c>
      <c r="E5140" t="s">
        <v>7402</v>
      </c>
      <c r="F5140" s="150" t="s">
        <v>7402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13</v>
      </c>
      <c r="R5140" s="177" t="s">
        <v>7404</v>
      </c>
      <c r="S5140" s="150"/>
    </row>
    <row r="5141" spans="1:19" hidden="1">
      <c r="A5141" s="149" t="s">
        <v>7403</v>
      </c>
      <c r="B5141" s="150" t="str">
        <f>IFERROR(VLOOKUP(Proc[[#This Row],[App]],Table2[],3,0),"open")</f>
        <v>ok</v>
      </c>
      <c r="C5141" s="149" t="s">
        <v>369</v>
      </c>
      <c r="D5141" t="s">
        <v>7414</v>
      </c>
      <c r="E5141" t="s">
        <v>7402</v>
      </c>
      <c r="F5141" s="150" t="s">
        <v>7402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13</v>
      </c>
      <c r="R5141" s="177" t="s">
        <v>7404</v>
      </c>
      <c r="S5141" s="150"/>
    </row>
    <row r="5142" spans="1:19" hidden="1">
      <c r="A5142" s="149" t="s">
        <v>7403</v>
      </c>
      <c r="B5142" s="150" t="str">
        <f>IFERROR(VLOOKUP(Proc[[#This Row],[App]],Table2[],3,0),"open")</f>
        <v>ok</v>
      </c>
      <c r="C5142" s="149" t="s">
        <v>369</v>
      </c>
      <c r="D5142" t="s">
        <v>7415</v>
      </c>
      <c r="E5142" t="s">
        <v>7402</v>
      </c>
      <c r="F5142" s="150" t="s">
        <v>7402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13</v>
      </c>
      <c r="R5142" s="177" t="s">
        <v>7404</v>
      </c>
      <c r="S5142" s="150"/>
    </row>
    <row r="5143" spans="1:19" hidden="1">
      <c r="A5143" s="149" t="s">
        <v>7403</v>
      </c>
      <c r="B5143" s="150" t="str">
        <f>IFERROR(VLOOKUP(Proc[[#This Row],[App]],Table2[],3,0),"open")</f>
        <v>ok</v>
      </c>
      <c r="C5143" s="149" t="s">
        <v>369</v>
      </c>
      <c r="D5143" t="s">
        <v>7416</v>
      </c>
      <c r="E5143" t="s">
        <v>7402</v>
      </c>
      <c r="F5143" s="150" t="s">
        <v>7402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13</v>
      </c>
      <c r="R5143" s="177" t="s">
        <v>7404</v>
      </c>
      <c r="S5143" s="150"/>
    </row>
    <row r="5144" spans="1:19" hidden="1">
      <c r="A5144" s="149" t="s">
        <v>7403</v>
      </c>
      <c r="B5144" s="150" t="str">
        <f>IFERROR(VLOOKUP(Proc[[#This Row],[App]],Table2[],3,0),"open")</f>
        <v>ok</v>
      </c>
      <c r="C5144" s="149" t="s">
        <v>369</v>
      </c>
      <c r="D5144" t="s">
        <v>7417</v>
      </c>
      <c r="E5144" t="s">
        <v>7402</v>
      </c>
      <c r="F5144" s="150" t="s">
        <v>7402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13</v>
      </c>
      <c r="R5144" s="177" t="s">
        <v>7404</v>
      </c>
      <c r="S5144" s="150"/>
    </row>
    <row r="5145" spans="1:19" hidden="1">
      <c r="A5145" s="149" t="s">
        <v>7403</v>
      </c>
      <c r="B5145" s="150" t="str">
        <f>IFERROR(VLOOKUP(Proc[[#This Row],[App]],Table2[],3,0),"open")</f>
        <v>ok</v>
      </c>
      <c r="C5145" s="149" t="s">
        <v>369</v>
      </c>
      <c r="D5145" t="s">
        <v>7418</v>
      </c>
      <c r="E5145" t="s">
        <v>7402</v>
      </c>
      <c r="F5145" s="150" t="s">
        <v>7402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13</v>
      </c>
      <c r="R5145" s="177" t="s">
        <v>7404</v>
      </c>
      <c r="S5145" s="150"/>
    </row>
    <row r="5146" spans="1:19" hidden="1">
      <c r="A5146" s="149" t="s">
        <v>7403</v>
      </c>
      <c r="B5146" s="150" t="str">
        <f>IFERROR(VLOOKUP(Proc[[#This Row],[App]],Table2[],3,0),"open")</f>
        <v>ok</v>
      </c>
      <c r="C5146" s="149" t="s">
        <v>369</v>
      </c>
      <c r="D5146" t="s">
        <v>7419</v>
      </c>
      <c r="E5146" t="s">
        <v>7402</v>
      </c>
      <c r="F5146" s="150" t="s">
        <v>7402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13</v>
      </c>
      <c r="R5146" s="177" t="s">
        <v>7404</v>
      </c>
      <c r="S5146" s="150"/>
    </row>
    <row r="5147" spans="1:19" hidden="1">
      <c r="A5147" t="s">
        <v>7424</v>
      </c>
      <c r="B5147" s="150" t="str">
        <f>IFERROR(VLOOKUP(Proc[[#This Row],[App]],Table2[],3,0),"open")</f>
        <v>ok</v>
      </c>
      <c r="C5147" t="s">
        <v>369</v>
      </c>
      <c r="D5147" t="s">
        <v>7421</v>
      </c>
      <c r="E5147" t="s">
        <v>4929</v>
      </c>
      <c r="F5147" s="150" t="s">
        <v>4929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10</v>
      </c>
      <c r="R5147" s="178" t="s">
        <v>489</v>
      </c>
      <c r="S5147" s="150"/>
    </row>
    <row r="5148" spans="1:19" hidden="1">
      <c r="A5148" t="s">
        <v>7424</v>
      </c>
      <c r="B5148" s="150" t="str">
        <f>IFERROR(VLOOKUP(Proc[[#This Row],[App]],Table2[],3,0),"open")</f>
        <v>ok</v>
      </c>
      <c r="C5148" s="149" t="s">
        <v>369</v>
      </c>
      <c r="D5148" t="s">
        <v>7422</v>
      </c>
      <c r="E5148" t="s">
        <v>4929</v>
      </c>
      <c r="F5148" s="150" t="s">
        <v>4929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10</v>
      </c>
      <c r="R5148" s="178" t="s">
        <v>489</v>
      </c>
      <c r="S5148" s="150"/>
    </row>
    <row r="5149" spans="1:19" hidden="1">
      <c r="A5149" t="s">
        <v>7424</v>
      </c>
      <c r="B5149" s="150" t="str">
        <f>IFERROR(VLOOKUP(Proc[[#This Row],[App]],Table2[],3,0),"open")</f>
        <v>ok</v>
      </c>
      <c r="C5149" s="149" t="s">
        <v>369</v>
      </c>
      <c r="D5149" t="s">
        <v>7423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10</v>
      </c>
      <c r="R5149" s="178" t="s">
        <v>489</v>
      </c>
      <c r="S5149" s="150"/>
    </row>
    <row r="5150" spans="1:19" hidden="1">
      <c r="A5150" t="s">
        <v>7425</v>
      </c>
      <c r="B5150" s="150" t="str">
        <f>IFERROR(VLOOKUP(Proc[[#This Row],[App]],Table2[],3,0),"open")</f>
        <v>ok</v>
      </c>
      <c r="C5150" t="s">
        <v>369</v>
      </c>
      <c r="D5150" t="s">
        <v>7426</v>
      </c>
      <c r="E5150" t="s">
        <v>7450</v>
      </c>
      <c r="F5150" s="150" t="s">
        <v>7450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6</v>
      </c>
      <c r="R5150" s="178" t="s">
        <v>489</v>
      </c>
      <c r="S5150" s="150"/>
    </row>
    <row r="5151" spans="1:19" hidden="1">
      <c r="A5151" s="149" t="s">
        <v>7425</v>
      </c>
      <c r="B5151" s="150" t="str">
        <f>IFERROR(VLOOKUP(Proc[[#This Row],[App]],Table2[],3,0),"open")</f>
        <v>ok</v>
      </c>
      <c r="C5151" s="149" t="s">
        <v>369</v>
      </c>
      <c r="D5151" t="s">
        <v>7427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6</v>
      </c>
      <c r="R5151" s="178" t="s">
        <v>489</v>
      </c>
      <c r="S5151" s="150"/>
    </row>
    <row r="5152" spans="1:19" hidden="1">
      <c r="A5152" s="149" t="s">
        <v>7425</v>
      </c>
      <c r="B5152" s="150" t="str">
        <f>IFERROR(VLOOKUP(Proc[[#This Row],[App]],Table2[],3,0),"open")</f>
        <v>ok</v>
      </c>
      <c r="C5152" s="149" t="s">
        <v>369</v>
      </c>
      <c r="D5152" t="s">
        <v>7428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6</v>
      </c>
      <c r="R5152" s="178" t="s">
        <v>489</v>
      </c>
      <c r="S5152" s="150"/>
    </row>
    <row r="5153" spans="1:19" hidden="1">
      <c r="A5153" s="149" t="s">
        <v>7425</v>
      </c>
      <c r="B5153" s="150" t="str">
        <f>IFERROR(VLOOKUP(Proc[[#This Row],[App]],Table2[],3,0),"open")</f>
        <v>ok</v>
      </c>
      <c r="C5153" s="149" t="s">
        <v>369</v>
      </c>
      <c r="D5153" t="s">
        <v>7429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6</v>
      </c>
      <c r="R5153" s="178" t="s">
        <v>489</v>
      </c>
      <c r="S5153" s="150"/>
    </row>
    <row r="5154" spans="1:19" hidden="1">
      <c r="A5154" s="149" t="s">
        <v>7425</v>
      </c>
      <c r="B5154" s="150" t="str">
        <f>IFERROR(VLOOKUP(Proc[[#This Row],[App]],Table2[],3,0),"open")</f>
        <v>ok</v>
      </c>
      <c r="C5154" s="149" t="s">
        <v>369</v>
      </c>
      <c r="D5154" t="s">
        <v>7430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6</v>
      </c>
      <c r="R5154" s="178" t="s">
        <v>489</v>
      </c>
      <c r="S5154" s="150"/>
    </row>
    <row r="5155" spans="1:19" hidden="1">
      <c r="A5155" s="149" t="s">
        <v>7425</v>
      </c>
      <c r="B5155" s="150" t="str">
        <f>IFERROR(VLOOKUP(Proc[[#This Row],[App]],Table2[],3,0),"open")</f>
        <v>ok</v>
      </c>
      <c r="C5155" s="149" t="s">
        <v>369</v>
      </c>
      <c r="D5155" t="s">
        <v>7431</v>
      </c>
      <c r="E5155" t="s">
        <v>7451</v>
      </c>
      <c r="F5155" s="150" t="s">
        <v>7451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6</v>
      </c>
      <c r="R5155" s="178" t="s">
        <v>489</v>
      </c>
      <c r="S5155" s="150"/>
    </row>
    <row r="5156" spans="1:19" hidden="1">
      <c r="A5156" s="149" t="s">
        <v>7425</v>
      </c>
      <c r="B5156" s="150" t="str">
        <f>IFERROR(VLOOKUP(Proc[[#This Row],[App]],Table2[],3,0),"open")</f>
        <v>ok</v>
      </c>
      <c r="C5156" s="149" t="s">
        <v>369</v>
      </c>
      <c r="D5156" t="s">
        <v>7432</v>
      </c>
      <c r="E5156" t="s">
        <v>7452</v>
      </c>
      <c r="F5156" s="150" t="s">
        <v>7452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6</v>
      </c>
      <c r="R5156" s="178" t="s">
        <v>489</v>
      </c>
      <c r="S5156" s="150"/>
    </row>
    <row r="5157" spans="1:19" hidden="1">
      <c r="A5157" s="149" t="s">
        <v>7425</v>
      </c>
      <c r="B5157" s="150" t="str">
        <f>IFERROR(VLOOKUP(Proc[[#This Row],[App]],Table2[],3,0),"open")</f>
        <v>ok</v>
      </c>
      <c r="C5157" s="149" t="s">
        <v>369</v>
      </c>
      <c r="D5157" t="s">
        <v>7433</v>
      </c>
      <c r="E5157" t="s">
        <v>7452</v>
      </c>
      <c r="F5157" s="150" t="s">
        <v>7452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6</v>
      </c>
      <c r="R5157" s="178" t="s">
        <v>489</v>
      </c>
      <c r="S5157" s="150"/>
    </row>
    <row r="5158" spans="1:19" hidden="1">
      <c r="A5158" s="149" t="s">
        <v>7425</v>
      </c>
      <c r="B5158" s="150" t="str">
        <f>IFERROR(VLOOKUP(Proc[[#This Row],[App]],Table2[],3,0),"open")</f>
        <v>ok</v>
      </c>
      <c r="C5158" s="149" t="s">
        <v>369</v>
      </c>
      <c r="D5158" t="s">
        <v>7434</v>
      </c>
      <c r="E5158" t="s">
        <v>7452</v>
      </c>
      <c r="F5158" s="150" t="s">
        <v>7452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6</v>
      </c>
      <c r="R5158" s="178" t="s">
        <v>489</v>
      </c>
      <c r="S5158" s="150"/>
    </row>
    <row r="5159" spans="1:19" hidden="1">
      <c r="A5159" s="149" t="s">
        <v>7425</v>
      </c>
      <c r="B5159" s="150" t="str">
        <f>IFERROR(VLOOKUP(Proc[[#This Row],[App]],Table2[],3,0),"open")</f>
        <v>ok</v>
      </c>
      <c r="C5159" s="149" t="s">
        <v>369</v>
      </c>
      <c r="D5159" t="s">
        <v>7435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6</v>
      </c>
      <c r="R5159" s="178" t="s">
        <v>489</v>
      </c>
      <c r="S5159" s="150"/>
    </row>
    <row r="5160" spans="1:19" hidden="1">
      <c r="A5160" s="149" t="s">
        <v>7425</v>
      </c>
      <c r="B5160" s="150" t="str">
        <f>IFERROR(VLOOKUP(Proc[[#This Row],[App]],Table2[],3,0),"open")</f>
        <v>ok</v>
      </c>
      <c r="C5160" s="149" t="s">
        <v>369</v>
      </c>
      <c r="D5160" t="s">
        <v>7436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6</v>
      </c>
      <c r="R5160" s="178" t="s">
        <v>489</v>
      </c>
      <c r="S5160" s="150"/>
    </row>
    <row r="5161" spans="1:19" hidden="1">
      <c r="A5161" s="149" t="s">
        <v>7425</v>
      </c>
      <c r="B5161" s="150" t="str">
        <f>IFERROR(VLOOKUP(Proc[[#This Row],[App]],Table2[],3,0),"open")</f>
        <v>ok</v>
      </c>
      <c r="C5161" s="149" t="s">
        <v>369</v>
      </c>
      <c r="D5161" t="s">
        <v>7437</v>
      </c>
      <c r="E5161" t="s">
        <v>7350</v>
      </c>
      <c r="F5161" s="150" t="s">
        <v>7350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6</v>
      </c>
      <c r="R5161" s="178" t="s">
        <v>489</v>
      </c>
      <c r="S5161" s="150"/>
    </row>
    <row r="5162" spans="1:19" hidden="1">
      <c r="A5162" s="149" t="s">
        <v>7425</v>
      </c>
      <c r="B5162" s="150" t="str">
        <f>IFERROR(VLOOKUP(Proc[[#This Row],[App]],Table2[],3,0),"open")</f>
        <v>ok</v>
      </c>
      <c r="C5162" s="149" t="s">
        <v>369</v>
      </c>
      <c r="D5162" t="s">
        <v>7438</v>
      </c>
      <c r="E5162" t="s">
        <v>7453</v>
      </c>
      <c r="F5162" s="150" t="s">
        <v>7453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6</v>
      </c>
      <c r="R5162" s="178" t="s">
        <v>489</v>
      </c>
      <c r="S5162" s="150"/>
    </row>
    <row r="5163" spans="1:19" hidden="1">
      <c r="A5163" s="149" t="s">
        <v>7425</v>
      </c>
      <c r="B5163" s="150" t="str">
        <f>IFERROR(VLOOKUP(Proc[[#This Row],[App]],Table2[],3,0),"open")</f>
        <v>ok</v>
      </c>
      <c r="C5163" s="149" t="s">
        <v>369</v>
      </c>
      <c r="D5163" t="s">
        <v>7439</v>
      </c>
      <c r="E5163" t="s">
        <v>7338</v>
      </c>
      <c r="F5163" s="150" t="s">
        <v>7338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6</v>
      </c>
      <c r="R5163" s="178" t="s">
        <v>489</v>
      </c>
      <c r="S5163" s="150"/>
    </row>
    <row r="5164" spans="1:19" hidden="1">
      <c r="A5164" s="149" t="s">
        <v>7425</v>
      </c>
      <c r="B5164" s="150" t="str">
        <f>IFERROR(VLOOKUP(Proc[[#This Row],[App]],Table2[],3,0),"open")</f>
        <v>ok</v>
      </c>
      <c r="C5164" s="149" t="s">
        <v>369</v>
      </c>
      <c r="D5164" t="s">
        <v>7440</v>
      </c>
      <c r="E5164" t="s">
        <v>7338</v>
      </c>
      <c r="F5164" s="150" t="s">
        <v>7338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6</v>
      </c>
      <c r="R5164" s="178" t="s">
        <v>489</v>
      </c>
      <c r="S5164" s="150"/>
    </row>
    <row r="5165" spans="1:19" hidden="1">
      <c r="A5165" s="149" t="s">
        <v>7425</v>
      </c>
      <c r="B5165" s="150" t="str">
        <f>IFERROR(VLOOKUP(Proc[[#This Row],[App]],Table2[],3,0),"open")</f>
        <v>ok</v>
      </c>
      <c r="C5165" s="149" t="s">
        <v>369</v>
      </c>
      <c r="D5165" t="s">
        <v>7441</v>
      </c>
      <c r="E5165" t="s">
        <v>7338</v>
      </c>
      <c r="F5165" s="150" t="s">
        <v>7338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6</v>
      </c>
      <c r="R5165" s="178" t="s">
        <v>489</v>
      </c>
      <c r="S5165" s="150"/>
    </row>
    <row r="5166" spans="1:19" hidden="1">
      <c r="A5166" s="149" t="s">
        <v>7425</v>
      </c>
      <c r="B5166" s="150" t="str">
        <f>IFERROR(VLOOKUP(Proc[[#This Row],[App]],Table2[],3,0),"open")</f>
        <v>ok</v>
      </c>
      <c r="C5166" s="149" t="s">
        <v>369</v>
      </c>
      <c r="D5166" t="s">
        <v>7442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6</v>
      </c>
      <c r="R5166" s="178" t="s">
        <v>489</v>
      </c>
      <c r="S5166" s="150"/>
    </row>
    <row r="5167" spans="1:19" hidden="1">
      <c r="A5167" s="149" t="s">
        <v>7425</v>
      </c>
      <c r="B5167" s="150" t="str">
        <f>IFERROR(VLOOKUP(Proc[[#This Row],[App]],Table2[],3,0),"open")</f>
        <v>ok</v>
      </c>
      <c r="C5167" s="149" t="s">
        <v>369</v>
      </c>
      <c r="D5167" t="s">
        <v>7443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6</v>
      </c>
      <c r="R5167" s="178" t="s">
        <v>489</v>
      </c>
      <c r="S5167" s="150"/>
    </row>
    <row r="5168" spans="1:19" hidden="1">
      <c r="A5168" s="149" t="s">
        <v>7425</v>
      </c>
      <c r="B5168" s="150" t="str">
        <f>IFERROR(VLOOKUP(Proc[[#This Row],[App]],Table2[],3,0),"open")</f>
        <v>ok</v>
      </c>
      <c r="C5168" s="149" t="s">
        <v>369</v>
      </c>
      <c r="D5168" t="s">
        <v>7444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6</v>
      </c>
      <c r="R5168" s="178" t="s">
        <v>489</v>
      </c>
      <c r="S5168" s="150"/>
    </row>
    <row r="5169" spans="1:19" hidden="1">
      <c r="A5169" s="149" t="s">
        <v>7425</v>
      </c>
      <c r="B5169" s="150" t="str">
        <f>IFERROR(VLOOKUP(Proc[[#This Row],[App]],Table2[],3,0),"open")</f>
        <v>ok</v>
      </c>
      <c r="C5169" s="149" t="s">
        <v>369</v>
      </c>
      <c r="D5169" t="s">
        <v>7445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6</v>
      </c>
      <c r="R5169" s="178" t="s">
        <v>489</v>
      </c>
      <c r="S5169" s="150"/>
    </row>
    <row r="5170" spans="1:19" hidden="1">
      <c r="A5170" s="149" t="s">
        <v>7425</v>
      </c>
      <c r="B5170" s="150" t="str">
        <f>IFERROR(VLOOKUP(Proc[[#This Row],[App]],Table2[],3,0),"open")</f>
        <v>ok</v>
      </c>
      <c r="C5170" s="149" t="s">
        <v>369</v>
      </c>
      <c r="D5170" t="s">
        <v>7446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6</v>
      </c>
      <c r="R5170" s="178" t="s">
        <v>489</v>
      </c>
      <c r="S5170" s="150"/>
    </row>
    <row r="5171" spans="1:19" hidden="1">
      <c r="A5171" s="149" t="s">
        <v>7425</v>
      </c>
      <c r="B5171" s="150" t="str">
        <f>IFERROR(VLOOKUP(Proc[[#This Row],[App]],Table2[],3,0),"open")</f>
        <v>ok</v>
      </c>
      <c r="C5171" s="149" t="s">
        <v>369</v>
      </c>
      <c r="D5171" t="s">
        <v>7447</v>
      </c>
      <c r="E5171" t="s">
        <v>7454</v>
      </c>
      <c r="F5171" s="150" t="s">
        <v>7454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6</v>
      </c>
      <c r="R5171" s="178" t="s">
        <v>489</v>
      </c>
      <c r="S5171" s="150"/>
    </row>
    <row r="5172" spans="1:19" hidden="1">
      <c r="A5172" s="149" t="s">
        <v>7425</v>
      </c>
      <c r="B5172" s="150" t="str">
        <f>IFERROR(VLOOKUP(Proc[[#This Row],[App]],Table2[],3,0),"open")</f>
        <v>ok</v>
      </c>
      <c r="C5172" s="149" t="s">
        <v>369</v>
      </c>
      <c r="D5172" t="s">
        <v>7448</v>
      </c>
      <c r="E5172" t="s">
        <v>7350</v>
      </c>
      <c r="F5172" s="150" t="s">
        <v>7350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6</v>
      </c>
      <c r="R5172" s="178" t="s">
        <v>489</v>
      </c>
      <c r="S5172" s="150"/>
    </row>
    <row r="5173" spans="1:19" hidden="1">
      <c r="A5173" s="149" t="s">
        <v>7425</v>
      </c>
      <c r="B5173" s="150" t="str">
        <f>IFERROR(VLOOKUP(Proc[[#This Row],[App]],Table2[],3,0),"open")</f>
        <v>ok</v>
      </c>
      <c r="C5173" s="149" t="s">
        <v>369</v>
      </c>
      <c r="D5173" t="s">
        <v>7449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6</v>
      </c>
      <c r="R5173" s="178" t="s">
        <v>489</v>
      </c>
      <c r="S5173" s="150"/>
    </row>
    <row r="5174" spans="1:19" hidden="1">
      <c r="A5174" t="s">
        <v>7455</v>
      </c>
      <c r="B5174" s="150" t="str">
        <f>IFERROR(VLOOKUP(Proc[[#This Row],[App]],Table2[],3,0),"open")</f>
        <v>ok</v>
      </c>
      <c r="C5174" s="149" t="s">
        <v>369</v>
      </c>
      <c r="D5174" s="99" t="s">
        <v>7456</v>
      </c>
      <c r="E5174" t="s">
        <v>7457</v>
      </c>
      <c r="F5174" s="150" t="s">
        <v>7457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6</v>
      </c>
      <c r="R5174" s="178" t="s">
        <v>489</v>
      </c>
      <c r="S5174" s="150"/>
    </row>
    <row r="5175" spans="1:19" hidden="1">
      <c r="A5175" t="s">
        <v>7458</v>
      </c>
      <c r="B5175" s="150" t="str">
        <f>IFERROR(VLOOKUP(Proc[[#This Row],[App]],Table2[],3,0),"open")</f>
        <v>ok</v>
      </c>
      <c r="C5175" s="149" t="s">
        <v>369</v>
      </c>
      <c r="D5175" t="s">
        <v>7459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7531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6</v>
      </c>
      <c r="R5175" s="178" t="s">
        <v>489</v>
      </c>
      <c r="S5175" s="150"/>
    </row>
    <row r="5176" spans="1:19" hidden="1">
      <c r="A5176" s="149" t="s">
        <v>7458</v>
      </c>
      <c r="B5176" s="150" t="str">
        <f>IFERROR(VLOOKUP(Proc[[#This Row],[App]],Table2[],3,0),"open")</f>
        <v>ok</v>
      </c>
      <c r="C5176" s="149" t="s">
        <v>369</v>
      </c>
      <c r="D5176" t="s">
        <v>7460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6</v>
      </c>
      <c r="R5176" s="178" t="s">
        <v>489</v>
      </c>
      <c r="S5176" s="150"/>
    </row>
    <row r="5177" spans="1:19" hidden="1">
      <c r="A5177" s="149" t="s">
        <v>7458</v>
      </c>
      <c r="B5177" s="150" t="str">
        <f>IFERROR(VLOOKUP(Proc[[#This Row],[App]],Table2[],3,0),"open")</f>
        <v>ok</v>
      </c>
      <c r="C5177" s="149" t="s">
        <v>369</v>
      </c>
      <c r="D5177" t="s">
        <v>7461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6</v>
      </c>
      <c r="R5177" s="178" t="s">
        <v>489</v>
      </c>
      <c r="S5177" s="150"/>
    </row>
    <row r="5178" spans="1:19" hidden="1">
      <c r="A5178" s="149" t="s">
        <v>7458</v>
      </c>
      <c r="B5178" s="150" t="str">
        <f>IFERROR(VLOOKUP(Proc[[#This Row],[App]],Table2[],3,0),"open")</f>
        <v>ok</v>
      </c>
      <c r="C5178" s="149" t="s">
        <v>369</v>
      </c>
      <c r="D5178" t="s">
        <v>7462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6</v>
      </c>
      <c r="R5178" s="178" t="s">
        <v>489</v>
      </c>
      <c r="S5178" s="150"/>
    </row>
    <row r="5179" spans="1:19" hidden="1">
      <c r="A5179" s="149" t="s">
        <v>7458</v>
      </c>
      <c r="B5179" s="150" t="str">
        <f>IFERROR(VLOOKUP(Proc[[#This Row],[App]],Table2[],3,0),"open")</f>
        <v>ok</v>
      </c>
      <c r="C5179" s="149" t="s">
        <v>369</v>
      </c>
      <c r="D5179" t="s">
        <v>7463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6</v>
      </c>
      <c r="R5179" s="178" t="s">
        <v>489</v>
      </c>
      <c r="S5179" s="150"/>
    </row>
    <row r="5180" spans="1:19" hidden="1">
      <c r="A5180" s="149" t="s">
        <v>7458</v>
      </c>
      <c r="B5180" s="150" t="str">
        <f>IFERROR(VLOOKUP(Proc[[#This Row],[App]],Table2[],3,0),"open")</f>
        <v>ok</v>
      </c>
      <c r="C5180" s="149" t="s">
        <v>369</v>
      </c>
      <c r="D5180" t="s">
        <v>7464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6</v>
      </c>
      <c r="R5180" s="178" t="s">
        <v>489</v>
      </c>
      <c r="S5180" s="150"/>
    </row>
    <row r="5181" spans="1:19" hidden="1">
      <c r="A5181" s="149" t="s">
        <v>7458</v>
      </c>
      <c r="B5181" s="150" t="str">
        <f>IFERROR(VLOOKUP(Proc[[#This Row],[App]],Table2[],3,0),"open")</f>
        <v>ok</v>
      </c>
      <c r="C5181" s="149" t="s">
        <v>369</v>
      </c>
      <c r="D5181" t="s">
        <v>7465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6</v>
      </c>
      <c r="R5181" s="178" t="s">
        <v>489</v>
      </c>
      <c r="S5181" s="150"/>
    </row>
    <row r="5182" spans="1:19" hidden="1">
      <c r="A5182" s="149" t="s">
        <v>7458</v>
      </c>
      <c r="B5182" s="150" t="str">
        <f>IFERROR(VLOOKUP(Proc[[#This Row],[App]],Table2[],3,0),"open")</f>
        <v>ok</v>
      </c>
      <c r="C5182" s="149" t="s">
        <v>369</v>
      </c>
      <c r="D5182" t="s">
        <v>7466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6</v>
      </c>
      <c r="R5182" s="178" t="s">
        <v>489</v>
      </c>
      <c r="S5182" s="150"/>
    </row>
    <row r="5183" spans="1:19" hidden="1">
      <c r="A5183" s="149" t="s">
        <v>7458</v>
      </c>
      <c r="B5183" s="150" t="str">
        <f>IFERROR(VLOOKUP(Proc[[#This Row],[App]],Table2[],3,0),"open")</f>
        <v>ok</v>
      </c>
      <c r="C5183" s="149" t="s">
        <v>369</v>
      </c>
      <c r="D5183" t="s">
        <v>7467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6</v>
      </c>
      <c r="R5183" s="178" t="s">
        <v>489</v>
      </c>
      <c r="S5183" s="150"/>
    </row>
    <row r="5184" spans="1:19" hidden="1">
      <c r="A5184" s="149" t="s">
        <v>7458</v>
      </c>
      <c r="B5184" s="150" t="str">
        <f>IFERROR(VLOOKUP(Proc[[#This Row],[App]],Table2[],3,0),"open")</f>
        <v>ok</v>
      </c>
      <c r="C5184" s="149" t="s">
        <v>369</v>
      </c>
      <c r="D5184" t="s">
        <v>7468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6</v>
      </c>
      <c r="R5184" s="178" t="s">
        <v>489</v>
      </c>
      <c r="S5184" s="150"/>
    </row>
    <row r="5185" spans="1:19" hidden="1">
      <c r="A5185" s="149" t="s">
        <v>7458</v>
      </c>
      <c r="B5185" s="150" t="str">
        <f>IFERROR(VLOOKUP(Proc[[#This Row],[App]],Table2[],3,0),"open")</f>
        <v>ok</v>
      </c>
      <c r="C5185" s="149" t="s">
        <v>369</v>
      </c>
      <c r="D5185" t="s">
        <v>7469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6</v>
      </c>
      <c r="R5185" s="178" t="s">
        <v>489</v>
      </c>
      <c r="S5185" s="150"/>
    </row>
    <row r="5186" spans="1:19" hidden="1">
      <c r="A5186" s="149" t="s">
        <v>7458</v>
      </c>
      <c r="B5186" s="150" t="str">
        <f>IFERROR(VLOOKUP(Proc[[#This Row],[App]],Table2[],3,0),"open")</f>
        <v>ok</v>
      </c>
      <c r="C5186" s="149" t="s">
        <v>369</v>
      </c>
      <c r="D5186" t="s">
        <v>7470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6</v>
      </c>
      <c r="R5186" s="178" t="s">
        <v>489</v>
      </c>
      <c r="S5186" s="150"/>
    </row>
    <row r="5187" spans="1:19" hidden="1">
      <c r="A5187" s="149" t="s">
        <v>7458</v>
      </c>
      <c r="B5187" s="150" t="str">
        <f>IFERROR(VLOOKUP(Proc[[#This Row],[App]],Table2[],3,0),"open")</f>
        <v>ok</v>
      </c>
      <c r="C5187" s="149" t="s">
        <v>369</v>
      </c>
      <c r="D5187" t="s">
        <v>7471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6</v>
      </c>
      <c r="R5187" s="178" t="s">
        <v>489</v>
      </c>
      <c r="S5187" s="150"/>
    </row>
    <row r="5188" spans="1:19" hidden="1">
      <c r="A5188" s="149" t="s">
        <v>7458</v>
      </c>
      <c r="B5188" s="150" t="str">
        <f>IFERROR(VLOOKUP(Proc[[#This Row],[App]],Table2[],3,0),"open")</f>
        <v>ok</v>
      </c>
      <c r="C5188" s="149" t="s">
        <v>369</v>
      </c>
      <c r="D5188" t="s">
        <v>7472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6</v>
      </c>
      <c r="R5188" s="178" t="s">
        <v>489</v>
      </c>
      <c r="S5188" s="150"/>
    </row>
    <row r="5189" spans="1:19" hidden="1">
      <c r="A5189" s="149" t="s">
        <v>7458</v>
      </c>
      <c r="B5189" s="150" t="str">
        <f>IFERROR(VLOOKUP(Proc[[#This Row],[App]],Table2[],3,0),"open")</f>
        <v>ok</v>
      </c>
      <c r="C5189" s="149" t="s">
        <v>369</v>
      </c>
      <c r="D5189" t="s">
        <v>7473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6</v>
      </c>
      <c r="R5189" s="178" t="s">
        <v>489</v>
      </c>
      <c r="S5189" s="150"/>
    </row>
    <row r="5190" spans="1:19" hidden="1">
      <c r="A5190" s="149" t="s">
        <v>7458</v>
      </c>
      <c r="B5190" s="150" t="str">
        <f>IFERROR(VLOOKUP(Proc[[#This Row],[App]],Table2[],3,0),"open")</f>
        <v>ok</v>
      </c>
      <c r="C5190" s="149" t="s">
        <v>369</v>
      </c>
      <c r="D5190" t="s">
        <v>7474</v>
      </c>
      <c r="E5190" t="s">
        <v>7475</v>
      </c>
      <c r="F5190" s="150" t="s">
        <v>7475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6</v>
      </c>
      <c r="R5190" s="178" t="s">
        <v>489</v>
      </c>
      <c r="S5190" s="150"/>
    </row>
    <row r="5191" spans="1:19" hidden="1">
      <c r="A5191" t="s">
        <v>7476</v>
      </c>
      <c r="B5191" s="150" t="str">
        <f>IFERROR(VLOOKUP(Proc[[#This Row],[App]],Table2[],3,0),"open")</f>
        <v>open</v>
      </c>
      <c r="C5191" s="149" t="s">
        <v>369</v>
      </c>
      <c r="D5191" t="s">
        <v>7477</v>
      </c>
      <c r="E5191" t="s">
        <v>7350</v>
      </c>
      <c r="F5191" s="150" t="s">
        <v>7350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6</v>
      </c>
      <c r="R5191" s="178" t="s">
        <v>489</v>
      </c>
      <c r="S5191" s="150"/>
    </row>
    <row r="5192" spans="1:19">
      <c r="A5192" s="149" t="s">
        <v>7476</v>
      </c>
      <c r="B5192" s="150" t="str">
        <f>IFERROR(VLOOKUP(Proc[[#This Row],[App]],Table2[],3,0),"open")</f>
        <v>open</v>
      </c>
      <c r="C5192" s="149" t="s">
        <v>370</v>
      </c>
      <c r="D5192" t="s">
        <v>7478</v>
      </c>
      <c r="E5192" t="s">
        <v>7350</v>
      </c>
      <c r="F5192" s="150" t="s">
        <v>7450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7531</v>
      </c>
      <c r="J5192" s="150" t="b">
        <f>Proc[[#This Row],[Requested]]=Proc[[#This Row],[CurrentParent]]</f>
        <v>0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6</v>
      </c>
      <c r="R5192" s="178" t="s">
        <v>489</v>
      </c>
      <c r="S5192" s="150"/>
    </row>
    <row r="5193" spans="1:19" hidden="1">
      <c r="A5193" s="149" t="s">
        <v>7476</v>
      </c>
      <c r="B5193" s="150" t="str">
        <f>IFERROR(VLOOKUP(Proc[[#This Row],[App]],Table2[],3,0),"open")</f>
        <v>open</v>
      </c>
      <c r="C5193" s="149" t="s">
        <v>369</v>
      </c>
      <c r="D5193" t="s">
        <v>7456</v>
      </c>
      <c r="E5193" t="s">
        <v>7457</v>
      </c>
      <c r="F5193" s="150" t="s">
        <v>7457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6</v>
      </c>
      <c r="R5193" s="178" t="s">
        <v>489</v>
      </c>
      <c r="S5193" s="150"/>
    </row>
    <row r="5194" spans="1:19" hidden="1">
      <c r="A5194" s="149" t="s">
        <v>7476</v>
      </c>
      <c r="B5194" s="150" t="str">
        <f>IFERROR(VLOOKUP(Proc[[#This Row],[App]],Table2[],3,0),"open")</f>
        <v>open</v>
      </c>
      <c r="C5194" s="149" t="s">
        <v>369</v>
      </c>
      <c r="D5194" t="s">
        <v>7479</v>
      </c>
      <c r="E5194" t="s">
        <v>7507</v>
      </c>
      <c r="F5194" s="150" t="s">
        <v>7507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6</v>
      </c>
      <c r="R5194" s="178" t="s">
        <v>489</v>
      </c>
      <c r="S5194" s="150"/>
    </row>
    <row r="5195" spans="1:19" hidden="1">
      <c r="A5195" s="149" t="s">
        <v>7476</v>
      </c>
      <c r="B5195" s="150" t="str">
        <f>IFERROR(VLOOKUP(Proc[[#This Row],[App]],Table2[],3,0),"open")</f>
        <v>open</v>
      </c>
      <c r="C5195" s="149" t="s">
        <v>369</v>
      </c>
      <c r="D5195" t="s">
        <v>7480</v>
      </c>
      <c r="E5195" t="s">
        <v>7391</v>
      </c>
      <c r="F5195" s="150" t="s">
        <v>7391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6</v>
      </c>
      <c r="R5195" s="178" t="s">
        <v>489</v>
      </c>
      <c r="S5195" s="150"/>
    </row>
    <row r="5196" spans="1:19" hidden="1">
      <c r="A5196" s="149" t="s">
        <v>7476</v>
      </c>
      <c r="B5196" s="150" t="str">
        <f>IFERROR(VLOOKUP(Proc[[#This Row],[App]],Table2[],3,0),"open")</f>
        <v>open</v>
      </c>
      <c r="C5196" s="149" t="s">
        <v>369</v>
      </c>
      <c r="D5196" t="s">
        <v>7481</v>
      </c>
      <c r="E5196" t="s">
        <v>7391</v>
      </c>
      <c r="F5196" s="150" t="s">
        <v>7391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6</v>
      </c>
      <c r="R5196" s="178" t="s">
        <v>489</v>
      </c>
      <c r="S5196" s="150"/>
    </row>
    <row r="5197" spans="1:19" hidden="1">
      <c r="A5197" s="149" t="s">
        <v>7476</v>
      </c>
      <c r="B5197" s="150" t="str">
        <f>IFERROR(VLOOKUP(Proc[[#This Row],[App]],Table2[],3,0),"open")</f>
        <v>open</v>
      </c>
      <c r="C5197" s="149" t="s">
        <v>369</v>
      </c>
      <c r="D5197" t="s">
        <v>7482</v>
      </c>
      <c r="E5197" t="s">
        <v>7391</v>
      </c>
      <c r="F5197" s="150" t="s">
        <v>7391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6</v>
      </c>
      <c r="R5197" s="178" t="s">
        <v>489</v>
      </c>
      <c r="S5197" s="150"/>
    </row>
    <row r="5198" spans="1:19">
      <c r="A5198" s="149" t="s">
        <v>7476</v>
      </c>
      <c r="B5198" s="150" t="str">
        <f>IFERROR(VLOOKUP(Proc[[#This Row],[App]],Table2[],3,0),"open")</f>
        <v>open</v>
      </c>
      <c r="C5198" s="149" t="s">
        <v>370</v>
      </c>
      <c r="D5198" t="s">
        <v>7483</v>
      </c>
      <c r="E5198" t="s">
        <v>7391</v>
      </c>
      <c r="F5198" s="150" t="s">
        <v>7539</v>
      </c>
      <c r="G5198" s="149" t="s">
        <v>400</v>
      </c>
      <c r="H5198" s="150" t="str">
        <f>IF(Proc[[#This Row],[type]]="LFF (MDG-F)",MID(Proc[[#This Row],[Obj]],13,10),"")</f>
        <v/>
      </c>
      <c r="I5198" t="s">
        <v>7541</v>
      </c>
      <c r="J5198" s="150" t="b">
        <f>Proc[[#This Row],[Requested]]=Proc[[#This Row],[CurrentParent]]</f>
        <v>0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6</v>
      </c>
      <c r="R5198" s="178" t="s">
        <v>489</v>
      </c>
      <c r="S5198" s="150"/>
    </row>
    <row r="5199" spans="1:19">
      <c r="A5199" s="149" t="s">
        <v>7476</v>
      </c>
      <c r="B5199" s="150" t="str">
        <f>IFERROR(VLOOKUP(Proc[[#This Row],[App]],Table2[],3,0),"open")</f>
        <v>open</v>
      </c>
      <c r="C5199" s="149" t="s">
        <v>370</v>
      </c>
      <c r="D5199" t="s">
        <v>7484</v>
      </c>
      <c r="E5199" t="s">
        <v>7391</v>
      </c>
      <c r="F5199" s="150" t="s">
        <v>7523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7541</v>
      </c>
      <c r="J5199" s="150" t="b">
        <f>Proc[[#This Row],[Requested]]=Proc[[#This Row],[CurrentParent]]</f>
        <v>0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6</v>
      </c>
      <c r="R5199" s="178" t="s">
        <v>489</v>
      </c>
      <c r="S5199" s="150"/>
    </row>
    <row r="5200" spans="1:19" hidden="1">
      <c r="A5200" s="149" t="s">
        <v>7476</v>
      </c>
      <c r="B5200" s="150" t="str">
        <f>IFERROR(VLOOKUP(Proc[[#This Row],[App]],Table2[],3,0),"open")</f>
        <v>open</v>
      </c>
      <c r="C5200" s="149" t="s">
        <v>369</v>
      </c>
      <c r="D5200" t="s">
        <v>7485</v>
      </c>
      <c r="E5200" t="s">
        <v>7391</v>
      </c>
      <c r="F5200" s="150" t="s">
        <v>7391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6</v>
      </c>
      <c r="R5200" s="178" t="s">
        <v>489</v>
      </c>
      <c r="S5200" s="150"/>
    </row>
    <row r="5201" spans="1:19" hidden="1">
      <c r="A5201" s="149" t="s">
        <v>7476</v>
      </c>
      <c r="B5201" s="150" t="str">
        <f>IFERROR(VLOOKUP(Proc[[#This Row],[App]],Table2[],3,0),"open")</f>
        <v>open</v>
      </c>
      <c r="C5201" s="149" t="s">
        <v>369</v>
      </c>
      <c r="D5201" t="s">
        <v>7486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6</v>
      </c>
      <c r="R5201" s="178" t="s">
        <v>489</v>
      </c>
      <c r="S5201" s="150"/>
    </row>
    <row r="5202" spans="1:19" hidden="1">
      <c r="A5202" s="149" t="s">
        <v>7476</v>
      </c>
      <c r="B5202" s="150" t="str">
        <f>IFERROR(VLOOKUP(Proc[[#This Row],[App]],Table2[],3,0),"open")</f>
        <v>open</v>
      </c>
      <c r="C5202" s="149" t="s">
        <v>369</v>
      </c>
      <c r="D5202" t="s">
        <v>7487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6</v>
      </c>
      <c r="R5202" s="178" t="s">
        <v>489</v>
      </c>
      <c r="S5202" s="150"/>
    </row>
    <row r="5203" spans="1:19" hidden="1">
      <c r="A5203" s="149" t="s">
        <v>7476</v>
      </c>
      <c r="B5203" s="150" t="str">
        <f>IFERROR(VLOOKUP(Proc[[#This Row],[App]],Table2[],3,0),"open")</f>
        <v>open</v>
      </c>
      <c r="C5203" s="149" t="s">
        <v>369</v>
      </c>
      <c r="D5203" t="s">
        <v>7488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6</v>
      </c>
      <c r="R5203" s="178" t="s">
        <v>489</v>
      </c>
      <c r="S5203" s="150"/>
    </row>
    <row r="5204" spans="1:19" hidden="1">
      <c r="A5204" s="149" t="s">
        <v>7476</v>
      </c>
      <c r="B5204" s="150" t="str">
        <f>IFERROR(VLOOKUP(Proc[[#This Row],[App]],Table2[],3,0),"open")</f>
        <v>open</v>
      </c>
      <c r="C5204" s="149" t="s">
        <v>369</v>
      </c>
      <c r="D5204" t="s">
        <v>7489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6</v>
      </c>
      <c r="R5204" s="178" t="s">
        <v>489</v>
      </c>
      <c r="S5204" s="150"/>
    </row>
    <row r="5205" spans="1:19" hidden="1">
      <c r="A5205" s="149" t="s">
        <v>7476</v>
      </c>
      <c r="B5205" s="150" t="str">
        <f>IFERROR(VLOOKUP(Proc[[#This Row],[App]],Table2[],3,0),"open")</f>
        <v>open</v>
      </c>
      <c r="C5205" s="149" t="s">
        <v>369</v>
      </c>
      <c r="D5205" t="s">
        <v>7490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6</v>
      </c>
      <c r="R5205" s="178" t="s">
        <v>489</v>
      </c>
      <c r="S5205" s="150"/>
    </row>
    <row r="5206" spans="1:19" hidden="1">
      <c r="A5206" s="149" t="s">
        <v>7476</v>
      </c>
      <c r="B5206" s="150" t="str">
        <f>IFERROR(VLOOKUP(Proc[[#This Row],[App]],Table2[],3,0),"open")</f>
        <v>open</v>
      </c>
      <c r="C5206" s="149" t="s">
        <v>369</v>
      </c>
      <c r="D5206" t="s">
        <v>7491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6</v>
      </c>
      <c r="R5206" s="178" t="s">
        <v>489</v>
      </c>
      <c r="S5206" s="150"/>
    </row>
    <row r="5207" spans="1:19" hidden="1">
      <c r="A5207" s="149" t="s">
        <v>7476</v>
      </c>
      <c r="B5207" s="150" t="str">
        <f>IFERROR(VLOOKUP(Proc[[#This Row],[App]],Table2[],3,0),"open")</f>
        <v>open</v>
      </c>
      <c r="C5207" s="149" t="s">
        <v>369</v>
      </c>
      <c r="D5207" t="s">
        <v>7492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6</v>
      </c>
      <c r="R5207" s="178" t="s">
        <v>489</v>
      </c>
      <c r="S5207" s="150"/>
    </row>
    <row r="5208" spans="1:19" hidden="1">
      <c r="A5208" s="149" t="s">
        <v>7476</v>
      </c>
      <c r="B5208" s="150" t="str">
        <f>IFERROR(VLOOKUP(Proc[[#This Row],[App]],Table2[],3,0),"open")</f>
        <v>open</v>
      </c>
      <c r="C5208" s="149" t="s">
        <v>369</v>
      </c>
      <c r="D5208" t="s">
        <v>7493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6</v>
      </c>
      <c r="R5208" s="178" t="s">
        <v>489</v>
      </c>
      <c r="S5208" s="150"/>
    </row>
    <row r="5209" spans="1:19" hidden="1">
      <c r="A5209" s="149" t="s">
        <v>7476</v>
      </c>
      <c r="B5209" s="150" t="str">
        <f>IFERROR(VLOOKUP(Proc[[#This Row],[App]],Table2[],3,0),"open")</f>
        <v>open</v>
      </c>
      <c r="C5209" s="149" t="s">
        <v>369</v>
      </c>
      <c r="D5209" t="s">
        <v>7494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6</v>
      </c>
      <c r="R5209" s="178" t="s">
        <v>489</v>
      </c>
      <c r="S5209" s="150"/>
    </row>
    <row r="5210" spans="1:19" hidden="1">
      <c r="A5210" s="149" t="s">
        <v>7476</v>
      </c>
      <c r="B5210" s="150" t="str">
        <f>IFERROR(VLOOKUP(Proc[[#This Row],[App]],Table2[],3,0),"open")</f>
        <v>open</v>
      </c>
      <c r="C5210" s="149" t="s">
        <v>369</v>
      </c>
      <c r="D5210" t="s">
        <v>7495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6</v>
      </c>
      <c r="R5210" s="178" t="s">
        <v>489</v>
      </c>
      <c r="S5210" s="150"/>
    </row>
    <row r="5211" spans="1:19" hidden="1">
      <c r="A5211" s="149" t="s">
        <v>7476</v>
      </c>
      <c r="B5211" s="150" t="str">
        <f>IFERROR(VLOOKUP(Proc[[#This Row],[App]],Table2[],3,0),"open")</f>
        <v>open</v>
      </c>
      <c r="C5211" s="149" t="s">
        <v>369</v>
      </c>
      <c r="D5211" t="s">
        <v>7496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6</v>
      </c>
      <c r="R5211" s="178" t="s">
        <v>489</v>
      </c>
      <c r="S5211" s="150"/>
    </row>
    <row r="5212" spans="1:19" hidden="1">
      <c r="A5212" s="149" t="s">
        <v>7476</v>
      </c>
      <c r="B5212" s="150" t="str">
        <f>IFERROR(VLOOKUP(Proc[[#This Row],[App]],Table2[],3,0),"open")</f>
        <v>open</v>
      </c>
      <c r="C5212" s="149" t="s">
        <v>369</v>
      </c>
      <c r="D5212" t="s">
        <v>7497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6</v>
      </c>
      <c r="R5212" s="178" t="s">
        <v>489</v>
      </c>
      <c r="S5212" s="150"/>
    </row>
    <row r="5213" spans="1:19" hidden="1">
      <c r="A5213" s="149" t="s">
        <v>7476</v>
      </c>
      <c r="B5213" s="150" t="str">
        <f>IFERROR(VLOOKUP(Proc[[#This Row],[App]],Table2[],3,0),"open")</f>
        <v>open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6</v>
      </c>
      <c r="R5213" s="178" t="s">
        <v>489</v>
      </c>
      <c r="S5213" s="150"/>
    </row>
    <row r="5214" spans="1:19" hidden="1">
      <c r="A5214" s="149" t="s">
        <v>7476</v>
      </c>
      <c r="B5214" s="150" t="str">
        <f>IFERROR(VLOOKUP(Proc[[#This Row],[App]],Table2[],3,0),"open")</f>
        <v>open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6</v>
      </c>
      <c r="R5214" s="178" t="s">
        <v>489</v>
      </c>
      <c r="S5214" s="150"/>
    </row>
    <row r="5215" spans="1:19" hidden="1">
      <c r="A5215" s="149" t="s">
        <v>7476</v>
      </c>
      <c r="B5215" s="150" t="str">
        <f>IFERROR(VLOOKUP(Proc[[#This Row],[App]],Table2[],3,0),"open")</f>
        <v>open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6</v>
      </c>
      <c r="R5215" s="178" t="s">
        <v>489</v>
      </c>
      <c r="S5215" s="150"/>
    </row>
    <row r="5216" spans="1:19" hidden="1">
      <c r="A5216" s="149" t="s">
        <v>7476</v>
      </c>
      <c r="B5216" s="150" t="str">
        <f>IFERROR(VLOOKUP(Proc[[#This Row],[App]],Table2[],3,0),"open")</f>
        <v>open</v>
      </c>
      <c r="C5216" s="149" t="s">
        <v>369</v>
      </c>
      <c r="D5216" t="s">
        <v>7498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6</v>
      </c>
      <c r="R5216" s="178" t="s">
        <v>489</v>
      </c>
      <c r="S5216" s="150"/>
    </row>
    <row r="5217" spans="1:19" hidden="1">
      <c r="A5217" s="149" t="s">
        <v>7476</v>
      </c>
      <c r="B5217" s="150" t="str">
        <f>IFERROR(VLOOKUP(Proc[[#This Row],[App]],Table2[],3,0),"open")</f>
        <v>open</v>
      </c>
      <c r="C5217" s="149" t="s">
        <v>369</v>
      </c>
      <c r="D5217" t="s">
        <v>7499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6</v>
      </c>
      <c r="R5217" s="178" t="s">
        <v>489</v>
      </c>
      <c r="S5217" s="150"/>
    </row>
    <row r="5218" spans="1:19" hidden="1">
      <c r="A5218" s="149" t="s">
        <v>7476</v>
      </c>
      <c r="B5218" s="150" t="str">
        <f>IFERROR(VLOOKUP(Proc[[#This Row],[App]],Table2[],3,0),"open")</f>
        <v>open</v>
      </c>
      <c r="C5218" s="149" t="s">
        <v>369</v>
      </c>
      <c r="D5218" t="s">
        <v>7500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6</v>
      </c>
      <c r="R5218" s="178" t="s">
        <v>489</v>
      </c>
      <c r="S5218" s="150"/>
    </row>
    <row r="5219" spans="1:19" hidden="1">
      <c r="A5219" s="149" t="s">
        <v>7476</v>
      </c>
      <c r="B5219" s="150" t="str">
        <f>IFERROR(VLOOKUP(Proc[[#This Row],[App]],Table2[],3,0),"open")</f>
        <v>open</v>
      </c>
      <c r="C5219" s="149" t="s">
        <v>369</v>
      </c>
      <c r="D5219" t="s">
        <v>7501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6</v>
      </c>
      <c r="R5219" s="178" t="s">
        <v>489</v>
      </c>
      <c r="S5219" s="150"/>
    </row>
    <row r="5220" spans="1:19" hidden="1">
      <c r="A5220" s="149" t="s">
        <v>7476</v>
      </c>
      <c r="B5220" s="150" t="str">
        <f>IFERROR(VLOOKUP(Proc[[#This Row],[App]],Table2[],3,0),"open")</f>
        <v>open</v>
      </c>
      <c r="C5220" s="149" t="s">
        <v>369</v>
      </c>
      <c r="D5220" t="s">
        <v>7502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6</v>
      </c>
      <c r="R5220" s="178" t="s">
        <v>489</v>
      </c>
      <c r="S5220" s="150"/>
    </row>
    <row r="5221" spans="1:19" hidden="1">
      <c r="A5221" s="149" t="s">
        <v>7476</v>
      </c>
      <c r="B5221" s="150" t="str">
        <f>IFERROR(VLOOKUP(Proc[[#This Row],[App]],Table2[],3,0),"open")</f>
        <v>open</v>
      </c>
      <c r="C5221" s="149" t="s">
        <v>369</v>
      </c>
      <c r="D5221" t="s">
        <v>7503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6</v>
      </c>
      <c r="R5221" s="178" t="s">
        <v>489</v>
      </c>
      <c r="S5221" s="150"/>
    </row>
    <row r="5222" spans="1:19" hidden="1">
      <c r="A5222" s="149" t="s">
        <v>7476</v>
      </c>
      <c r="B5222" s="150" t="str">
        <f>IFERROR(VLOOKUP(Proc[[#This Row],[App]],Table2[],3,0),"open")</f>
        <v>open</v>
      </c>
      <c r="C5222" s="149" t="s">
        <v>369</v>
      </c>
      <c r="D5222" t="s">
        <v>7504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6</v>
      </c>
      <c r="R5222" s="178" t="s">
        <v>489</v>
      </c>
      <c r="S5222" s="150"/>
    </row>
    <row r="5223" spans="1:19" hidden="1">
      <c r="A5223" s="149" t="s">
        <v>7476</v>
      </c>
      <c r="B5223" s="150" t="str">
        <f>IFERROR(VLOOKUP(Proc[[#This Row],[App]],Table2[],3,0),"open")</f>
        <v>open</v>
      </c>
      <c r="C5223" s="149" t="s">
        <v>369</v>
      </c>
      <c r="D5223" t="s">
        <v>7505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6</v>
      </c>
      <c r="R5223" s="178" t="s">
        <v>489</v>
      </c>
      <c r="S5223" s="150"/>
    </row>
    <row r="5224" spans="1:19">
      <c r="A5224" s="149" t="s">
        <v>7476</v>
      </c>
      <c r="B5224" s="150" t="str">
        <f>IFERROR(VLOOKUP(Proc[[#This Row],[App]],Table2[],3,0),"open")</f>
        <v>open</v>
      </c>
      <c r="C5224" s="149" t="s">
        <v>370</v>
      </c>
      <c r="D5224" t="s">
        <v>7506</v>
      </c>
      <c r="E5224" t="s">
        <v>7475</v>
      </c>
      <c r="F5224" s="150" t="s">
        <v>7540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7541</v>
      </c>
      <c r="J5224" s="150" t="b">
        <f>Proc[[#This Row],[Requested]]=Proc[[#This Row],[CurrentParent]]</f>
        <v>0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6</v>
      </c>
      <c r="R5224" s="178" t="s">
        <v>489</v>
      </c>
      <c r="S5224" s="150"/>
    </row>
    <row r="5225" spans="1:19">
      <c r="A5225" t="s">
        <v>7519</v>
      </c>
      <c r="B5225" s="150" t="str">
        <f>IFERROR(VLOOKUP(Proc[[#This Row],[App]],Table2[],3,0),"open")</f>
        <v>open</v>
      </c>
      <c r="C5225" s="149" t="s">
        <v>370</v>
      </c>
      <c r="D5225" t="s">
        <v>7508</v>
      </c>
      <c r="E5225" t="s">
        <v>631</v>
      </c>
      <c r="F5225" s="150" t="s">
        <v>7525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7531</v>
      </c>
      <c r="J5225" s="150" t="b">
        <f>Proc[[#This Row],[Requested]]=Proc[[#This Row],[CurrentParent]]</f>
        <v>0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6</v>
      </c>
      <c r="R5225" s="178" t="s">
        <v>7193</v>
      </c>
      <c r="S5225" s="150"/>
    </row>
    <row r="5226" spans="1:19">
      <c r="A5226" s="149" t="s">
        <v>7519</v>
      </c>
      <c r="B5226" s="150" t="str">
        <f>IFERROR(VLOOKUP(Proc[[#This Row],[App]],Table2[],3,0),"open")</f>
        <v>open</v>
      </c>
      <c r="C5226" s="149" t="s">
        <v>370</v>
      </c>
      <c r="D5226" t="s">
        <v>7509</v>
      </c>
      <c r="E5226" t="s">
        <v>631</v>
      </c>
      <c r="F5226" s="150" t="s">
        <v>7525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7531</v>
      </c>
      <c r="J5226" s="150" t="b">
        <f>Proc[[#This Row],[Requested]]=Proc[[#This Row],[CurrentParent]]</f>
        <v>0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6</v>
      </c>
      <c r="R5226" s="178" t="s">
        <v>7193</v>
      </c>
      <c r="S5226" s="150"/>
    </row>
    <row r="5227" spans="1:19">
      <c r="A5227" s="149" t="s">
        <v>7519</v>
      </c>
      <c r="B5227" s="150" t="str">
        <f>IFERROR(VLOOKUP(Proc[[#This Row],[App]],Table2[],3,0),"open")</f>
        <v>open</v>
      </c>
      <c r="C5227" s="149" t="s">
        <v>370</v>
      </c>
      <c r="D5227" t="s">
        <v>7510</v>
      </c>
      <c r="E5227" t="s">
        <v>631</v>
      </c>
      <c r="F5227" s="150" t="s">
        <v>7524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7531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6</v>
      </c>
      <c r="R5227" s="178" t="s">
        <v>7193</v>
      </c>
      <c r="S5227" s="150"/>
    </row>
    <row r="5228" spans="1:19">
      <c r="A5228" s="149" t="s">
        <v>7519</v>
      </c>
      <c r="B5228" s="150" t="str">
        <f>IFERROR(VLOOKUP(Proc[[#This Row],[App]],Table2[],3,0),"open")</f>
        <v>open</v>
      </c>
      <c r="C5228" s="149" t="s">
        <v>370</v>
      </c>
      <c r="D5228" t="s">
        <v>7511</v>
      </c>
      <c r="E5228" t="s">
        <v>631</v>
      </c>
      <c r="F5228" s="150" t="s">
        <v>7527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7531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6</v>
      </c>
      <c r="R5228" s="178" t="s">
        <v>7193</v>
      </c>
      <c r="S5228" s="150"/>
    </row>
    <row r="5229" spans="1:19">
      <c r="A5229" s="149" t="s">
        <v>7519</v>
      </c>
      <c r="B5229" s="150" t="str">
        <f>IFERROR(VLOOKUP(Proc[[#This Row],[App]],Table2[],3,0),"open")</f>
        <v>open</v>
      </c>
      <c r="C5229" s="149" t="s">
        <v>370</v>
      </c>
      <c r="D5229" t="s">
        <v>7512</v>
      </c>
      <c r="E5229" t="s">
        <v>631</v>
      </c>
      <c r="F5229" s="150" t="s">
        <v>7527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7531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6</v>
      </c>
      <c r="R5229" s="178" t="s">
        <v>7193</v>
      </c>
      <c r="S5229" s="150"/>
    </row>
    <row r="5230" spans="1:19">
      <c r="A5230" s="149" t="s">
        <v>7519</v>
      </c>
      <c r="B5230" s="150" t="str">
        <f>IFERROR(VLOOKUP(Proc[[#This Row],[App]],Table2[],3,0),"open")</f>
        <v>open</v>
      </c>
      <c r="C5230" s="149" t="s">
        <v>370</v>
      </c>
      <c r="D5230" t="s">
        <v>7513</v>
      </c>
      <c r="E5230" t="s">
        <v>631</v>
      </c>
      <c r="F5230" s="150" t="s">
        <v>7527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7531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6</v>
      </c>
      <c r="R5230" s="178" t="s">
        <v>7193</v>
      </c>
      <c r="S5230" s="150"/>
    </row>
    <row r="5231" spans="1:19">
      <c r="A5231" s="149" t="s">
        <v>7519</v>
      </c>
      <c r="B5231" s="150" t="str">
        <f>IFERROR(VLOOKUP(Proc[[#This Row],[App]],Table2[],3,0),"open")</f>
        <v>open</v>
      </c>
      <c r="C5231" s="149" t="s">
        <v>370</v>
      </c>
      <c r="D5231" t="s">
        <v>7514</v>
      </c>
      <c r="E5231" t="s">
        <v>631</v>
      </c>
      <c r="F5231" s="150" t="s">
        <v>7527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7531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6</v>
      </c>
      <c r="R5231" s="178" t="s">
        <v>7193</v>
      </c>
      <c r="S5231" s="150"/>
    </row>
    <row r="5232" spans="1:19">
      <c r="A5232" s="149" t="s">
        <v>7519</v>
      </c>
      <c r="B5232" s="150" t="str">
        <f>IFERROR(VLOOKUP(Proc[[#This Row],[App]],Table2[],3,0),"open")</f>
        <v>open</v>
      </c>
      <c r="C5232" s="149" t="s">
        <v>370</v>
      </c>
      <c r="D5232" t="s">
        <v>7515</v>
      </c>
      <c r="E5232" t="s">
        <v>631</v>
      </c>
      <c r="F5232" s="150" t="s">
        <v>7526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7531</v>
      </c>
      <c r="J5232" s="150" t="b">
        <f>Proc[[#This Row],[Requested]]=Proc[[#This Row],[CurrentParent]]</f>
        <v>0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6</v>
      </c>
      <c r="R5232" s="178" t="s">
        <v>7193</v>
      </c>
      <c r="S5232" s="150"/>
    </row>
    <row r="5233" spans="1:19">
      <c r="A5233" s="149" t="s">
        <v>7519</v>
      </c>
      <c r="B5233" s="150" t="str">
        <f>IFERROR(VLOOKUP(Proc[[#This Row],[App]],Table2[],3,0),"open")</f>
        <v>open</v>
      </c>
      <c r="C5233" s="149" t="s">
        <v>370</v>
      </c>
      <c r="D5233" t="s">
        <v>7516</v>
      </c>
      <c r="E5233" t="s">
        <v>631</v>
      </c>
      <c r="F5233" s="150" t="s">
        <v>7526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7531</v>
      </c>
      <c r="J5233" s="150" t="b">
        <f>Proc[[#This Row],[Requested]]=Proc[[#This Row],[CurrentParent]]</f>
        <v>0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6</v>
      </c>
      <c r="R5233" s="178" t="s">
        <v>7193</v>
      </c>
      <c r="S5233" s="150"/>
    </row>
    <row r="5234" spans="1:19">
      <c r="A5234" s="149" t="s">
        <v>7519</v>
      </c>
      <c r="B5234" s="150" t="str">
        <f>IFERROR(VLOOKUP(Proc[[#This Row],[App]],Table2[],3,0),"open")</f>
        <v>open</v>
      </c>
      <c r="C5234" s="149" t="s">
        <v>370</v>
      </c>
      <c r="D5234" t="s">
        <v>7517</v>
      </c>
      <c r="E5234" t="s">
        <v>631</v>
      </c>
      <c r="F5234" s="150" t="s">
        <v>7526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7531</v>
      </c>
      <c r="J5234" s="150" t="b">
        <f>Proc[[#This Row],[Requested]]=Proc[[#This Row],[CurrentParent]]</f>
        <v>0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6</v>
      </c>
      <c r="R5234" s="178" t="s">
        <v>7193</v>
      </c>
      <c r="S5234" s="150"/>
    </row>
    <row r="5235" spans="1:19">
      <c r="A5235" s="149" t="s">
        <v>7519</v>
      </c>
      <c r="B5235" s="150" t="str">
        <f>IFERROR(VLOOKUP(Proc[[#This Row],[App]],Table2[],3,0),"open")</f>
        <v>open</v>
      </c>
      <c r="C5235" s="149" t="s">
        <v>370</v>
      </c>
      <c r="D5235" t="s">
        <v>7518</v>
      </c>
      <c r="E5235" t="s">
        <v>631</v>
      </c>
      <c r="F5235" s="150" t="s">
        <v>7526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7531</v>
      </c>
      <c r="J5235" s="150" t="b">
        <f>Proc[[#This Row],[Requested]]=Proc[[#This Row],[CurrentParent]]</f>
        <v>0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6</v>
      </c>
      <c r="R5235" s="178" t="s">
        <v>7193</v>
      </c>
      <c r="S5235" s="150"/>
    </row>
    <row r="5236" spans="1:19" hidden="1">
      <c r="A5236" t="s">
        <v>7520</v>
      </c>
      <c r="B5236" s="150" t="str">
        <f>IFERROR(VLOOKUP(Proc[[#This Row],[App]],Table2[],3,0),"open")</f>
        <v>ok</v>
      </c>
      <c r="C5236" s="149" t="s">
        <v>369</v>
      </c>
      <c r="D5236" s="149" t="s">
        <v>7522</v>
      </c>
      <c r="E5236" t="s">
        <v>7521</v>
      </c>
      <c r="F5236" s="149" t="s">
        <v>7521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6435</v>
      </c>
      <c r="M5236" s="178">
        <v>46028</v>
      </c>
      <c r="N5236" s="178"/>
      <c r="O5236" s="178"/>
      <c r="P5236" s="178" t="str">
        <f ca="1">IF(Proc[[#This Row],[DaysAgeing]]&gt;5,"yep","on track")</f>
        <v>on track</v>
      </c>
      <c r="Q5236" s="3">
        <f ca="1">IF(Proc[[#This Row],[DateClosed]]="",ABS(NETWORKDAYS(Proc[[#This Row],[DateOpened]],TODAY()))-1,ABS(NETWORKDAYS(Proc[[#This Row],[DateOpened]],Proc[[#This Row],[DateClosed]]))-1)</f>
        <v>4</v>
      </c>
      <c r="R5236" s="178" t="s">
        <v>7404</v>
      </c>
      <c r="S5236" s="150"/>
    </row>
    <row r="5237" spans="1:19" hidden="1">
      <c r="A5237" s="149" t="s">
        <v>7520</v>
      </c>
      <c r="B5237" s="150" t="str">
        <f>IFERROR(VLOOKUP(Proc[[#This Row],[App]],Table2[],3,0),"open")</f>
        <v>ok</v>
      </c>
      <c r="C5237" s="149" t="s">
        <v>369</v>
      </c>
      <c r="D5237" s="149" t="s">
        <v>7528</v>
      </c>
      <c r="E5237" s="149" t="s">
        <v>7521</v>
      </c>
      <c r="F5237" s="149" t="s">
        <v>7521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6435</v>
      </c>
      <c r="M5237" s="178">
        <v>46028</v>
      </c>
      <c r="N5237" s="178"/>
      <c r="O5237" s="178"/>
      <c r="P5237" s="178" t="str">
        <f ca="1">IF(Proc[[#This Row],[DaysAgeing]]&gt;5,"yep","on track")</f>
        <v>on track</v>
      </c>
      <c r="Q5237" s="3">
        <f ca="1">IF(Proc[[#This Row],[DateClosed]]="",ABS(NETWORKDAYS(Proc[[#This Row],[DateOpened]],TODAY()))-1,ABS(NETWORKDAYS(Proc[[#This Row],[DateOpened]],Proc[[#This Row],[DateClosed]]))-1)</f>
        <v>4</v>
      </c>
      <c r="R5237" s="178" t="s">
        <v>7404</v>
      </c>
      <c r="S5237" s="150"/>
    </row>
    <row r="5238" spans="1:19" hidden="1">
      <c r="A5238" s="149" t="s">
        <v>7520</v>
      </c>
      <c r="B5238" s="150" t="str">
        <f>IFERROR(VLOOKUP(Proc[[#This Row],[App]],Table2[],3,0),"open")</f>
        <v>ok</v>
      </c>
      <c r="C5238" s="149" t="s">
        <v>369</v>
      </c>
      <c r="D5238" s="149" t="s">
        <v>7529</v>
      </c>
      <c r="E5238" s="149" t="s">
        <v>7521</v>
      </c>
      <c r="F5238" s="149" t="s">
        <v>7521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6435</v>
      </c>
      <c r="M5238" s="178">
        <v>46028</v>
      </c>
      <c r="N5238" s="178"/>
      <c r="O5238" s="178"/>
      <c r="P5238" s="178" t="str">
        <f ca="1">IF(Proc[[#This Row],[DaysAgeing]]&gt;5,"yep","on track")</f>
        <v>on track</v>
      </c>
      <c r="Q5238" s="3">
        <f ca="1">IF(Proc[[#This Row],[DateClosed]]="",ABS(NETWORKDAYS(Proc[[#This Row],[DateOpened]],TODAY()))-1,ABS(NETWORKDAYS(Proc[[#This Row],[DateOpened]],Proc[[#This Row],[DateClosed]]))-1)</f>
        <v>4</v>
      </c>
      <c r="R5238" s="178" t="s">
        <v>7404</v>
      </c>
      <c r="S5238" s="150"/>
    </row>
    <row r="5239" spans="1:19" hidden="1">
      <c r="A5239" s="149" t="s">
        <v>7520</v>
      </c>
      <c r="B5239" s="150" t="str">
        <f>IFERROR(VLOOKUP(Proc[[#This Row],[App]],Table2[],3,0),"open")</f>
        <v>ok</v>
      </c>
      <c r="C5239" s="149" t="s">
        <v>369</v>
      </c>
      <c r="D5239" s="149" t="s">
        <v>7530</v>
      </c>
      <c r="E5239" s="149" t="s">
        <v>7521</v>
      </c>
      <c r="F5239" s="149" t="s">
        <v>7521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6435</v>
      </c>
      <c r="M5239" s="178">
        <v>46028</v>
      </c>
      <c r="N5239" s="178"/>
      <c r="O5239" s="178"/>
      <c r="P5239" s="178" t="str">
        <f ca="1">IF(Proc[[#This Row],[DaysAgeing]]&gt;5,"yep","on track")</f>
        <v>on track</v>
      </c>
      <c r="Q5239" s="3">
        <f ca="1">IF(Proc[[#This Row],[DateClosed]]="",ABS(NETWORKDAYS(Proc[[#This Row],[DateOpened]],TODAY()))-1,ABS(NETWORKDAYS(Proc[[#This Row],[DateOpened]],Proc[[#This Row],[DateClosed]]))-1)</f>
        <v>4</v>
      </c>
      <c r="R5239" s="178" t="s">
        <v>7404</v>
      </c>
      <c r="S5239" s="150"/>
    </row>
    <row r="5240" spans="1:19">
      <c r="A5240" t="s">
        <v>7532</v>
      </c>
      <c r="B5240" s="150" t="str">
        <f>IFERROR(VLOOKUP(Proc[[#This Row],[App]],Table2[],3,0),"open")</f>
        <v>open</v>
      </c>
      <c r="C5240" t="s">
        <v>370</v>
      </c>
      <c r="D5240" t="s">
        <v>6783</v>
      </c>
      <c r="E5240" t="s">
        <v>759</v>
      </c>
      <c r="F5240" s="150" t="s">
        <v>7542</v>
      </c>
      <c r="G5240" s="149" t="s">
        <v>400</v>
      </c>
      <c r="H5240" s="150" t="str">
        <f>IF(Proc[[#This Row],[type]]="LFF (MDG-F)",MID(Proc[[#This Row],[Obj]],13,10),"")</f>
        <v/>
      </c>
      <c r="I5240" t="s">
        <v>7537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6435</v>
      </c>
      <c r="M5240" s="178">
        <v>46028</v>
      </c>
      <c r="N5240" s="178"/>
      <c r="O5240" s="178"/>
      <c r="P5240" s="178" t="str">
        <f ca="1">IF(Proc[[#This Row],[DaysAgeing]]&gt;5,"yep","on track")</f>
        <v>on track</v>
      </c>
      <c r="Q5240" s="3">
        <f ca="1">IF(Proc[[#This Row],[DateClosed]]="",ABS(NETWORKDAYS(Proc[[#This Row],[DateOpened]],TODAY()))-1,ABS(NETWORKDAYS(Proc[[#This Row],[DateOpened]],Proc[[#This Row],[DateClosed]]))-1)</f>
        <v>4</v>
      </c>
      <c r="R5240" s="178" t="s">
        <v>1459</v>
      </c>
      <c r="S5240" s="150"/>
    </row>
    <row r="5241" spans="1:19" hidden="1">
      <c r="A5241" s="149" t="s">
        <v>7532</v>
      </c>
      <c r="B5241" s="150" t="str">
        <f>IFERROR(VLOOKUP(Proc[[#This Row],[App]],Table2[],3,0),"open")</f>
        <v>open</v>
      </c>
      <c r="C5241" s="149" t="s">
        <v>369</v>
      </c>
      <c r="D5241" t="s">
        <v>7533</v>
      </c>
      <c r="E5241" t="s">
        <v>7536</v>
      </c>
      <c r="F5241" s="149" t="s">
        <v>7536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7537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6435</v>
      </c>
      <c r="M5241" s="178">
        <v>46028</v>
      </c>
      <c r="N5241" s="178"/>
      <c r="O5241" s="178"/>
      <c r="P5241" s="178" t="str">
        <f ca="1">IF(Proc[[#This Row],[DaysAgeing]]&gt;5,"yep","on track")</f>
        <v>on track</v>
      </c>
      <c r="Q5241" s="3">
        <f ca="1">IF(Proc[[#This Row],[DateClosed]]="",ABS(NETWORKDAYS(Proc[[#This Row],[DateOpened]],TODAY()))-1,ABS(NETWORKDAYS(Proc[[#This Row],[DateOpened]],Proc[[#This Row],[DateClosed]]))-1)</f>
        <v>4</v>
      </c>
      <c r="R5241" s="178" t="s">
        <v>1459</v>
      </c>
      <c r="S5241" s="150"/>
    </row>
    <row r="5242" spans="1:19">
      <c r="A5242" s="149" t="s">
        <v>7532</v>
      </c>
      <c r="B5242" s="150" t="str">
        <f>IFERROR(VLOOKUP(Proc[[#This Row],[App]],Table2[],3,0),"open")</f>
        <v>open</v>
      </c>
      <c r="C5242" s="149" t="s">
        <v>370</v>
      </c>
      <c r="D5242" t="s">
        <v>2319</v>
      </c>
      <c r="E5242" t="s">
        <v>430</v>
      </c>
      <c r="F5242" s="150" t="s">
        <v>5569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7538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6435</v>
      </c>
      <c r="M5242" s="178">
        <v>46028</v>
      </c>
      <c r="N5242" s="178"/>
      <c r="O5242" s="178"/>
      <c r="P5242" s="178" t="str">
        <f ca="1">IF(Proc[[#This Row],[DaysAgeing]]&gt;5,"yep","on track")</f>
        <v>on track</v>
      </c>
      <c r="Q5242" s="3">
        <f ca="1">IF(Proc[[#This Row],[DateClosed]]="",ABS(NETWORKDAYS(Proc[[#This Row],[DateOpened]],TODAY()))-1,ABS(NETWORKDAYS(Proc[[#This Row],[DateOpened]],Proc[[#This Row],[DateClosed]]))-1)</f>
        <v>4</v>
      </c>
      <c r="R5242" s="178" t="s">
        <v>1459</v>
      </c>
      <c r="S5242" s="150"/>
    </row>
    <row r="5243" spans="1:19">
      <c r="A5243" s="149" t="s">
        <v>7532</v>
      </c>
      <c r="B5243" s="150" t="str">
        <f>IFERROR(VLOOKUP(Proc[[#This Row],[App]],Table2[],3,0),"open")</f>
        <v>open</v>
      </c>
      <c r="C5243" s="149" t="s">
        <v>370</v>
      </c>
      <c r="D5243" t="s">
        <v>7534</v>
      </c>
      <c r="E5243" t="s">
        <v>5466</v>
      </c>
      <c r="F5243" s="150" t="s">
        <v>2336</v>
      </c>
      <c r="G5243" s="149" t="s">
        <v>406</v>
      </c>
      <c r="H5243" s="150" t="str">
        <f>IF(Proc[[#This Row],[type]]="LFF (MDG-F)",MID(Proc[[#This Row],[Obj]],13,10),"")</f>
        <v>DE10YIT020</v>
      </c>
      <c r="I5243" s="149" t="s">
        <v>7538</v>
      </c>
      <c r="J5243" s="150" t="b">
        <f>Proc[[#This Row],[Requested]]=Proc[[#This Row],[CurrentParent]]</f>
        <v>0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6435</v>
      </c>
      <c r="M5243" s="178">
        <v>46028</v>
      </c>
      <c r="N5243" s="178"/>
      <c r="O5243" s="178"/>
      <c r="P5243" s="178" t="str">
        <f ca="1">IF(Proc[[#This Row],[DaysAgeing]]&gt;5,"yep","on track")</f>
        <v>on track</v>
      </c>
      <c r="Q5243" s="3">
        <f ca="1">IF(Proc[[#This Row],[DateClosed]]="",ABS(NETWORKDAYS(Proc[[#This Row],[DateOpened]],TODAY()))-1,ABS(NETWORKDAYS(Proc[[#This Row],[DateOpened]],Proc[[#This Row],[DateClosed]]))-1)</f>
        <v>4</v>
      </c>
      <c r="R5243" s="178" t="s">
        <v>1459</v>
      </c>
      <c r="S5243" s="150"/>
    </row>
    <row r="5244" spans="1:19">
      <c r="A5244" s="149" t="s">
        <v>7532</v>
      </c>
      <c r="B5244" s="150" t="str">
        <f>IFERROR(VLOOKUP(Proc[[#This Row],[App]],Table2[],3,0),"open")</f>
        <v>open</v>
      </c>
      <c r="C5244" s="149" t="s">
        <v>370</v>
      </c>
      <c r="D5244" t="s">
        <v>7535</v>
      </c>
      <c r="E5244" t="s">
        <v>2616</v>
      </c>
      <c r="F5244" s="150" t="s">
        <v>2625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7538</v>
      </c>
      <c r="J5244" s="150" t="b">
        <f>Proc[[#This Row],[Requested]]=Proc[[#This Row],[CurrentParent]]</f>
        <v>0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6435</v>
      </c>
      <c r="M5244" s="178">
        <v>46028</v>
      </c>
      <c r="N5244" s="178"/>
      <c r="O5244" s="178"/>
      <c r="P5244" s="178" t="str">
        <f ca="1">IF(Proc[[#This Row],[DaysAgeing]]&gt;5,"yep","on track")</f>
        <v>on track</v>
      </c>
      <c r="Q5244" s="3">
        <f ca="1">IF(Proc[[#This Row],[DateClosed]]="",ABS(NETWORKDAYS(Proc[[#This Row],[DateOpened]],TODAY()))-1,ABS(NETWORKDAYS(Proc[[#This Row],[DateOpened]],Proc[[#This Row],[DateClosed]]))-1)</f>
        <v>4</v>
      </c>
      <c r="R5244" s="178" t="s">
        <v>1459</v>
      </c>
      <c r="S5244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G2:G5244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253BE-2A2B-41C7-9537-DA282731ACE3}">
  <dimension ref="A1:B24"/>
  <sheetViews>
    <sheetView workbookViewId="0"/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t="s">
        <v>6565</v>
      </c>
    </row>
    <row r="2" spans="1:2">
      <c r="A2" t="s">
        <v>6743</v>
      </c>
      <c r="B2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7378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t="s">
        <v>7542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7404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2026-01-12T13:06:59Z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