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5316B843-3C0A-439A-A7FB-EE04433F969C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4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98" i="1" l="1"/>
  <c r="H998" i="1"/>
  <c r="J998" i="1"/>
  <c r="K998" i="1"/>
  <c r="Q998" i="1"/>
  <c r="P998" i="1" s="1"/>
  <c r="B995" i="1"/>
  <c r="B996" i="1"/>
  <c r="B997" i="1"/>
  <c r="H995" i="1"/>
  <c r="H996" i="1"/>
  <c r="H997" i="1"/>
  <c r="J995" i="1"/>
  <c r="J996" i="1"/>
  <c r="J997" i="1"/>
  <c r="K995" i="1"/>
  <c r="K996" i="1"/>
  <c r="K997" i="1"/>
  <c r="Q995" i="1"/>
  <c r="P995" i="1" s="1"/>
  <c r="Q996" i="1"/>
  <c r="P996" i="1" s="1"/>
  <c r="Q997" i="1"/>
  <c r="P997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88" i="1"/>
  <c r="K987" i="1"/>
  <c r="B987" i="1"/>
  <c r="B988" i="1"/>
  <c r="B989" i="1"/>
  <c r="B990" i="1"/>
  <c r="H987" i="1"/>
  <c r="H988" i="1"/>
  <c r="H989" i="1"/>
  <c r="H990" i="1"/>
  <c r="J987" i="1"/>
  <c r="J988" i="1"/>
  <c r="J989" i="1"/>
  <c r="J990" i="1"/>
  <c r="K989" i="1"/>
  <c r="K990" i="1"/>
  <c r="Q987" i="1"/>
  <c r="P987" i="1" s="1"/>
  <c r="Q988" i="1"/>
  <c r="P988" i="1" s="1"/>
  <c r="Q989" i="1"/>
  <c r="P989" i="1" s="1"/>
  <c r="Q990" i="1"/>
  <c r="P990" i="1" s="1"/>
  <c r="B986" i="1"/>
  <c r="H986" i="1"/>
  <c r="J986" i="1"/>
  <c r="K986" i="1"/>
  <c r="Q986" i="1"/>
  <c r="P986" i="1" s="1"/>
  <c r="B985" i="1"/>
  <c r="H985" i="1"/>
  <c r="J985" i="1"/>
  <c r="K985" i="1"/>
  <c r="Q985" i="1"/>
  <c r="P985" i="1" s="1"/>
  <c r="B977" i="1"/>
  <c r="B978" i="1"/>
  <c r="B979" i="1"/>
  <c r="B980" i="1"/>
  <c r="B981" i="1"/>
  <c r="B982" i="1"/>
  <c r="B983" i="1"/>
  <c r="B984" i="1"/>
  <c r="H977" i="1"/>
  <c r="H978" i="1"/>
  <c r="H979" i="1"/>
  <c r="H980" i="1"/>
  <c r="H981" i="1"/>
  <c r="H982" i="1"/>
  <c r="H983" i="1"/>
  <c r="H984" i="1"/>
  <c r="J977" i="1"/>
  <c r="J978" i="1"/>
  <c r="J979" i="1"/>
  <c r="J980" i="1"/>
  <c r="J981" i="1"/>
  <c r="J982" i="1"/>
  <c r="J983" i="1"/>
  <c r="J984" i="1"/>
  <c r="K977" i="1"/>
  <c r="K978" i="1"/>
  <c r="K979" i="1"/>
  <c r="K980" i="1"/>
  <c r="K981" i="1"/>
  <c r="K982" i="1"/>
  <c r="K983" i="1"/>
  <c r="K984" i="1"/>
  <c r="Q977" i="1"/>
  <c r="P977" i="1" s="1"/>
  <c r="Q978" i="1"/>
  <c r="P978" i="1" s="1"/>
  <c r="Q979" i="1"/>
  <c r="P979" i="1" s="1"/>
  <c r="Q980" i="1"/>
  <c r="P980" i="1" s="1"/>
  <c r="Q981" i="1"/>
  <c r="P981" i="1" s="1"/>
  <c r="Q982" i="1"/>
  <c r="P982" i="1" s="1"/>
  <c r="Q983" i="1"/>
  <c r="P983" i="1" s="1"/>
  <c r="Q984" i="1"/>
  <c r="P984" i="1" s="1"/>
  <c r="B976" i="1" l="1"/>
  <c r="H976" i="1"/>
  <c r="J976" i="1"/>
  <c r="K976" i="1"/>
  <c r="Q976" i="1"/>
  <c r="P976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73" i="1" l="1"/>
  <c r="H973" i="1"/>
  <c r="J973" i="1"/>
  <c r="K973" i="1"/>
  <c r="Q973" i="1"/>
  <c r="P973" i="1" s="1"/>
  <c r="B972" i="1" l="1"/>
  <c r="H972" i="1"/>
  <c r="J972" i="1"/>
  <c r="K972" i="1"/>
  <c r="Q972" i="1"/>
  <c r="P972" i="1" s="1"/>
  <c r="B971" i="1"/>
  <c r="H971" i="1"/>
  <c r="J971" i="1"/>
  <c r="K971" i="1"/>
  <c r="Q971" i="1"/>
  <c r="P971" i="1" s="1"/>
  <c r="B970" i="1"/>
  <c r="H970" i="1"/>
  <c r="J970" i="1"/>
  <c r="K970" i="1"/>
  <c r="Q970" i="1"/>
  <c r="P970" i="1" s="1"/>
  <c r="B969" i="1"/>
  <c r="H969" i="1"/>
  <c r="J969" i="1"/>
  <c r="K969" i="1"/>
  <c r="Q969" i="1"/>
  <c r="P969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839" i="1"/>
  <c r="F839" i="1"/>
  <c r="J839" i="1" s="1"/>
  <c r="H839" i="1"/>
  <c r="K839" i="1"/>
  <c r="Q839" i="1"/>
  <c r="P839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48" i="1"/>
  <c r="H948" i="1"/>
  <c r="J948" i="1"/>
  <c r="K948" i="1"/>
  <c r="Q948" i="1"/>
  <c r="P948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65" i="1"/>
  <c r="H965" i="1"/>
  <c r="J965" i="1"/>
  <c r="K965" i="1"/>
  <c r="Q965" i="1"/>
  <c r="P965" i="1" s="1"/>
  <c r="B966" i="1"/>
  <c r="H966" i="1"/>
  <c r="J966" i="1"/>
  <c r="K966" i="1"/>
  <c r="Q966" i="1"/>
  <c r="P966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 l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 l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<sst xmlns="http://schemas.openxmlformats.org/spreadsheetml/2006/main" count="10691" uniqueCount="2903">
  <si>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</si>
  <si>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</si>
  <si>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</si>
  <si>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</si>
  <si>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</si>
  <si>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</si>
  <si>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</si>
  <si>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</si>
  <si>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</si>
  <si>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</si>
  <si>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</si>
  <si>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</si>
  <si>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</si>
  <si>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</si>
  <si>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</si>
  <si>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</si>
  <si>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</si>
  <si>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</si>
  <si>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</si>
  <si>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</si>
  <si>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</si>
  <si>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</si>
  <si>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</si>
  <si>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</si>
  <si>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</si>
  <si>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</si>
  <si>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</si>
  <si>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</si>
  <si>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</si>
  <si>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</si>
  <si>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</si>
  <si>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</si>
  <si>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</si>
  <si>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</si>
  <si>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</si>
  <si>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</si>
  <si>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</si>
  <si>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</si>
  <si>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</si>
  <si>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</si>
  <si>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</si>
  <si>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</si>
  <si>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</si>
  <si>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</si>
  <si>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</si>
  <si>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</si>
  <si>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</si>
  <si>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</si>
  <si>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</si>
  <si>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</si>
  <si>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</si>
  <si>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</si>
  <si>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</si>
  <si>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</si>
  <si>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</si>
  <si>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</si>
  <si>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</si>
  <si>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</si>
  <si>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</si>
  <si>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</si>
  <si>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</si>
  <si>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</si>
  <si>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</si>
  <si>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</si>
  <si>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</si>
  <si>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</si>
  <si>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</si>
  <si>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</si>
  <si>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</si>
  <si>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</si>
  <si>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</si>
  <si>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</si>
  <si>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</si>
  <si>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</si>
  <si>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</si>
  <si>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</si>
  <si>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</si>
  <si>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</si>
  <si>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</si>
  <si>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</si>
  <si>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</si>
  <si>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</si>
  <si>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</si>
  <si>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</si>
  <si>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</si>
  <si>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</si>
  <si>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</si>
  <si>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</si>
  <si>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</si>
  <si>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</si>
  <si>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</si>
  <si>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</si>
  <si>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</si>
  <si>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</si>
  <si>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</si>
  <si>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</si>
  <si>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</si>
  <si>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</si>
  <si>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</si>
  <si>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</si>
  <si>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</si>
  <si>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</si>
  <si>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</si>
  <si>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</si>
  <si>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</si>
  <si>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</si>
  <si>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</si>
  <si>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</si>
  <si>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</si>
  <si>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</si>
  <si>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</si>
  <si>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</si>
  <si>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</si>
  <si>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</si>
  <si>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</si>
  <si>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</si>
  <si>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</si>
  <si>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</si>
  <si>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</si>
  <si>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</si>
  <si>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</si>
  <si>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</si>
  <si>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</si>
  <si>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</si>
  <si>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</si>
  <si>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</si>
  <si>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</si>
  <si>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</si>
  <si>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</si>
  <si>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</si>
  <si>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</si>
  <si>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</si>
  <si>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</si>
  <si>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</si>
  <si>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</si>
  <si>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</si>
  <si>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</si>
  <si>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</si>
  <si>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</si>
  <si>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</si>
  <si>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</si>
  <si>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</si>
  <si>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</si>
  <si>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</si>
  <si>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</si>
  <si>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</si>
  <si>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</si>
  <si>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</si>
  <si>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</si>
  <si>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</si>
  <si>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</si>
  <si>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</si>
  <si>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</si>
  <si>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</si>
  <si>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</si>
  <si>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</si>
  <si>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</si>
  <si>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</si>
  <si>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</si>
  <si>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</si>
  <si>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</si>
  <si>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</si>
  <si>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</si>
  <si>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</si>
  <si>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</si>
  <si>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</si>
  <si>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</si>
  <si>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</si>
  <si>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</si>
  <si>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</si>
  <si>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</si>
  <si>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</si>
  <si>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</si>
  <si>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</si>
  <si>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</si>
  <si>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</si>
  <si>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</si>
  <si>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</si>
  <si>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</si>
  <si>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</si>
  <si>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</si>
  <si>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</si>
  <si>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</si>
  <si>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</si>
  <si>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</si>
  <si>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</si>
  <si>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</si>
  <si>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</si>
  <si>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</si>
  <si>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</si>
  <si>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</si>
  <si>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</si>
  <si>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</si>
  <si>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</si>
  <si>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</si>
  <si>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</si>
  <si>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</si>
  <si>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</si>
  <si>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</si>
  <si>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</si>
  <si>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</si>
  <si>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</si>
  <si>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</si>
  <si>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</si>
  <si>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</si>
  <si>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</si>
  <si>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</si>
  <si>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</si>
  <si>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</si>
  <si>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</si>
  <si>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</si>
  <si>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</si>
  <si>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</si>
  <si>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</si>
  <si>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</si>
  <si>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</si>
  <si>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</si>
  <si>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</si>
  <si>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</si>
  <si>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</si>
  <si>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</si>
  <si>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</si>
  <si>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</si>
  <si>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</si>
  <si>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</si>
  <si>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</si>
  <si>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</si>
  <si>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</si>
  <si>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</si>
  <si>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</si>
  <si>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</si>
  <si>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</si>
  <si>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</si>
  <si>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</si>
  <si>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</si>
  <si>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</si>
  <si>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</si>
  <si>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</si>
  <si>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</si>
  <si>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</si>
  <si>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</si>
  <si>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</si>
  <si>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</si>
  <si>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</si>
  <si>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</si>
  <si>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</si>
  <si>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</si>
  <si>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</si>
  <si>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</si>
  <si>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</si>
  <si>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</si>
  <si>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</si>
  <si>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</si>
  <si>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</si>
  <si>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</si>
  <si>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</si>
  <si>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</si>
  <si>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</si>
  <si>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</si>
  <si>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</si>
  <si>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</si>
  <si>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</si>
  <si>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</si>
  <si>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</si>
  <si>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</si>
  <si>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</si>
  <si>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</si>
  <si>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</si>
  <si>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</si>
  <si>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</si>
  <si>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</si>
  <si>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</si>
  <si>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</si>
  <si>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</si>
  <si>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</si>
  <si>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</si>
  <si>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</si>
  <si>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</si>
  <si>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</si>
  <si>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</si>
  <si>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</si>
  <si>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</si>
  <si>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</si>
  <si>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</si>
  <si>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</si>
  <si>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</si>
  <si>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</si>
  <si>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</si>
  <si>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</si>
  <si>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</si>
  <si>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</si>
  <si>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</si>
  <si>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</si>
  <si>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</si>
  <si>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</si>
  <si>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</si>
  <si>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</si>
  <si>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</si>
  <si>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</si>
  <si>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</si>
  <si>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</si>
  <si>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</si>
  <si>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</si>
  <si>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</si>
  <si>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</si>
  <si>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</si>
  <si>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</si>
  <si>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</si>
  <si>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</si>
  <si>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</si>
  <si>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</si>
  <si>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</si>
  <si>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</si>
  <si>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</si>
  <si>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</si>
  <si>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</si>
  <si>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</si>
  <si>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</si>
  <si>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</si>
  <si>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</si>
  <si>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</si>
  <si>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</si>
  <si>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</si>
  <si>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</si>
  <si>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</si>
  <si>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</si>
  <si>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</si>
  <si>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</si>
  <si>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</si>
  <si>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</si>
  <si>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</si>
  <si>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</si>
  <si>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</si>
  <si>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</si>
  <si>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</si>
  <si>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</si>
  <si>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</si>
  <si>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</si>
  <si>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</si>
  <si>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</si>
  <si>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</si>
  <si>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</si>
  <si>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</si>
  <si>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</si>
  <si>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</si>
  <si>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</si>
  <si>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</si>
  <si>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</si>
  <si>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</si>
  <si>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</si>
  <si>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</si>
  <si>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</si>
  <si>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</si>
  <si>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</si>
  <si>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</si>
  <si>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</si>
  <si>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</si>
  <si>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</si>
  <si>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</si>
  <si>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</si>
  <si>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</si>
  <si>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</si>
  <si>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</si>
  <si>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</si>
  <si>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</si>
  <si>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</si>
  <si>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</si>
  <si>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</si>
  <si>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</si>
  <si>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</si>
  <si>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</si>
  <si>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</si>
  <si>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</si>
  <si>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</si>
  <si>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</si>
  <si>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</si>
  <si>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</si>
  <si>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</si>
  <si>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</si>
  <si>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</si>
  <si>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</si>
  <si>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</si>
  <si>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</si>
  <si>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</si>
  <si>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</si>
  <si>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</si>
  <si>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</si>
  <si>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</si>
  <si>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</si>
  <si>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</si>
  <si>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</si>
  <si>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</si>
  <si>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</si>
  <si>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</si>
  <si>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</si>
  <si>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</si>
  <si>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</si>
  <si>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</si>
  <si>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</si>
  <si>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</si>
  <si>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</si>
  <si>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</si>
  <si>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</si>
  <si>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</si>
  <si>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</si>
  <si>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</si>
  <si>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</si>
  <si>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</si>
  <si>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</si>
  <si>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</si>
  <si>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</si>
  <si>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</si>
  <si>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</si>
  <si>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</si>
  <si>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</si>
  <si>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</si>
  <si>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</si>
  <si>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</si>
  <si>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</si>
  <si>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</si>
  <si>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</si>
  <si>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</si>
  <si>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</si>
  <si>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</si>
  <si>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</si>
  <si>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</si>
  <si>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</si>
  <si>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</si>
  <si>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</si>
  <si>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</si>
  <si>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</si>
  <si>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</si>
  <si>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</si>
  <si>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</si>
  <si>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</si>
  <si>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</si>
  <si>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</si>
  <si>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</si>
  <si>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</si>
  <si>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</si>
  <si>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</si>
  <si>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</si>
  <si>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</si>
  <si>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</si>
  <si>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</si>
  <si>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</si>
  <si>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</si>
  <si>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</si>
  <si>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</si>
  <si>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</si>
  <si>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</si>
  <si>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</si>
  <si>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</si>
  <si>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</si>
  <si>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</si>
  <si>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</si>
  <si>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</si>
  <si>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</si>
  <si>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</si>
  <si>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</si>
  <si>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</si>
  <si>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</si>
  <si>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</si>
  <si>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</si>
  <si>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</si>
  <si>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</si>
  <si>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</si>
  <si>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</si>
  <si>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</si>
  <si>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</si>
  <si>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</si>
  <si>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</si>
  <si>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</si>
  <si>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</si>
  <si>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</si>
  <si>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</si>
  <si>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</si>
  <si>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</si>
  <si>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</si>
  <si>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</si>
  <si>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</si>
  <si>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</si>
  <si>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</si>
  <si>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</si>
  <si>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</si>
  <si>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</si>
  <si>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</si>
  <si>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</si>
  <si>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</si>
  <si>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</si>
  <si>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</si>
  <si>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</si>
  <si>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</si>
  <si>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</si>
  <si>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</si>
  <si>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</si>
  <si>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</si>
  <si>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</si>
  <si>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</si>
  <si>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</si>
  <si>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</si>
  <si>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</si>
  <si>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</si>
  <si>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</si>
  <si>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</si>
  <si>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</si>
  <si>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</si>
  <si>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</si>
  <si>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</si>
  <si>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</si>
  <si>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</si>
  <si>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</si>
  <si>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</si>
  <si>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</si>
  <si>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</si>
  <si>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</si>
  <si>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</si>
  <si>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</si>
  <si>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</si>
  <si>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</si>
  <si>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</si>
  <si>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</si>
  <si>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</si>
  <si>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</si>
  <si>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</si>
  <si>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</si>
  <si>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</si>
  <si>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</si>
  <si>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</si>
  <si>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</si>
  <si>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</si>
  <si>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</si>
  <si>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</si>
  <si>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</si>
  <si>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</si>
  <si>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</si>
  <si>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</si>
  <si>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</si>
  <si>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</si>
  <si>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</si>
  <si>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</si>
  <si>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</si>
  <si>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</si>
  <si>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</si>
  <si>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</si>
  <si>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</si>
  <si>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</si>
  <si>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</si>
  <si>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</si>
  <si>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</si>
  <si>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</si>
  <si>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</si>
  <si>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</si>
  <si>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</si>
  <si>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</si>
  <si>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</si>
  <si>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</si>
  <si>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</si>
  <si>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</si>
  <si>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</si>
  <si>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</si>
  <si>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</si>
  <si>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</si>
  <si>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</si>
  <si>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</si>
  <si>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</si>
  <si>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</si>
  <si>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</si>
  <si>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</si>
  <si>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</si>
  <si>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</si>
  <si>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</si>
  <si>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</si>
  <si>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</si>
  <si>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</si>
  <si>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</si>
  <si>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</si>
  <si>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</si>
  <si>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</si>
  <si>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</si>
  <si>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</si>
  <si>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</si>
  <si>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</si>
  <si>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</si>
  <si>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</si>
  <si>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</si>
  <si>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</si>
  <si>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</si>
  <si>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</si>
  <si>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</si>
  <si>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</si>
  <si>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</si>
  <si>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</si>
  <si>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</si>
  <si>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</si>
  <si>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</si>
  <si>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</si>
  <si>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</si>
  <si>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</si>
  <si>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</si>
  <si>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</si>
  <si>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</si>
  <si>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</si>
  <si>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</si>
  <si>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</si>
  <si>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</si>
  <si>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</si>
  <si>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</si>
  <si>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</si>
  <si>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</si>
  <si>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</si>
  <si>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</si>
  <si>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</si>
  <si>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</si>
  <si>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</si>
  <si>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</si>
  <si>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</si>
  <si>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</si>
  <si>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</si>
  <si>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</si>
  <si>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</si>
  <si>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</si>
  <si>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</si>
  <si>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</si>
  <si>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</si>
  <si>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</si>
  <si>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</si>
  <si>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</si>
  <si>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</si>
  <si>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</si>
  <si>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</si>
  <si>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</si>
  <si>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</si>
  <si>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</si>
  <si>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</si>
  <si>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</si>
  <si>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</si>
  <si>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</si>
  <si>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</si>
  <si>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</si>
  <si>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</si>
  <si>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</si>
  <si>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</si>
  <si>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</si>
  <si>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</si>
  <si>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</si>
  <si>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</si>
  <si>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</si>
  <si>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</si>
  <si>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</si>
  <si>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</si>
  <si>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</si>
  <si>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</si>
  <si>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</si>
  <si>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</si>
  <si>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</si>
  <si>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</si>
  <si>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</si>
  <si>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</si>
  <si>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</si>
  <si>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</si>
  <si>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</si>
  <si>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</si>
  <si>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</si>
  <si>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</si>
  <si>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</si>
  <si>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</si>
  <si>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</si>
  <si>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</si>
  <si>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</si>
  <si>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</si>
  <si>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</si>
  <si>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</si>
  <si>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</si>
  <si>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</si>
  <si>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</si>
  <si>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</si>
  <si>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</si>
  <si>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</si>
  <si>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</si>
  <si>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</si>
  <si>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</si>
  <si>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</si>
  <si>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</si>
  <si>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</si>
  <si>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</si>
  <si>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</si>
  <si>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</si>
  <si>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</si>
  <si>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</si>
  <si>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</si>
  <si>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</si>
  <si>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</si>
  <si>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</si>
  <si>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</si>
  <si>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</si>
  <si>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</si>
  <si>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</si>
  <si>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</si>
  <si>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</si>
  <si>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</si>
  <si>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</si>
  <si>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</si>
  <si>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</si>
  <si>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</si>
  <si>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</si>
  <si>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</si>
  <si>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</si>
  <si>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</si>
  <si>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</si>
  <si>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</si>
  <si>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</si>
  <si>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</si>
  <si>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</si>
  <si>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</si>
  <si>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</si>
  <si>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</si>
  <si>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</si>
  <si>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</si>
  <si>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</si>
  <si>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</si>
  <si>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</si>
  <si>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</si>
  <si>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</si>
  <si>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</si>
  <si>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</si>
  <si>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</si>
  <si>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</si>
  <si>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</si>
  <si>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</si>
  <si>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</si>
  <si>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</si>
  <si>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</si>
  <si>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</si>
  <si>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</si>
  <si>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</si>
  <si>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</si>
  <si>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</si>
  <si>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</si>
  <si>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</si>
  <si>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</si>
  <si>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</si>
  <si>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</si>
  <si>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</si>
  <si>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</si>
  <si>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</si>
  <si>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</si>
  <si>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</si>
  <si>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</si>
  <si>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</si>
  <si>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</si>
  <si>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</si>
  <si>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</si>
  <si>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</si>
  <si>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</si>
  <si>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</si>
  <si>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</si>
  <si>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</si>
  <si>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</si>
  <si>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</si>
  <si>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</si>
  <si>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</si>
  <si>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</si>
  <si>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</si>
  <si>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</si>
  <si>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</si>
  <si>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</si>
  <si>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</si>
  <si>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</si>
  <si>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</si>
  <si>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</si>
  <si>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</si>
  <si>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</si>
  <si>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</si>
  <si>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</si>
  <si>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</si>
  <si>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</si>
  <si>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</si>
  <si>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</si>
  <si>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</si>
  <si>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</si>
  <si>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</si>
  <si>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</si>
  <si>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</si>
  <si>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</si>
  <si>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</si>
  <si>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</si>
  <si>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</si>
  <si>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</si>
  <si>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</si>
  <si>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</si>
  <si>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</si>
  <si>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</si>
  <si>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</si>
  <si>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</si>
  <si>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</si>
  <si>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</si>
  <si>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</si>
  <si>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</si>
  <si>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</si>
  <si>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</si>
  <si>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</si>
  <si>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</si>
  <si>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</si>
  <si>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</si>
  <si>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</si>
  <si>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</si>
  <si>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</si>
  <si>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</si>
  <si>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</si>
  <si>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</si>
  <si>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</si>
  <si>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</si>
  <si>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</si>
  <si>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</si>
  <si>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</si>
  <si>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</si>
  <si>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</si>
  <si>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</si>
  <si>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</si>
  <si>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</si>
  <si>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</si>
  <si>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</si>
  <si>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</si>
  <si>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</si>
  <si>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</si>
  <si>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</si>
  <si>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</si>
  <si>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</si>
  <si>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</si>
  <si>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</si>
  <si>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</si>
  <si>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</si>
  <si>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</si>
  <si>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</si>
  <si>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</si>
  <si>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</si>
  <si>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</si>
  <si>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</si>
  <si>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</si>
  <si>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</si>
  <si>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</si>
  <si>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</si>
  <si>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</si>
  <si>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</si>
  <si>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</si>
  <si>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</si>
  <si>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</si>
  <si>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</si>
  <si>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</si>
  <si>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</si>
  <si>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</si>
  <si>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</si>
  <si>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</si>
  <si>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</si>
  <si>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</si>
  <si>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</si>
  <si>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</si>
  <si>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</si>
  <si>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</si>
  <si>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</si>
  <si>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</si>
  <si>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</si>
  <si>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</si>
  <si>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</si>
  <si>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</si>
  <si>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</si>
  <si>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</si>
  <si>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</si>
  <si>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</si>
  <si>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</si>
  <si>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</si>
  <si>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</si>
  <si>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</si>
  <si>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</si>
  <si>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</si>
  <si>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</si>
  <si>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</si>
  <si>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</si>
  <si>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</si>
  <si>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</si>
  <si>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</si>
  <si>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</si>
  <si>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</si>
  <si>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</si>
  <si>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</si>
  <si>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</si>
  <si>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</si>
  <si>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</si>
  <si>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</si>
  <si>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</si>
  <si>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</si>
  <si>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</si>
  <si>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</si>
  <si>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</si>
  <si>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</si>
  <si>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</si>
  <si>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</si>
  <si>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</si>
  <si>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</si>
  <si>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</si>
  <si>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</si>
  <si>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</si>
  <si>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</si>
  <si>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</si>
  <si>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</si>
  <si>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</si>
  <si>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</si>
  <si>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</si>
  <si>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</si>
  <si>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</si>
  <si>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</si>
  <si>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</si>
  <si>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</si>
  <si>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</si>
  <si>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</si>
  <si>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</si>
  <si>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</si>
  <si>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</si>
  <si>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</si>
  <si>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</si>
  <si>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</si>
  <si>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</si>
  <si>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</si>
  <si>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</si>
  <si>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</si>
  <si>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</si>
  <si>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</si>
  <si>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</si>
  <si>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</si>
  <si>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</si>
  <si>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</si>
  <si>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</si>
  <si>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</si>
  <si>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</si>
  <si>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</si>
  <si>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</si>
  <si>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</si>
  <si>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</si>
  <si>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</si>
  <si>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</si>
  <si>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</si>
  <si>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</si>
  <si>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</si>
  <si>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</si>
  <si>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</si>
  <si>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</si>
  <si>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</si>
  <si>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</si>
  <si>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</si>
  <si>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</si>
  <si>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</si>
  <si>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</si>
  <si>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</si>
  <si>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</si>
  <si>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</si>
  <si>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</si>
  <si>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</si>
  <si>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</si>
  <si>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</si>
  <si>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</si>
  <si>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</si>
  <si>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</si>
  <si>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</si>
  <si>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</si>
  <si>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</si>
  <si>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</si>
  <si>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</si>
  <si>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</si>
  <si>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</si>
  <si>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</si>
  <si>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</si>
  <si>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</si>
  <si>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</si>
  <si>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</si>
  <si>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</si>
  <si>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</si>
  <si>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</si>
  <si>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</si>
  <si>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</si>
  <si>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</si>
  <si>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</si>
  <si>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</si>
  <si>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</si>
  <si>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</si>
  <si>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</si>
  <si>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</si>
  <si>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</si>
  <si>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</si>
  <si>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</si>
  <si>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</si>
  <si>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</si>
  <si>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</si>
  <si>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</si>
  <si>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</si>
  <si>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</si>
  <si>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</si>
  <si>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</si>
  <si>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</si>
  <si>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</si>
  <si>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</si>
  <si>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</si>
  <si>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</si>
  <si>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</si>
  <si>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</si>
  <si>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</si>
  <si>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</si>
  <si>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</si>
  <si>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</si>
  <si>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</si>
  <si>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</si>
  <si>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</si>
  <si>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</si>
  <si>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</si>
  <si>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</si>
  <si>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</si>
  <si>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</si>
  <si>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</si>
  <si>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</si>
  <si>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</si>
  <si>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</si>
  <si>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</si>
  <si>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</si>
  <si>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</si>
  <si>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</si>
  <si>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</si>
  <si>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</si>
  <si>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</si>
  <si>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</si>
  <si>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</si>
  <si>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</si>
  <si>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</si>
  <si>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</si>
  <si>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</si>
  <si>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</si>
  <si>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</si>
  <si>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</si>
  <si>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</si>
  <si>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</si>
  <si>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</si>
  <si>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</si>
  <si>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</si>
  <si>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</si>
  <si>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</si>
  <si>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</si>
  <si>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</si>
  <si>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</si>
  <si>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</si>
  <si>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</si>
  <si>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</si>
  <si>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</si>
  <si>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</si>
  <si>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</si>
  <si>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</si>
  <si>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</si>
  <si>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</si>
  <si>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</si>
  <si>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</si>
  <si>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</si>
  <si>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</si>
  <si>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</si>
  <si>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</si>
  <si>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</si>
  <si>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</si>
  <si>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</si>
  <si>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</si>
  <si>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</si>
  <si>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</si>
  <si>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</si>
  <si>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</si>
  <si>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</si>
  <si>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</si>
  <si>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</si>
  <si>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</si>
  <si>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</si>
  <si>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</si>
  <si>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</si>
  <si>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</si>
  <si>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</si>
  <si>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</si>
  <si>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</si>
  <si>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</si>
  <si>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</si>
  <si>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</si>
  <si>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</si>
  <si>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</si>
  <si>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</si>
  <si>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</si>
  <si>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</si>
  <si>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</si>
  <si>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</si>
  <si>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</si>
  <si>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</si>
  <si>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</si>
  <si>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</si>
  <si>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</si>
  <si>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</si>
  <si>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</si>
  <si>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</si>
  <si>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</si>
  <si>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</si>
  <si>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</si>
  <si>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</si>
  <si>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</si>
  <si>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</si>
  <si>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</si>
  <si>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</si>
  <si>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</si>
  <si>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</si>
  <si>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</si>
  <si>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</si>
  <si>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</si>
  <si>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</si>
  <si>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</si>
  <si>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</si>
  <si>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</si>
  <si>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</si>
  <si>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</si>
  <si>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</si>
  <si>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</si>
  <si>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</si>
  <si>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</si>
  <si>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</si>
  <si>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</si>
  <si>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</si>
  <si>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</si>
  <si>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</si>
  <si>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</si>
  <si>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</si>
  <si>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</si>
  <si>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</si>
  <si>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</si>
  <si>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</si>
  <si>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</si>
  <si>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</si>
  <si>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</si>
  <si>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</si>
  <si>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</si>
  <si>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</si>
  <si>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</si>
  <si>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</si>
  <si>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</si>
  <si>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</si>
  <si>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</si>
  <si>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</si>
  <si>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</si>
  <si>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</si>
  <si>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</si>
  <si>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</si>
  <si>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</si>
  <si>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</si>
  <si>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</si>
  <si>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</si>
  <si>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</si>
  <si>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</si>
  <si>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</si>
  <si>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</si>
  <si>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</si>
  <si>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</si>
  <si>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</si>
  <si>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</si>
  <si>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</si>
  <si>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</si>
  <si>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</si>
  <si>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</si>
  <si>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</si>
  <si>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</si>
  <si>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</si>
  <si>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</si>
  <si>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</si>
  <si>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</si>
  <si>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</si>
  <si>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</si>
  <si>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</si>
  <si>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</si>
  <si>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</si>
  <si>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</si>
  <si>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</si>
  <si>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</si>
  <si>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</si>
  <si>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</si>
  <si>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</si>
  <si>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</si>
  <si>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</si>
  <si>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</si>
  <si>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</si>
  <si>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</si>
  <si>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</si>
  <si>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</si>
  <si>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</si>
  <si>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</si>
  <si>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</si>
  <si>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</si>
  <si>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</si>
  <si>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</si>
  <si>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</si>
  <si>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</si>
  <si>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</si>
  <si>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</si>
  <si>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</si>
  <si>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</si>
  <si>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</si>
  <si>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</si>
  <si>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</si>
  <si>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</si>
  <si>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</si>
  <si>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</si>
  <si>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</si>
  <si>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</si>
  <si>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</si>
  <si>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</si>
  <si>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</si>
  <si>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</si>
  <si>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</si>
  <si>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</si>
  <si>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</si>
  <si>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</si>
  <si>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</si>
  <si>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</si>
  <si>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</si>
  <si>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</si>
  <si>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</si>
  <si>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</si>
  <si>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</si>
  <si>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</si>
  <si>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</si>
  <si>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</si>
  <si>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</si>
  <si>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</si>
  <si>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</si>
  <si>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</si>
  <si>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</si>
  <si>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</si>
  <si>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</si>
  <si>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</si>
  <si>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</si>
  <si>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</si>
  <si>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</si>
  <si>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</si>
  <si>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</si>
  <si>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</si>
  <si>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</si>
  <si>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</si>
  <si>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</si>
  <si>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</si>
  <si>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</si>
  <si>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</si>
  <si>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</si>
  <si>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</si>
  <si>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</si>
  <si>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</si>
  <si>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</si>
  <si>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</si>
  <si>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</si>
  <si>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</si>
  <si>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</si>
  <si>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</si>
  <si>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</si>
  <si>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</si>
  <si>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</si>
  <si>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</si>
  <si>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</si>
  <si>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</si>
  <si>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</si>
  <si>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</si>
  <si>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</si>
  <si>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</si>
  <si>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</si>
  <si>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</si>
  <si>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</si>
  <si>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</si>
  <si>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</si>
  <si>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</si>
  <si>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</si>
  <si>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</si>
  <si>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</si>
  <si>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</si>
  <si>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</si>
  <si>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</si>
  <si>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</si>
  <si>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</si>
  <si>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</si>
  <si>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</si>
  <si>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</si>
  <si>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</si>
  <si>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</si>
  <si>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</si>
  <si>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</si>
  <si>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</si>
  <si>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</si>
  <si>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</si>
  <si>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</si>
  <si>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</si>
  <si>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</si>
  <si>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</si>
  <si>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</si>
  <si>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</si>
  <si>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</si>
  <si>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</si>
  <si>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</si>
  <si>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</si>
  <si>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</si>
  <si>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</si>
  <si>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</si>
  <si>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</si>
  <si>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</si>
  <si>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</si>
  <si>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</si>
  <si>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</si>
  <si>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</si>
  <si>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</si>
  <si>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</si>
  <si>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</si>
  <si>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</si>
  <si>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</si>
  <si>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</si>
  <si>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</si>
  <si>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</si>
  <si>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</si>
  <si>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</si>
  <si>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</si>
  <si>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</si>
  <si>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</si>
  <si>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</si>
  <si>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</si>
  <si>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</si>
  <si>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</si>
  <si>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</si>
  <si>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</si>
  <si>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</si>
  <si>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</si>
  <si>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</si>
  <si>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</si>
  <si>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</si>
  <si>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</si>
  <si>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</si>
  <si>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</si>
  <si>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</si>
  <si>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</si>
  <si>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</si>
  <si>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</si>
  <si>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</si>
  <si>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</si>
  <si>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</si>
  <si>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</si>
  <si>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</si>
  <si>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</si>
  <si>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</si>
  <si>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</si>
  <si>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</si>
  <si>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</si>
  <si>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</si>
  <si>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</si>
  <si>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</si>
  <si>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</si>
  <si>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</si>
  <si>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</si>
  <si>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</si>
  <si>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</si>
  <si>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</si>
  <si>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</si>
  <si>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</si>
  <si>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</si>
  <si>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</si>
  <si>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</si>
  <si>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</si>
  <si>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</si>
  <si>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</si>
  <si>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</si>
  <si>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</si>
  <si>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</si>
  <si>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</si>
  <si>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</si>
  <si>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</si>
  <si>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</si>
  <si>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</si>
  <si>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</si>
  <si>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</si>
  <si>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</si>
  <si>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</si>
  <si>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</si>
  <si>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</si>
  <si>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</si>
  <si>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</si>
  <si>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</si>
  <si>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</si>
  <si>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</si>
  <si>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</si>
  <si>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</si>
  <si>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</si>
  <si>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</si>
  <si>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</si>
  <si>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</si>
  <si>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</si>
  <si>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</si>
  <si>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</si>
  <si>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</si>
  <si>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</si>
  <si>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</si>
  <si>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</si>
  <si>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</si>
  <si>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</si>
  <si>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</si>
  <si>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</si>
  <si>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</si>
  <si>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</si>
  <si>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</si>
  <si>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</si>
  <si>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</si>
  <si>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</si>
  <si>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</si>
  <si>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</si>
  <si>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</si>
  <si>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</si>
  <si>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</si>
  <si>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</si>
  <si>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</si>
  <si>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</si>
  <si>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</si>
  <si>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</si>
  <si>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</si>
  <si>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</si>
  <si>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</si>
  <si>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</si>
  <si>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</si>
  <si>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</si>
  <si>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</si>
  <si>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</si>
  <si>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</si>
  <si>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</si>
  <si>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</si>
  <si>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</si>
  <si>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</si>
  <si>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</si>
  <si>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</si>
  <si>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</si>
  <si>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</si>
  <si>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</si>
  <si>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</si>
  <si>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</si>
  <si>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</si>
  <si>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</si>
  <si>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</si>
  <si>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</si>
  <si>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</si>
  <si>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</si>
  <si>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</si>
  <si>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</si>
  <si>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</si>
  <si>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</si>
  <si>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</si>
  <si>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</si>
  <si>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</si>
  <si>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</si>
  <si>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</si>
  <si>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</si>
  <si>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</si>
  <si>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</si>
  <si>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</si>
  <si>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</si>
  <si>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</si>
  <si>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</si>
  <si>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</si>
  <si>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</si>
  <si>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</si>
  <si>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</si>
  <si>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</si>
  <si>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</si>
  <si>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</si>
  <si>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</si>
  <si>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</si>
  <si>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</si>
  <si>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</si>
  <si>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</si>
  <si>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</si>
  <si>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</si>
  <si>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</si>
  <si>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</si>
  <si>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</si>
  <si>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</si>
  <si>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</si>
  <si>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</si>
  <si>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</si>
  <si>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</si>
  <si>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</si>
  <si>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</si>
  <si>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</si>
  <si>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</si>
  <si>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</si>
  <si>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</si>
  <si>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</si>
  <si>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</si>
  <si>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</si>
  <si>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</si>
  <si>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</si>
  <si>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</si>
  <si>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</si>
  <si>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</si>
  <si>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</si>
  <si>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</si>
  <si>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</si>
  <si>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</si>
  <si>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</si>
  <si>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</si>
  <si>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</si>
  <si>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</si>
  <si>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</si>
  <si>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</si>
  <si>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</si>
  <si>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</si>
  <si>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</si>
  <si>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</si>
  <si>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</si>
  <si>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</si>
  <si>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</si>
  <si>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</si>
  <si>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</si>
  <si>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</si>
  <si>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</si>
  <si>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</si>
  <si>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</si>
  <si>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</si>
  <si>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</si>
  <si>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</si>
  <si>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</si>
  <si>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</si>
  <si>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</si>
  <si>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</si>
  <si>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</si>
  <si>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</si>
  <si>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</si>
  <si>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</si>
  <si>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</si>
  <si>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</si>
  <si>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</si>
  <si>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</si>
  <si>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</si>
  <si>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</si>
  <si>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</si>
  <si>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</si>
  <si>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</si>
  <si>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</si>
  <si>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</si>
  <si>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</si>
  <si>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</si>
  <si>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</si>
  <si>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</si>
  <si>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</si>
  <si>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</si>
  <si>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</si>
  <si>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</si>
  <si>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</si>
  <si>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</si>
  <si>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</si>
  <si>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</si>
  <si>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</si>
  <si>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</si>
  <si>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</si>
  <si>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</si>
  <si>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</si>
  <si>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</si>
  <si>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</si>
  <si>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</si>
  <si>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</si>
  <si>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</si>
  <si>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</si>
  <si>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</si>
  <si>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</si>
  <si>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</si>
  <si>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</si>
  <si>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</si>
  <si>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</si>
  <si>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</si>
  <si>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</si>
  <si>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</si>
  <si>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</si>
  <si>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</si>
  <si>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</si>
  <si>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</si>
  <si>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</si>
  <si>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</si>
  <si>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</si>
  <si>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</si>
  <si>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</si>
  <si>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</si>
  <si>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</si>
  <si>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</si>
  <si>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</si>
  <si>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</si>
  <si>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</si>
  <si>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</si>
  <si>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</si>
  <si>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</si>
  <si>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</si>
  <si>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</si>
  <si>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</si>
  <si>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</si>
  <si>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</si>
  <si>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</si>
  <si>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</si>
  <si>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</si>
  <si>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</si>
  <si>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</si>
  <si>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</si>
  <si>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</si>
  <si>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</si>
  <si>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</si>
  <si>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</si>
  <si>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</si>
  <si>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</si>
  <si>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</si>
  <si>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</si>
  <si>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</si>
  <si>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</si>
  <si>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</si>
  <si>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</si>
  <si>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</si>
  <si>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</si>
  <si>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</si>
  <si>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</si>
  <si>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</si>
  <si>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</si>
  <si>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</si>
  <si>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</si>
  <si>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</si>
  <si>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</si>
  <si>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</si>
  <si>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</si>
  <si>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</si>
  <si>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</si>
  <si>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</si>
  <si>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</si>
  <si>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</si>
  <si>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</si>
  <si>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</si>
  <si>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</si>
  <si>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</si>
  <si>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</si>
  <si>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</si>
  <si>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</si>
  <si>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</si>
  <si>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</si>
  <si>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</si>
  <si>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</si>
  <si>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</si>
  <si>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</si>
  <si>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</si>
  <si>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</si>
  <si>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</si>
  <si>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</si>
  <si>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</si>
  <si>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</si>
  <si>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</si>
  <si>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</si>
  <si>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</si>
  <si>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</si>
  <si>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</si>
  <si>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</si>
  <si>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</si>
  <si>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</si>
  <si>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</si>
  <si>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</si>
  <si>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</si>
  <si>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</si>
  <si>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</si>
  <si>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</si>
  <si>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</si>
  <si>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</si>
  <si>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</si>
  <si>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</si>
  <si>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</si>
  <si>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</si>
  <si>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</si>
  <si>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</si>
  <si>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</si>
  <si>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</si>
  <si>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</si>
  <si>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</si>
  <si>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</si>
  <si>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</si>
  <si>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</si>
  <si>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</si>
  <si>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</si>
  <si>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</si>
  <si>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</si>
  <si>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</si>
  <si>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</si>
  <si>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</si>
  <si>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</si>
  <si>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</si>
  <si>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</si>
  <si>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</si>
  <si>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</si>
  <si>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</si>
  <si>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</si>
  <si>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</si>
  <si>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</si>
  <si>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</si>
  <si>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</si>
  <si>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</si>
  <si>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</si>
  <si>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</si>
  <si>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</si>
  <si>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</si>
  <si>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</si>
  <si>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</si>
  <si>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</si>
  <si>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</si>
  <si>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</si>
  <si>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</si>
  <si>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</si>
  <si>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</si>
  <si>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</si>
  <si>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</si>
  <si>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</si>
  <si>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</si>
  <si>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</si>
  <si>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</si>
  <si>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</si>
  <si>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</si>
  <si>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</si>
  <si>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</si>
  <si>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</si>
  <si>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</si>
  <si>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</si>
  <si>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</si>
  <si>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</si>
  <si>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</si>
  <si>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</si>
  <si>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</si>
  <si>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</si>
  <si>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</si>
  <si>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</si>
  <si>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</si>
  <si>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</si>
  <si>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</si>
  <si>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</si>
  <si>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</si>
  <si>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</si>
  <si>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</si>
  <si>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</si>
  <si>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</si>
  <si>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</si>
  <si>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</si>
  <si>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</si>
  <si>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</si>
  <si>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</si>
  <si>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</si>
  <si>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</si>
  <si>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</si>
  <si>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</si>
  <si>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</si>
  <si>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</si>
  <si>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</si>
  <si>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</si>
  <si>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</si>
  <si>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</si>
  <si>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</si>
  <si>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</si>
  <si>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</si>
  <si>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</si>
  <si>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</si>
  <si>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</si>
  <si>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</si>
  <si>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</si>
  <si>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</si>
  <si>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</si>
  <si>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</si>
  <si>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</si>
  <si>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</si>
  <si>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</si>
  <si>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</si>
  <si>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</si>
  <si>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</si>
  <si>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</si>
  <si>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</si>
  <si>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</si>
  <si>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</si>
  <si>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</si>
  <si>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</si>
  <si>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</si>
  <si>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</si>
  <si>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</si>
  <si>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</si>
  <si>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</si>
  <si>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</si>
  <si>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</si>
  <si>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</si>
  <si>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</si>
  <si>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</si>
  <si>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</si>
  <si>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</si>
  <si>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</si>
  <si>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</si>
  <si>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</si>
  <si>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</si>
  <si>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</si>
  <si>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</si>
  <si>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</si>
  <si>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</si>
  <si>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</si>
  <si>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</si>
  <si>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</si>
  <si>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</si>
  <si>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</si>
  <si>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</si>
  <si>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</si>
  <si>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</si>
  <si>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</si>
  <si>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</si>
  <si>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</si>
  <si>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</si>
  <si>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</si>
  <si>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</si>
  <si>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</si>
  <si>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</si>
  <si>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</si>
  <si>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</si>
  <si>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</si>
  <si>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</si>
  <si>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</si>
  <si>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</si>
  <si>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</si>
  <si>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</si>
  <si>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</si>
  <si>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</si>
  <si>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</si>
  <si>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</si>
  <si>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</si>
  <si>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</si>
  <si>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</si>
  <si>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</si>
  <si>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</si>
  <si>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</si>
  <si>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</si>
  <si>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</si>
  <si>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</si>
  <si>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</si>
  <si>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</si>
  <si>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</si>
  <si>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</si>
  <si>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</si>
  <si>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</si>
  <si>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</si>
  <si>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</si>
  <si>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</si>
  <si>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</si>
  <si>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</si>
  <si>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</si>
  <si>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</si>
  <si>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</si>
  <si>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</si>
  <si>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</si>
  <si>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</si>
  <si>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</si>
  <si>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</si>
  <si>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</si>
  <si>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</si>
  <si>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</si>
  <si>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</si>
  <si>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</si>
  <si>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</si>
  <si>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</si>
  <si>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</si>
  <si>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</si>
  <si>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</si>
  <si>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</si>
  <si>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</si>
  <si>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</si>
  <si>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</si>
  <si>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</si>
  <si>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</si>
  <si>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</si>
  <si>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</si>
  <si>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</si>
  <si>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</si>
  <si>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</si>
  <si>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</si>
  <si>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</si>
  <si>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</si>
  <si>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</si>
  <si>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</si>
  <si>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</si>
  <si>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</si>
  <si>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</si>
  <si>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</si>
  <si>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</si>
  <si>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</si>
  <si>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</si>
  <si>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</si>
  <si>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</si>
  <si>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</si>
  <si>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</si>
  <si>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</si>
  <si>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</si>
  <si>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</si>
  <si>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</si>
  <si>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</si>
  <si>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</si>
  <si>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</si>
  <si>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</si>
  <si>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</si>
  <si>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</si>
  <si>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</si>
  <si>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</si>
  <si>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</si>
  <si>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</si>
  <si>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</si>
  <si>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</si>
  <si>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</si>
  <si>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</si>
  <si>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</si>
  <si>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</si>
  <si>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</si>
  <si>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</si>
  <si>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</si>
  <si>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</si>
  <si>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</si>
  <si>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</si>
  <si>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</si>
  <si>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</si>
  <si>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</si>
  <si>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</si>
  <si>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</si>
  <si>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</si>
  <si>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</si>
  <si>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</si>
  <si>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</si>
  <si>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</si>
  <si>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</si>
  <si>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</si>
  <si>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</si>
  <si>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</si>
  <si>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</si>
  <si>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</si>
  <si>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</si>
  <si>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</si>
  <si>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</si>
  <si>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</si>
  <si>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</si>
  <si>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</si>
  <si>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</si>
  <si>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</si>
  <si>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</si>
  <si>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</si>
  <si>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</si>
  <si>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</si>
  <si>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</si>
  <si>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</si>
  <si>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</si>
  <si>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</si>
  <si>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</si>
  <si>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</si>
  <si>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</si>
  <si>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</si>
  <si>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</si>
  <si>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</si>
  <si>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</si>
  <si>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</si>
  <si>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</si>
  <si>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</si>
  <si>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</si>
  <si>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</si>
  <si>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</si>
  <si>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</si>
  <si>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</si>
  <si>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</si>
  <si>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</si>
  <si>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</si>
  <si>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</si>
  <si>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</si>
  <si>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</si>
  <si>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</si>
  <si>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</si>
  <si>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</si>
  <si>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</si>
  <si>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</si>
  <si>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</si>
  <si>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</si>
  <si>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</si>
  <si>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</si>
  <si>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</si>
  <si>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</si>
  <si>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</si>
  <si>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</si>
  <si>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</si>
  <si>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</si>
  <si>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</si>
  <si>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</si>
  <si>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</si>
  <si>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</si>
  <si>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</si>
  <si>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</si>
  <si>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</si>
  <si>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</si>
  <si>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</si>
  <si>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</si>
  <si>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</si>
  <si>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</si>
  <si>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</si>
  <si>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</si>
  <si>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</si>
  <si>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</si>
  <si>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</si>
  <si>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</si>
  <si>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</si>
  <si>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</si>
  <si>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</si>
  <si>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</si>
  <si>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</si>
  <si>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</si>
  <si>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</si>
  <si>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</si>
  <si>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</si>
  <si>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</si>
  <si>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</si>
  <si>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</si>
  <si>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</si>
  <si>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</si>
  <si>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</si>
  <si>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</si>
  <si>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</si>
  <si>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</si>
  <si>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</si>
  <si>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</si>
  <si>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</si>
  <si>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</si>
  <si>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</si>
  <si>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</si>
  <si>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</si>
  <si>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</si>
  <si>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</si>
  <si>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</si>
  <si>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</si>
  <si>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</si>
  <si>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</si>
  <si>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</si>
  <si>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</si>
  <si>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</si>
  <si>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</si>
  <si>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</si>
  <si>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</si>
  <si>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</si>
  <si>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</si>
  <si>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</si>
  <si>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</si>
  <si>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</si>
  <si>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</si>
  <si>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</si>
  <si>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</si>
  <si>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</si>
  <si>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</si>
  <si>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</si>
  <si>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</si>
  <si>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</si>
  <si>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</si>
  <si>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</si>
  <si>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</si>
  <si>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</si>
  <si>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</si>
  <si>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</si>
  <si>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</si>
  <si>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</si>
  <si>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</si>
  <si>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</si>
  <si>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</si>
  <si>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</si>
  <si>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</si>
  <si>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</si>
  <si>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</si>
  <si>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</si>
  <si>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</si>
  <si>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</si>
  <si>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</si>
  <si>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</si>
  <si>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</si>
  <si>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</si>
  <si>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</si>
  <si>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</si>
  <si>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</si>
  <si>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</si>
  <si>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</si>
  <si>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</si>
  <si>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</si>
  <si>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</si>
  <si>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</si>
  <si>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</si>
  <si>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</si>
  <si>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</si>
  <si>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</si>
  <si>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</si>
  <si>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</si>
  <si>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</si>
  <si>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</si>
  <si>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</si>
  <si>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</si>
  <si>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</si>
  <si>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</si>
  <si>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</si>
  <si>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</si>
  <si>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</si>
  <si>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</si>
  <si>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</si>
  <si>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</si>
  <si>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</si>
  <si>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</si>
  <si>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</si>
  <si>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</si>
  <si>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</si>
  <si>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</si>
  <si>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</si>
  <si>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</si>
  <si>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</si>
  <si>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</si>
  <si>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</si>
  <si>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</si>
  <si>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</si>
  <si>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</si>
  <si>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</si>
  <si>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</si>
  <si>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</si>
  <si>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</si>
  <si>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</si>
  <si>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</si>
  <si>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</si>
  <si>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</si>
  <si>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</si>
  <si>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</si>
  <si>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</si>
  <si>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</si>
  <si>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</si>
  <si>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</si>
  <si>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</si>
  <si>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</si>
  <si>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</si>
  <si>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</si>
  <si>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</si>
  <si>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</si>
  <si>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</si>
  <si>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</si>
  <si>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</si>
  <si>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</si>
  <si>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</si>
  <si>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</si>
  <si>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</si>
  <si>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</si>
  <si>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</si>
  <si>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</si>
  <si>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</si>
  <si>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</si>
  <si>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</si>
  <si>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</si>
  <si>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</si>
  <si>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</si>
  <si>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</si>
  <si>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</si>
  <si>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</si>
  <si>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</si>
  <si>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</si>
  <si>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</si>
  <si>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</si>
  <si>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</si>
  <si>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</si>
  <si>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</si>
  <si>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</si>
  <si>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</si>
  <si>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</si>
  <si>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</si>
  <si>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</si>
  <si>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</si>
  <si>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</si>
  <si>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</si>
  <si>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</si>
  <si>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</si>
  <si>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</si>
  <si>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</si>
  <si>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</si>
  <si>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</si>
  <si>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</si>
  <si>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</si>
  <si>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</si>
  <si>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</si>
  <si>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</si>
  <si>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</si>
  <si>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</si>
  <si>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</si>
  <si>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</si>
  <si>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</si>
  <si>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</si>
  <si>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</si>
  <si>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</si>
  <si>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</si>
  <si>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</si>
  <si>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</si>
  <si>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</si>
  <si>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</si>
  <si>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</si>
  <si>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</si>
  <si>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</si>
  <si>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</si>
  <si>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</si>
  <si>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</si>
  <si>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</si>
  <si>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</si>
  <si>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</si>
  <si>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</si>
  <si>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</si>
  <si>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</si>
  <si>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</si>
  <si>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</si>
  <si>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</si>
  <si>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</si>
  <si>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</si>
  <si>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</si>
  <si>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</si>
  <si>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</si>
  <si>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</si>
  <si>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</si>
  <si>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</si>
  <si>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</si>
  <si>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</si>
  <si>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</si>
  <si>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</si>
  <si>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</si>
  <si>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</si>
  <si>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</si>
  <si>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</si>
  <si>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</si>
  <si>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</si>
  <si>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</si>
  <si>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</si>
  <si>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</si>
  <si>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</si>
  <si>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</si>
  <si>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</si>
  <si>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</si>
  <si>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</si>
  <si>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</si>
  <si>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</si>
  <si>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</si>
  <si>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</si>
  <si>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</si>
  <si>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</si>
  <si>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</si>
  <si>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</si>
  <si>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</si>
  <si>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</si>
  <si>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</si>
  <si>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</si>
  <si>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</si>
  <si>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</si>
  <si>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</si>
  <si>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</si>
  <si>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</si>
  <si>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</si>
  <si>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</si>
  <si>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</si>
  <si>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</si>
  <si>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</si>
  <si>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</si>
  <si>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</si>
  <si>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</si>
  <si>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</si>
  <si>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</si>
  <si>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</si>
  <si>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</si>
  <si>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</si>
  <si>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</si>
  <si>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</si>
  <si>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</si>
  <si>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</si>
  <si>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</si>
  <si>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</si>
  <si>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</si>
  <si>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</si>
  <si>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</si>
  <si>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</si>
  <si>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</si>
  <si>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</si>
  <si>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</si>
  <si>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</si>
  <si>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</si>
  <si>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</si>
  <si>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</si>
  <si>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</si>
  <si>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</si>
  <si>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</si>
  <si>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</si>
  <si>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</si>
  <si>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</si>
  <si>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</si>
  <si>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</si>
  <si>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</si>
  <si>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</si>
  <si>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</si>
  <si>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</si>
  <si>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</si>
  <si>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</si>
  <si>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</si>
  <si>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</si>
  <si>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</si>
  <si>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</si>
  <si>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</si>
  <si>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</si>
  <si>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</si>
  <si>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</si>
  <si>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</si>
  <si>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</si>
  <si>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</si>
  <si>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</si>
  <si>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</si>
  <si>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</si>
  <si>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</si>
  <si>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</si>
  <si>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</si>
  <si>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</si>
  <si>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</si>
  <si>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</si>
  <si>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</si>
  <si>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</si>
  <si>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</si>
  <si>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</si>
  <si>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</si>
  <si>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</si>
  <si>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</si>
  <si>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</si>
  <si>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</si>
  <si>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</si>
  <si>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</si>
  <si>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</si>
  <si>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</si>
  <si>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</si>
  <si>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</si>
  <si>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</si>
  <si>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</si>
  <si>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</si>
  <si>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</si>
  <si>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</si>
  <si>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</si>
  <si>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</si>
  <si>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</si>
  <si>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</si>
  <si>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</si>
  <si>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</si>
  <si>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</si>
  <si>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</si>
  <si>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</si>
  <si>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</si>
  <si>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</si>
  <si>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</si>
  <si>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</si>
  <si>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</si>
  <si>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</si>
  <si>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</si>
  <si>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</si>
  <si>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</si>
  <si>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</si>
  <si>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</si>
  <si>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</si>
  <si>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</si>
  <si>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</si>
  <si>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</si>
  <si>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</si>
  <si>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</si>
  <si>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</si>
  <si>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</si>
  <si>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</si>
  <si>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</si>
  <si>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</si>
  <si>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</si>
  <si>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</si>
  <si>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</si>
  <si>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</si>
  <si>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</si>
  <si>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</si>
  <si>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</si>
  <si>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</si>
  <si>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</si>
  <si>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</si>
  <si>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</si>
  <si>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</si>
  <si>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</si>
  <si>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</si>
  <si>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</si>
  <si>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</si>
  <si>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</si>
  <si>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</si>
  <si>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</si>
  <si>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</si>
  <si>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</si>
  <si>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</si>
  <si>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</si>
  <si>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</si>
  <si>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</si>
  <si>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</si>
  <si>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</si>
  <si>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</si>
  <si>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</si>
  <si>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</si>
  <si>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</si>
  <si>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</si>
  <si>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</si>
  <si>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</si>
  <si>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</si>
  <si>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</si>
  <si>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</si>
  <si>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</si>
  <si>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</si>
  <si>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</si>
  <si>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</si>
  <si>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</si>
  <si>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</si>
  <si>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</si>
  <si>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</si>
  <si>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</si>
  <si>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</si>
  <si>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</si>
  <si>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</si>
  <si>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</si>
  <si>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</si>
  <si>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</si>
  <si>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</si>
  <si>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</si>
  <si>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</si>
  <si>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</si>
  <si>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</si>
  <si>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</si>
  <si>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</si>
  <si>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</si>
  <si>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</si>
  <si>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</si>
  <si>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</si>
  <si>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</si>
  <si>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</si>
  <si>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</si>
  <si>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</si>
  <si>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</si>
  <si>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</si>
  <si>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</si>
  <si>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</si>
  <si>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</si>
  <si>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</si>
  <si>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</si>
  <si>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</si>
  <si>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</si>
  <si>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</si>
  <si>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</si>
  <si>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</si>
  <si>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</si>
  <si>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</si>
  <si>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</si>
  <si>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</si>
  <si>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</si>
  <si>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</si>
  <si>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</si>
  <si>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</si>
  <si>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</si>
  <si>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</si>
  <si>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</si>
  <si>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</si>
  <si>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</si>
  <si>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</si>
  <si>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</si>
  <si>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</si>
  <si>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</si>
  <si>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</si>
  <si>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</si>
  <si>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</si>
  <si>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</si>
  <si>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</si>
  <si>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</si>
  <si>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</si>
  <si>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</si>
  <si>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</si>
  <si>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</si>
  <si>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</si>
  <si>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</si>
  <si>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</si>
  <si>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</si>
  <si>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</si>
  <si>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</si>
  <si>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</si>
  <si>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</si>
  <si>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</si>
  <si>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</si>
  <si>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</si>
  <si>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</si>
  <si>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</si>
  <si>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</si>
  <si>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</si>
  <si>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</si>
  <si>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</si>
  <si>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</si>
  <si>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</si>
  <si>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</si>
  <si>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</si>
  <si>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</si>
  <si>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</si>
  <si>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</si>
  <si>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</si>
  <si>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</si>
  <si>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</si>
  <si>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</si>
  <si>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</si>
  <si>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</si>
  <si>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</si>
  <si>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</si>
  <si>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</si>
  <si>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</si>
  <si>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</si>
  <si>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</si>
  <si>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</si>
  <si>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</si>
  <si>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</si>
  <si>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</si>
  <si>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</si>
  <si>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</si>
  <si>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</si>
  <si>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</si>
  <si>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</si>
  <si>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</si>
  <si>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</si>
  <si>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</si>
  <si>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</si>
  <si>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</si>
  <si>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</si>
  <si>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</si>
  <si>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</si>
  <si>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</si>
  <si>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</si>
  <si>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</si>
  <si>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</si>
  <si>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</si>
  <si>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</si>
  <si>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</si>
  <si>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</si>
  <si>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</si>
  <si>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</si>
  <si>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</si>
  <si>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</si>
  <si>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</si>
  <si>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</si>
  <si>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</si>
  <si>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</si>
  <si>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</si>
  <si>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</si>
  <si>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</si>
  <si>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</si>
  <si>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</si>
  <si>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</si>
  <si>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</si>
  <si>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</si>
  <si>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</si>
  <si>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</si>
  <si>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</si>
  <si>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</si>
  <si>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</si>
  <si>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</si>
  <si>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</si>
  <si>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</si>
  <si>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</si>
  <si>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</si>
  <si>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</si>
  <si>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</si>
  <si>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</si>
  <si>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</si>
  <si>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</si>
  <si>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</si>
  <si>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</si>
  <si>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</si>
  <si>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</si>
  <si>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</si>
  <si>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</si>
  <si>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</si>
  <si>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</si>
  <si>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</si>
  <si>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</si>
  <si>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</si>
  <si>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</si>
  <si>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</si>
  <si>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</si>
  <si>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</si>
  <si>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</si>
  <si>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</si>
  <si>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</si>
  <si>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</si>
  <si>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</si>
  <si>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</si>
  <si>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</si>
  <si>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</si>
  <si>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</si>
  <si>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</si>
  <si>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</si>
  <si>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</si>
  <si>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</si>
  <si>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</si>
  <si>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</si>
  <si>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</si>
  <si>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</si>
  <si>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</si>
  <si>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</si>
  <si>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</si>
  <si>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</si>
  <si>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</si>
  <si>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</si>
  <si>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</si>
  <si>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</si>
  <si>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</si>
  <si>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</si>
  <si>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</si>
  <si>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</si>
  <si>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</si>
  <si>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</si>
  <si>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</si>
  <si>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</si>
  <si>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</si>
  <si>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</si>
  <si>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</si>
  <si>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</si>
  <si>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</si>
  <si>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</si>
  <si>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</si>
  <si>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</si>
  <si>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</si>
  <si>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</si>
  <si>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</si>
  <si>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</si>
  <si>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</si>
  <si>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</si>
  <si>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</si>
  <si>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</si>
  <si>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</si>
  <si>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</si>
  <si>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</si>
  <si>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</si>
  <si>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</si>
  <si>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</si>
  <si>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</si>
  <si>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</si>
  <si>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</si>
  <si>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</si>
  <si>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</si>
  <si>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</si>
  <si>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</si>
  <si>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</si>
  <si>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</si>
  <si>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</si>
  <si>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</si>
  <si>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</si>
  <si>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</si>
  <si>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</si>
  <si>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</si>
  <si>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</si>
  <si>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</si>
  <si>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</si>
  <si>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</si>
  <si>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</si>
  <si>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</si>
  <si>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</si>
  <si>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</si>
  <si>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</si>
  <si>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</si>
  <si>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</si>
  <si>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</si>
  <si>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</si>
  <si>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</si>
  <si>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</si>
  <si>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</si>
  <si>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</si>
  <si>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</si>
  <si>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</si>
  <si>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</si>
  <si>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</si>
  <si>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</si>
  <si>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</si>
  <si>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</si>
  <si>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</si>
  <si>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</si>
  <si>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</si>
  <si>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</si>
  <si>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</si>
  <si>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</si>
  <si>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</si>
  <si>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</si>
  <si>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</si>
  <si>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</si>
  <si>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</si>
  <si>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</si>
  <si>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</si>
  <si>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</si>
  <si>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</si>
  <si>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</si>
  <si>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</si>
  <si>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</si>
  <si>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</si>
  <si>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</si>
  <si>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</si>
  <si>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</si>
  <si>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</si>
  <si>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</si>
  <si>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</si>
  <si>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</si>
  <si>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</si>
  <si>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</si>
  <si>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</si>
  <si>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</si>
  <si>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</si>
  <si>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</si>
  <si>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</si>
  <si>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</si>
  <si>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</si>
  <si>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</si>
  <si>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</si>
  <si>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</si>
  <si>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</si>
  <si>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</si>
  <si>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</si>
  <si>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</si>
  <si>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</si>
  <si>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</si>
  <si>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</si>
  <si>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</si>
  <si>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</si>
  <si>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</si>
  <si>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</si>
  <si>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</si>
  <si>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</si>
  <si>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</si>
  <si>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</si>
  <si>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</si>
  <si>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</si>
  <si>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</si>
  <si>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</si>
  <si>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</si>
  <si>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</si>
  <si>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</si>
  <si>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</si>
  <si>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</si>
  <si>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</si>
  <si>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</si>
  <si>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</si>
  <si>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</si>
  <si>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</si>
  <si>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</si>
  <si>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</si>
  <si>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</si>
  <si>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</si>
  <si>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</si>
  <si>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</si>
  <si>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</si>
  <si>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</si>
  <si>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</si>
  <si>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</si>
  <si>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</si>
  <si>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</si>
  <si>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</si>
  <si>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</si>
  <si>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</si>
  <si>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</si>
  <si>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</si>
  <si>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</si>
  <si>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</si>
  <si>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</si>
  <si>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</si>
  <si>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</si>
  <si>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</si>
  <si>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</si>
  <si>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</si>
  <si>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</si>
  <si>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</si>
  <si>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</si>
  <si>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</si>
  <si>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</si>
  <si>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</si>
  <si>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</si>
  <si>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</si>
  <si>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</si>
  <si>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</si>
  <si>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</si>
  <si>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</si>
  <si>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</si>
  <si>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</si>
  <si>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</si>
  <si>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</si>
  <si>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</si>
  <si>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</si>
  <si>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</si>
  <si>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</si>
  <si>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</si>
  <si>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</si>
  <si>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</si>
  <si>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</si>
  <si>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</si>
  <si>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</si>
  <si>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</si>
  <si>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</si>
  <si>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</si>
  <si>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</si>
  <si>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</si>
  <si>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</si>
  <si>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</si>
  <si>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</si>
  <si>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</si>
  <si>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</si>
  <si>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</si>
  <si>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</si>
  <si>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</si>
  <si>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</si>
  <si>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</si>
  <si>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</si>
  <si>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</si>
  <si>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</si>
  <si>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</si>
  <si>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</si>
  <si>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</si>
  <si>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</si>
  <si>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</si>
  <si>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</si>
  <si>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</si>
  <si>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</si>
  <si>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</si>
  <si>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</si>
  <si>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</si>
  <si>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</si>
  <si>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</si>
  <si>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</si>
  <si>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</si>
  <si>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</si>
  <si>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on track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</si>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</sst>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  <xf numFmtId="0" fontId="19" fillId="0" borderId="0" xfId="0" applyFont="1" applyBorder="1" applyAlignment="1">
      <alignment vertical="center"/>
    </xf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50.665361458334" createdVersion="7" refreshedVersion="8" minRefreshableVersion="3" recordCount="997" xr:uid="{11839AE3-6158-4318-87AD-2C711D0BF451}">
  <cacheSource type="worksheet">
    <worksheetSource name="Proc"/>
  </cacheSource>
  <cacheFields count="19">
    <cacheField name="App" numFmtId="0">
      <sharedItems containsBlank="1" count="1332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s v="FR7198716"/>
        <s v="FR7198162"/>
        <s v="FR7198155"/>
        <s v="FR7197616"/>
        <s v="FR7201312"/>
        <s v="FR7205291"/>
        <s v="FR7203070"/>
        <s v="FR7203031"/>
        <s v="FR7202987"/>
        <s v="FR7202977"/>
        <s v="FR7202906"/>
        <s v="FR7202684"/>
        <s v="FR7205855"/>
        <s v="FR7214613"/>
        <s v="FR7212236"/>
        <s v="FR7207432"/>
        <s v="FR7214943"/>
        <s v="FR7202557"/>
        <s v="FR7218063"/>
        <s v="FR7216772"/>
        <s v="FR7216010"/>
        <s v="FR7215342"/>
        <s v="FR721831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03T08:49:06"/>
    </cacheField>
    <cacheField name="DateMapped" numFmtId="14">
      <sharedItems containsNonDate="0" containsDate="1" containsString="0" containsBlank="1" minDate="2023-09-01T00:00:00" maxDate="2025-04-03T00:00:00"/>
    </cacheField>
    <cacheField name="DateClosed" numFmtId="14">
      <sharedItems containsNonDate="0" containsDate="1" containsString="0" containsBlank="1" minDate="2023-09-06T00:00:00" maxDate="2025-04-03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74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7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74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4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49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45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42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42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42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42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42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42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42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42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42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42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42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42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42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42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42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42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42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42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42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42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42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42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42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42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42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42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42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42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42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42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42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42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42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42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42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42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42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42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42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42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42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41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41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41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41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41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40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40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40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40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40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39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39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37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37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36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33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33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33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33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33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33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33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33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33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33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33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32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32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32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32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32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33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33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33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33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33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33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33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33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33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33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27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27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27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2"/>
    <s v="Jay-R Lizardo"/>
    <m/>
  </r>
  <r>
    <x v="101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2"/>
    <s v="Jay-R Lizardo"/>
    <m/>
  </r>
  <r>
    <x v="101"/>
    <x v="0"/>
    <x v="2"/>
    <s v="CLFF_1000$$$DE65GIT032"/>
    <s v="G000000256"/>
    <s v="DFLTPGCOH_BF-C2_001242"/>
    <s v="LFF (MDG-F)"/>
    <s v="DE65GIT032"/>
    <s v="Object was map in SAP but did not replicate in TM1."/>
    <b v="0"/>
    <x v="0"/>
    <x v="1"/>
    <d v="2025-03-04T14:35:25"/>
    <m/>
    <d v="2025-04-02T00:00:00"/>
    <x v="1"/>
    <n v="21"/>
    <s v="Jay-R Lizardo"/>
    <m/>
  </r>
  <r>
    <x v="101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2"/>
    <s v="Jay-R Lizardo"/>
    <m/>
  </r>
  <r>
    <x v="101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2"/>
    <s v="Jay-R Lizardo"/>
    <m/>
  </r>
  <r>
    <x v="101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2"/>
    <s v="Jay-R Lizardo"/>
    <m/>
  </r>
  <r>
    <x v="101"/>
    <x v="0"/>
    <x v="2"/>
    <s v="CNOW_7210$$$0000010256"/>
    <s v="G000001356"/>
    <s v="G000001356"/>
    <s v="Non-LFF"/>
    <m/>
    <m/>
    <b v="1"/>
    <x v="0"/>
    <x v="1"/>
    <d v="2025-03-04T14:35:25"/>
    <m/>
    <m/>
    <x v="1"/>
    <n v="22"/>
    <s v="Jay-R Lizardo"/>
    <m/>
  </r>
  <r>
    <x v="101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SCALA_1042$PMIT"/>
    <s v="G000000277"/>
    <s v="G000000277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2"/>
    <s v="Jay-R Lizardo"/>
    <m/>
  </r>
  <r>
    <x v="101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2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2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12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12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29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0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1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PQUATRO_T000394DE0413001 LAFAMD Support CN 2024 CN01R00403"/>
    <s v="P000000573"/>
    <s v="DFLTPGCOH Default - Unmapped Objects"/>
    <s v="Non-LFF"/>
    <s v=""/>
    <m/>
    <b v="0"/>
    <x v="3"/>
    <x v="1"/>
    <d v="2025-03-31T09:30:50"/>
    <d v="2025-04-02T00:00:00"/>
    <d v="2025-04-02T00:00:00"/>
    <x v="0"/>
    <n v="2"/>
    <s v="Eivy Denine Cruz"/>
    <m/>
  </r>
  <r>
    <x v="134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35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36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37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8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9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9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40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1"/>
    <x v="1"/>
    <x v="5"/>
    <s v="CNOW_7210$$$0000015395 "/>
    <s v="G000000198"/>
    <s v="G000000199"/>
    <s v="Non-LFF"/>
    <s v=""/>
    <m/>
    <b v="0"/>
    <x v="0"/>
    <x v="2"/>
    <d v="2025-04-02T09:39:57"/>
    <m/>
    <m/>
    <x v="0"/>
    <n v="1"/>
    <s v="Jojeff Tagnong"/>
    <m/>
  </r>
  <r>
    <x v="142"/>
    <x v="1"/>
    <x v="5"/>
    <s v="CTEMPLA_1000CO10100511"/>
    <s v="G000000218"/>
    <s v="G000000712 GZN BX-PL - Buy&amp;Pay Americas Operations"/>
    <s v="Non-LFF"/>
    <s v=""/>
    <m/>
    <b v="0"/>
    <x v="0"/>
    <x v="2"/>
    <d v="2025-04-01T17:03:24"/>
    <m/>
    <m/>
    <x v="0"/>
    <n v="2"/>
    <s v="Virginia Passadore"/>
    <m/>
  </r>
  <r>
    <x v="143"/>
    <x v="1"/>
    <x v="5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m/>
    <m/>
    <x v="0"/>
    <n v="3"/>
    <s v="Jay-R Lizardo"/>
    <m/>
  </r>
  <r>
    <x v="144"/>
    <x v="1"/>
    <x v="5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m/>
    <m/>
    <x v="0"/>
    <n v="1"/>
    <s v="Frances Anne Brecia"/>
    <m/>
  </r>
  <r>
    <x v="144"/>
    <x v="1"/>
    <x v="5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m/>
    <m/>
    <x v="0"/>
    <n v="1"/>
    <s v="Frances Anne Brecia"/>
    <m/>
  </r>
  <r>
    <x v="144"/>
    <x v="1"/>
    <x v="5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m/>
    <m/>
    <x v="0"/>
    <n v="1"/>
    <s v="Frances Anne Brecia"/>
    <m/>
  </r>
  <r>
    <x v="144"/>
    <x v="1"/>
    <x v="5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m/>
    <m/>
    <x v="0"/>
    <n v="1"/>
    <s v="Frances Anne Brecia"/>
    <m/>
  </r>
  <r>
    <x v="144"/>
    <x v="1"/>
    <x v="5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m/>
    <m/>
    <x v="0"/>
    <n v="1"/>
    <s v="Frances Anne Brecia"/>
    <m/>
  </r>
  <r>
    <x v="144"/>
    <x v="1"/>
    <x v="5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m/>
    <m/>
    <x v="0"/>
    <n v="1"/>
    <s v="Frances Anne Brecia"/>
    <m/>
  </r>
  <r>
    <x v="144"/>
    <x v="1"/>
    <x v="5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m/>
    <m/>
    <x v="0"/>
    <n v="1"/>
    <s v="Frances Anne Brecia"/>
    <m/>
  </r>
  <r>
    <x v="144"/>
    <x v="1"/>
    <x v="5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m/>
    <m/>
    <x v="0"/>
    <n v="1"/>
    <s v="Frances Anne Brecia"/>
    <m/>
  </r>
  <r>
    <x v="145"/>
    <x v="1"/>
    <x v="5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m/>
    <m/>
    <x v="0"/>
    <n v="4"/>
    <s v="Virginia Passadore"/>
    <m/>
  </r>
  <r>
    <x v="146"/>
    <x v="1"/>
    <x v="5"/>
    <s v="CTEMPNA_1000PH80GFO055"/>
    <s v="G000000698"/>
    <s v="G000001189"/>
    <s v="Non-LFF"/>
    <s v=""/>
    <m/>
    <b v="0"/>
    <x v="0"/>
    <x v="2"/>
    <d v="2025-04-03T07:26:49"/>
    <m/>
    <m/>
    <x v="0"/>
    <n v="0"/>
    <s v="Jojeff Tagnong"/>
    <m/>
  </r>
  <r>
    <x v="147"/>
    <x v="1"/>
    <x v="5"/>
    <s v="CORAERP_MMOR1975.2463 Receiving &amp; Inventory Control"/>
    <s v="L000009738"/>
    <s v="L000009818  "/>
    <s v="Non-LFF"/>
    <s v=""/>
    <m/>
    <b v="0"/>
    <x v="2"/>
    <x v="2"/>
    <d v="2025-04-02T17:03:32"/>
    <m/>
    <m/>
    <x v="0"/>
    <n v="1"/>
    <s v="Ruby Grace Garcia"/>
    <m/>
  </r>
  <r>
    <x v="147"/>
    <x v="1"/>
    <x v="5"/>
    <s v="CORAERP_MMOR1945.5106 Sales SG - BioP SP"/>
    <s v="L000011670"/>
    <s v="L000011619  "/>
    <s v="Non-LFF"/>
    <s v=""/>
    <m/>
    <b v="0"/>
    <x v="2"/>
    <x v="2"/>
    <d v="2025-04-02T17:03:32"/>
    <m/>
    <m/>
    <x v="0"/>
    <n v="1"/>
    <s v="Ruby Grace Garcia"/>
    <m/>
  </r>
  <r>
    <x v="147"/>
    <x v="1"/>
    <x v="5"/>
    <s v="CORAERP_MMOR1945.5148 Sales KR - BioP SP"/>
    <s v="L000011670"/>
    <s v="L000011619  "/>
    <s v="Non-LFF"/>
    <s v=""/>
    <m/>
    <b v="0"/>
    <x v="2"/>
    <x v="2"/>
    <d v="2025-04-02T17:03:32"/>
    <m/>
    <m/>
    <x v="0"/>
    <n v="1"/>
    <s v="Ruby Grace Garcia"/>
    <m/>
  </r>
  <r>
    <x v="147"/>
    <x v="1"/>
    <x v="5"/>
    <s v="CORAERP_MMOR1975.2609 Manufacturing Strategy"/>
    <s v="L000013790"/>
    <s v="L000009762  "/>
    <s v="Non-LFF"/>
    <s v=""/>
    <m/>
    <b v="0"/>
    <x v="2"/>
    <x v="2"/>
    <d v="2025-04-02T17:03:32"/>
    <m/>
    <m/>
    <x v="0"/>
    <n v="1"/>
    <s v="Ruby Grace Garcia"/>
    <m/>
  </r>
  <r>
    <x v="148"/>
    <x v="1"/>
    <x v="5"/>
    <s v="CNOW_7210$$$0000020215 STL RS BU MANAGEMENT"/>
    <s v="L000013791"/>
    <s v="L000009762 "/>
    <s v="Non-LFF"/>
    <s v=""/>
    <m/>
    <b v="0"/>
    <x v="2"/>
    <x v="2"/>
    <d v="2025-04-02T14:24:36"/>
    <m/>
    <m/>
    <x v="0"/>
    <n v="1"/>
    <s v="Ruby Grace Garcia"/>
    <m/>
  </r>
  <r>
    <x v="148"/>
    <x v="1"/>
    <x v="6"/>
    <s v="CLFF_7210$$$1937TNCZ90 LS-OO Management"/>
    <s v="L000013793"/>
    <s v="L000009762 "/>
    <s v="LFF (MDG-F)"/>
    <s v="1937TNCZ90"/>
    <m/>
    <b v="0"/>
    <x v="2"/>
    <x v="2"/>
    <d v="2025-04-02T14:24:36"/>
    <m/>
    <m/>
    <x v="0"/>
    <n v="1"/>
    <s v="Ruby Grace Garcia"/>
    <m/>
  </r>
  <r>
    <x v="148"/>
    <x v="1"/>
    <x v="5"/>
    <s v="CNOW_7210$$$0000056143 Central Europe Operations Management"/>
    <s v="L000013794"/>
    <s v="L000009762 "/>
    <s v="Non-LFF"/>
    <s v=""/>
    <m/>
    <b v="0"/>
    <x v="2"/>
    <x v="2"/>
    <d v="2025-04-02T14:24:36"/>
    <m/>
    <m/>
    <x v="0"/>
    <n v="1"/>
    <s v="Ruby Grace Garcia"/>
    <m/>
  </r>
  <r>
    <x v="148"/>
    <x v="1"/>
    <x v="5"/>
    <s v="CNOW_7210$$$0000040048 LSS Supply Chain Robustness"/>
    <s v="L000013797"/>
    <s v="L000013370 "/>
    <s v="Non-LFF"/>
    <s v=""/>
    <m/>
    <b v="0"/>
    <x v="2"/>
    <x v="2"/>
    <d v="2025-04-02T14:24:36"/>
    <m/>
    <m/>
    <x v="0"/>
    <n v="1"/>
    <s v="Ruby Grace Garcia"/>
    <m/>
  </r>
  <r>
    <x v="149"/>
    <x v="1"/>
    <x v="5"/>
    <s v="PNEXT_D300124212301000000 "/>
    <s v="L000006425"/>
    <s v="DFLTPGCOH_002072 BioReliance Corporation, USA"/>
    <s v="Non-LFF"/>
    <s v=""/>
    <m/>
    <b v="0"/>
    <x v="2"/>
    <x v="2"/>
    <d v="2025-04-02T11:58:38"/>
    <m/>
    <m/>
    <x v="0"/>
    <n v="1"/>
    <s v="Joan Rose Pena"/>
    <m/>
  </r>
  <r>
    <x v="149"/>
    <x v="1"/>
    <x v="5"/>
    <s v="PNEXT_D300125212301000000 "/>
    <s v="L000006432"/>
    <s v="DFLTPGCOH_002072 BioReliance Corporation, USA"/>
    <s v="Non-LFF"/>
    <s v=""/>
    <m/>
    <b v="0"/>
    <x v="2"/>
    <x v="2"/>
    <d v="2025-04-02T11:58:38"/>
    <m/>
    <m/>
    <x v="0"/>
    <n v="1"/>
    <s v="Joan Rose Pena"/>
    <m/>
  </r>
  <r>
    <x v="149"/>
    <x v="1"/>
    <x v="5"/>
    <s v="CSCALA_1042$EQWH_P19"/>
    <s v="L000011687"/>
    <s v="DFLTPGCOH_002072 BioReliance Corporation, USA"/>
    <s v="Non-LFF"/>
    <s v=""/>
    <m/>
    <b v="0"/>
    <x v="2"/>
    <x v="2"/>
    <d v="2025-04-02T11:58:38"/>
    <m/>
    <m/>
    <x v="0"/>
    <n v="1"/>
    <s v="Joan Rose Pena"/>
    <m/>
  </r>
  <r>
    <x v="150"/>
    <x v="1"/>
    <x v="5"/>
    <s v="CTEMPNA_1000PH80GFO023"/>
    <s v="G000001166"/>
    <s v="G000000698"/>
    <s v="Non-LFF"/>
    <s v=""/>
    <m/>
    <b v="0"/>
    <x v="0"/>
    <x v="2"/>
    <d v="2025-04-03T08:49:06"/>
    <m/>
    <m/>
    <x v="0"/>
    <n v="0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333">
        <item m="1" x="717"/>
        <item x="0"/>
        <item m="1" x="787"/>
        <item m="1" x="1208"/>
        <item m="1" x="370"/>
        <item m="1" x="1225"/>
        <item m="1" x="747"/>
        <item m="1" x="837"/>
        <item m="1" x="1258"/>
        <item m="1" x="1052"/>
        <item m="1" x="740"/>
        <item m="1" x="1324"/>
        <item m="1" x="1070"/>
        <item m="1" x="1314"/>
        <item m="1" x="688"/>
        <item m="1" x="589"/>
        <item m="1" x="293"/>
        <item m="1" x="554"/>
        <item m="1" x="1278"/>
        <item m="1" x="346"/>
        <item m="1" x="654"/>
        <item m="1" x="1022"/>
        <item m="1" x="737"/>
        <item m="1" x="830"/>
        <item m="1" x="1126"/>
        <item m="1" x="1311"/>
        <item m="1" x="772"/>
        <item m="1" x="794"/>
        <item m="1" x="559"/>
        <item m="1" x="960"/>
        <item m="1" x="719"/>
        <item m="1" x="1265"/>
        <item m="1" x="922"/>
        <item m="1" x="355"/>
        <item m="1" x="463"/>
        <item m="1" x="1250"/>
        <item m="1" x="1014"/>
        <item m="1" x="268"/>
        <item m="1" x="1100"/>
        <item m="1" x="766"/>
        <item m="1" x="1061"/>
        <item m="1" x="647"/>
        <item m="1" x="999"/>
        <item m="1" x="258"/>
        <item m="1" x="288"/>
        <item m="1" x="1327"/>
        <item m="1" x="1006"/>
        <item m="1" x="1074"/>
        <item m="1" x="1181"/>
        <item m="1" x="950"/>
        <item m="1" x="1048"/>
        <item m="1" x="887"/>
        <item m="1" x="342"/>
        <item m="1" x="533"/>
        <item m="1" x="1309"/>
        <item m="1" x="877"/>
        <item m="1" x="1017"/>
        <item m="1" x="545"/>
        <item m="1" x="506"/>
        <item m="1" x="798"/>
        <item m="1" x="690"/>
        <item m="1" x="723"/>
        <item m="1" x="282"/>
        <item m="1" x="421"/>
        <item m="1" x="1083"/>
        <item m="1" x="1300"/>
        <item m="1" x="486"/>
        <item m="1" x="891"/>
        <item m="1" x="901"/>
        <item m="1" x="1078"/>
        <item m="1" x="1188"/>
        <item m="1" x="1066"/>
        <item m="1" x="361"/>
        <item m="1" x="1209"/>
        <item m="1" x="939"/>
        <item m="1" x="926"/>
        <item m="1" x="461"/>
        <item m="1" x="814"/>
        <item m="1" x="1161"/>
        <item m="1" x="279"/>
        <item m="1" x="858"/>
        <item m="1" x="1211"/>
        <item m="1" x="1049"/>
        <item m="1" x="784"/>
        <item m="1" x="826"/>
        <item m="1" x="707"/>
        <item m="1" x="942"/>
        <item m="1" x="754"/>
        <item m="1" x="986"/>
        <item m="1" x="470"/>
        <item m="1" x="1299"/>
        <item m="1" x="824"/>
        <item m="1" x="1110"/>
        <item m="1" x="187"/>
        <item m="1" x="1315"/>
        <item m="1" x="851"/>
        <item m="1" x="1140"/>
        <item m="1" x="1053"/>
        <item m="1" x="831"/>
        <item m="1" x="341"/>
        <item m="1" x="348"/>
        <item m="1" x="388"/>
        <item m="1" x="570"/>
        <item m="1" x="994"/>
        <item m="1" x="755"/>
        <item m="1" x="871"/>
        <item m="1" x="934"/>
        <item m="1" x="1081"/>
        <item m="1" x="1164"/>
        <item m="1" x="726"/>
        <item m="1" x="447"/>
        <item m="1" x="290"/>
        <item m="1" x="433"/>
        <item m="1" x="1308"/>
        <item m="1" x="465"/>
        <item m="1" x="1146"/>
        <item m="1" x="1075"/>
        <item m="1" x="693"/>
        <item m="1" x="765"/>
        <item m="1" x="631"/>
        <item m="1" x="888"/>
        <item m="1" x="1263"/>
        <item m="1" x="439"/>
        <item m="1" x="387"/>
        <item m="1" x="322"/>
        <item m="1" x="988"/>
        <item m="1" x="1248"/>
        <item m="1" x="1176"/>
        <item m="1" x="833"/>
        <item m="1" x="357"/>
        <item m="1" x="1082"/>
        <item m="1" x="534"/>
        <item m="1" x="788"/>
        <item m="1" x="963"/>
        <item m="1" x="1071"/>
        <item m="1" x="191"/>
        <item m="1" x="1020"/>
        <item m="1" x="983"/>
        <item m="1" x="424"/>
        <item m="1" x="872"/>
        <item m="1" x="760"/>
        <item m="1" x="713"/>
        <item m="1" x="446"/>
        <item m="1" x="382"/>
        <item m="1" x="622"/>
        <item m="1" x="809"/>
        <item m="1" x="216"/>
        <item m="1" x="555"/>
        <item m="1" x="414"/>
        <item m="1" x="156"/>
        <item m="1" x="666"/>
        <item m="1" x="867"/>
        <item m="1" x="749"/>
        <item m="1" x="795"/>
        <item m="1" x="1114"/>
        <item m="1" x="696"/>
        <item m="1" x="1222"/>
        <item m="1" x="946"/>
        <item m="1" x="885"/>
        <item m="1" x="399"/>
        <item m="1" x="1032"/>
        <item m="1" x="1310"/>
        <item m="1" x="998"/>
        <item m="1" x="982"/>
        <item m="1" x="269"/>
        <item m="1" x="317"/>
        <item m="1" x="852"/>
        <item m="1" x="358"/>
        <item m="1" x="1295"/>
        <item m="1" x="961"/>
        <item m="1" x="886"/>
        <item m="1" x="838"/>
        <item m="1" x="639"/>
        <item m="1" x="267"/>
        <item m="1" x="367"/>
        <item m="1" x="473"/>
        <item m="1" x="1206"/>
        <item m="1" x="1238"/>
        <item m="1" x="937"/>
        <item m="1" x="664"/>
        <item m="1" x="752"/>
        <item m="1" x="262"/>
        <item m="1" x="302"/>
        <item m="1" x="641"/>
        <item m="1" x="866"/>
        <item m="1" x="779"/>
        <item m="1" x="437"/>
        <item m="1" x="670"/>
        <item m="1" x="384"/>
        <item m="1" x="579"/>
        <item m="1" x="501"/>
        <item m="1" x="336"/>
        <item m="1" x="472"/>
        <item m="1" x="842"/>
        <item m="1" x="252"/>
        <item m="1" x="491"/>
        <item m="1" x="283"/>
        <item m="1" x="976"/>
        <item m="1" x="1165"/>
        <item m="1" x="775"/>
        <item m="1" x="419"/>
        <item m="1" x="1069"/>
        <item m="1" x="914"/>
        <item m="1" x="431"/>
        <item m="1" x="432"/>
        <item m="1" x="617"/>
        <item m="1" x="307"/>
        <item m="1" x="496"/>
        <item m="1" x="291"/>
        <item m="1" x="477"/>
        <item m="1" x="1045"/>
        <item m="1" x="556"/>
        <item m="1" x="923"/>
        <item m="1" x="973"/>
        <item m="1" x="1107"/>
        <item m="1" x="1111"/>
        <item m="1" x="828"/>
        <item m="1" x="669"/>
        <item m="1" x="708"/>
        <item m="1" x="1275"/>
        <item m="1" x="568"/>
        <item m="1" x="380"/>
        <item m="1" x="758"/>
        <item m="1" x="215"/>
        <item m="1" x="1279"/>
        <item m="1" x="742"/>
        <item m="1" x="176"/>
        <item m="1" x="1197"/>
        <item m="1" x="1240"/>
        <item m="1" x="1077"/>
        <item m="1" x="454"/>
        <item m="1" x="193"/>
        <item m="1" x="1127"/>
        <item m="1" x="518"/>
        <item m="1" x="154"/>
        <item m="1" x="1298"/>
        <item m="1" x="542"/>
        <item m="1" x="697"/>
        <item m="1" x="1142"/>
        <item m="1" x="229"/>
        <item m="1" x="1054"/>
        <item m="1" x="862"/>
        <item m="1" x="727"/>
        <item m="1" x="597"/>
        <item m="1" x="344"/>
        <item m="1" x="845"/>
        <item m="1" x="547"/>
        <item m="1" x="1085"/>
        <item m="1" x="407"/>
        <item m="1" x="1155"/>
        <item m="1" x="1162"/>
        <item m="1" x="846"/>
        <item m="1" x="1036"/>
        <item m="1" x="453"/>
        <item m="1" x="750"/>
        <item m="1" x="1039"/>
        <item m="1" x="623"/>
        <item m="1" x="913"/>
        <item m="1" x="552"/>
        <item m="1" x="337"/>
        <item m="1" x="541"/>
        <item m="1" x="1307"/>
        <item m="1" x="1249"/>
        <item m="1" x="394"/>
        <item m="1" x="1195"/>
        <item m="1" x="201"/>
        <item m="1" x="1217"/>
        <item m="1" x="236"/>
        <item m="1" x="538"/>
        <item m="1" x="636"/>
        <item m="1" x="583"/>
        <item m="1" x="1190"/>
        <item m="1" x="1093"/>
        <item m="1" x="334"/>
        <item m="1" x="904"/>
        <item m="1" x="1112"/>
        <item m="1" x="1246"/>
        <item m="1" x="1153"/>
        <item m="1" x="239"/>
        <item m="1" x="1319"/>
        <item m="1" x="390"/>
        <item m="1" x="671"/>
        <item m="1" x="1115"/>
        <item m="1" x="238"/>
        <item m="1" x="1174"/>
        <item m="1" x="403"/>
        <item m="1" x="1047"/>
        <item m="1" x="911"/>
        <item m="1" x="889"/>
        <item m="1" x="468"/>
        <item m="1" x="430"/>
        <item m="1" x="1242"/>
        <item m="1" x="183"/>
        <item m="1" x="365"/>
        <item m="1" x="1024"/>
        <item m="1" x="1135"/>
        <item m="1" x="1062"/>
        <item m="1" x="1266"/>
        <item m="1" x="770"/>
        <item m="1" x="397"/>
        <item m="1" x="517"/>
        <item m="1" x="836"/>
        <item m="1" x="578"/>
        <item m="1" x="906"/>
        <item m="1" x="519"/>
        <item m="1" x="321"/>
        <item m="1" x="974"/>
        <item m="1" x="376"/>
        <item m="1" x="256"/>
        <item m="1" x="1108"/>
        <item m="1" x="1255"/>
        <item m="1" x="956"/>
        <item m="1" x="221"/>
        <item m="1" x="1147"/>
        <item m="1" x="945"/>
        <item m="1" x="1055"/>
        <item m="1" x="1194"/>
        <item m="1" x="422"/>
        <item m="1" x="614"/>
        <item m="1" x="452"/>
        <item m="1" x="720"/>
        <item m="1" x="644"/>
        <item m="1" x="674"/>
        <item m="1" x="1210"/>
        <item m="1" x="656"/>
        <item m="1" x="859"/>
        <item m="1" x="391"/>
        <item m="1" x="590"/>
        <item m="1" x="564"/>
        <item m="1" x="907"/>
        <item m="1" x="810"/>
        <item m="1" x="1038"/>
        <item m="1" x="560"/>
        <item m="1" x="1196"/>
        <item m="1" x="398"/>
        <item m="1" x="324"/>
        <item m="1" x="580"/>
        <item m="1" x="1121"/>
        <item m="1" x="231"/>
        <item m="1" x="232"/>
        <item m="1" x="528"/>
        <item m="1" x="1201"/>
        <item m="1" x="595"/>
        <item m="1" x="240"/>
        <item m="1" x="400"/>
        <item m="1" x="642"/>
        <item m="1" x="953"/>
        <item m="1" x="925"/>
        <item m="1" x="596"/>
        <item m="1" x="177"/>
        <item m="1" x="315"/>
        <item m="1" x="527"/>
        <item m="1" x="415"/>
        <item m="1" x="172"/>
        <item m="1" x="1125"/>
        <item m="1" x="1254"/>
        <item m="1" x="724"/>
        <item m="1" x="1154"/>
        <item m="1" x="1214"/>
        <item m="1" x="237"/>
        <item m="1" x="1252"/>
        <item m="1" x="990"/>
        <item m="1" x="413"/>
        <item m="1" x="599"/>
        <item m="1" x="503"/>
        <item m="1" x="865"/>
        <item m="1" x="436"/>
        <item m="1" x="652"/>
        <item m="1" x="947"/>
        <item m="1" x="1072"/>
        <item m="1" x="575"/>
        <item m="1" x="703"/>
        <item m="1" x="515"/>
        <item m="1" x="441"/>
        <item m="1" x="952"/>
        <item m="1" x="1067"/>
        <item m="1" x="1229"/>
        <item m="1" x="271"/>
        <item m="1" x="475"/>
        <item m="1" x="915"/>
        <item m="1" x="316"/>
        <item m="1" x="603"/>
        <item m="1" x="984"/>
        <item m="1" x="249"/>
        <item m="1" x="459"/>
        <item m="1" x="569"/>
        <item m="1" x="1175"/>
        <item m="1" x="408"/>
        <item m="1" x="678"/>
        <item m="1" x="1231"/>
        <item m="1" x="359"/>
        <item m="1" x="548"/>
        <item m="1" x="736"/>
        <item m="1" x="1073"/>
        <item m="1" x="371"/>
        <item m="1" x="627"/>
        <item m="1" x="469"/>
        <item m="1" x="965"/>
        <item m="1" x="1151"/>
        <item m="1" x="277"/>
        <item m="1" x="497"/>
        <item m="1" x="1233"/>
        <item m="1" x="1198"/>
        <item m="1" x="298"/>
        <item m="1" x="615"/>
        <item m="1" x="1139"/>
        <item m="1" x="1270"/>
        <item m="1" x="1141"/>
        <item m="1" x="1116"/>
        <item m="1" x="247"/>
        <item m="1" x="423"/>
        <item m="1" x="505"/>
        <item m="1" x="494"/>
        <item m="1" x="721"/>
        <item m="1" x="209"/>
        <item m="1" x="908"/>
        <item m="1" x="979"/>
        <item m="1" x="161"/>
        <item m="1" x="1239"/>
        <item m="1" x="1101"/>
        <item m="1" x="1230"/>
        <item m="1" x="1260"/>
        <item m="1" x="1296"/>
        <item m="1" x="1234"/>
        <item m="1" x="598"/>
        <item m="1" x="958"/>
        <item m="1" x="565"/>
        <item m="1" x="971"/>
        <item m="1" x="936"/>
        <item m="1" x="374"/>
        <item m="1" x="412"/>
        <item m="1" x="550"/>
        <item m="1" x="1015"/>
        <item m="1" x="535"/>
        <item m="1" x="281"/>
        <item m="1" x="1280"/>
        <item m="1" x="1030"/>
        <item m="1" x="863"/>
        <item m="1" x="895"/>
        <item m="1" x="944"/>
        <item m="1" x="369"/>
        <item m="1" x="711"/>
        <item m="1" x="1056"/>
        <item m="1" x="207"/>
        <item m="1" x="450"/>
        <item m="1" x="350"/>
        <item m="1" x="347"/>
        <item m="1" x="351"/>
        <item m="1" x="152"/>
        <item m="1" x="373"/>
        <item m="1" x="1170"/>
        <item m="1" x="174"/>
        <item m="1" x="820"/>
        <item m="1" x="1257"/>
        <item m="1" x="1068"/>
        <item m="1" x="328"/>
        <item m="1" x="1328"/>
        <item m="1" x="257"/>
        <item m="1" x="624"/>
        <item m="1" x="847"/>
        <item m="1" x="303"/>
        <item m="1" x="756"/>
        <item m="1" x="916"/>
        <item m="1" x="1184"/>
        <item m="1" x="1086"/>
        <item m="1" x="165"/>
        <item m="1" x="848"/>
        <item m="1" x="248"/>
        <item m="1" x="484"/>
        <item m="1" x="456"/>
        <item m="1" x="218"/>
        <item m="1" x="811"/>
        <item m="1" x="818"/>
        <item m="1" x="918"/>
        <item m="1" x="667"/>
        <item m="1" x="1167"/>
        <item m="1" x="576"/>
        <item m="1" x="1286"/>
        <item m="1" x="921"/>
        <item m="1" x="812"/>
        <item m="1" x="476"/>
        <item m="1" x="884"/>
        <item m="1" x="1182"/>
        <item m="1" x="1247"/>
        <item m="1" x="1226"/>
        <item m="1" x="1156"/>
        <item m="1" x="905"/>
        <item m="1" x="1018"/>
        <item m="1" x="531"/>
        <item m="1" x="980"/>
        <item m="1" x="805"/>
        <item m="1" x="764"/>
        <item m="1" x="762"/>
        <item m="1" x="763"/>
        <item m="1" x="460"/>
        <item m="1" x="504"/>
        <item m="1" x="1117"/>
        <item m="1" x="682"/>
        <item m="1" x="524"/>
        <item m="1" x="566"/>
        <item m="1" x="612"/>
        <item m="1" x="864"/>
        <item m="1" x="1202"/>
        <item m="1" x="1291"/>
        <item m="1" x="409"/>
        <item m="1" x="360"/>
        <item m="1" x="197"/>
        <item m="1" x="219"/>
        <item m="1" x="516"/>
        <item m="1" x="304"/>
        <item m="1" x="632"/>
        <item m="1" x="1168"/>
        <item m="1" x="509"/>
        <item m="1" x="301"/>
        <item m="1" x="1060"/>
        <item m="1" x="178"/>
        <item m="1" x="1186"/>
        <item m="1" x="1261"/>
        <item m="1" x="1325"/>
        <item m="1" x="1200"/>
        <item m="1" x="443"/>
        <item m="1" x="220"/>
        <item m="1" x="684"/>
        <item m="1" x="768"/>
        <item m="1" x="964"/>
        <item m="1" x="932"/>
        <item m="1" x="968"/>
        <item m="1" x="745"/>
        <item m="1" x="783"/>
        <item m="1" x="1224"/>
        <item m="1" x="987"/>
        <item m="1" x="957"/>
        <item m="1" x="896"/>
        <item m="1" x="969"/>
        <item m="1" x="170"/>
        <item m="1" x="175"/>
        <item m="1" x="778"/>
        <item m="1" x="1163"/>
        <item m="1" x="733"/>
        <item m="1" x="1303"/>
        <item m="1" x="702"/>
        <item m="1" x="878"/>
        <item m="1" x="949"/>
        <item m="1" x="563"/>
        <item m="1" x="395"/>
        <item m="1" x="771"/>
        <item m="1" x="457"/>
        <item m="1" x="1312"/>
        <item m="1" x="1227"/>
        <item m="1" x="1040"/>
        <item m="1" x="297"/>
        <item m="1" x="224"/>
        <item m="1" x="797"/>
        <item m="1" x="1041"/>
        <item m="1" x="1330"/>
        <item m="1" x="676"/>
        <item m="1" x="1277"/>
        <item m="1" x="211"/>
        <item m="1" x="325"/>
        <item m="1" x="637"/>
        <item m="1" x="728"/>
        <item m="1" x="1157"/>
        <item m="1" x="481"/>
        <item m="1" x="1160"/>
        <item m="1" x="577"/>
        <item m="1" x="1149"/>
        <item m="1" x="1313"/>
        <item m="1" x="241"/>
        <item m="1" x="1297"/>
        <item m="1" x="188"/>
        <item m="1" x="1050"/>
        <item m="1" x="668"/>
        <item m="1" x="499"/>
        <item m="1" x="462"/>
        <item m="1" x="606"/>
        <item m="1" x="205"/>
        <item m="1" x="1290"/>
        <item m="1" x="289"/>
        <item m="1" x="310"/>
        <item m="1" x="1183"/>
        <item m="1" x="1262"/>
        <item m="1" x="776"/>
        <item m="1" x="917"/>
        <item m="1" x="618"/>
        <item m="1" x="731"/>
        <item m="1" x="880"/>
        <item m="1" x="997"/>
        <item m="1" x="584"/>
        <item m="1" x="860"/>
        <item m="1" x="679"/>
        <item m="1" x="1316"/>
        <item m="1" x="169"/>
        <item m="1" x="608"/>
        <item m="1" x="549"/>
        <item m="1" x="510"/>
        <item m="1" x="1304"/>
        <item m="1" x="1122"/>
        <item m="1" x="1253"/>
        <item m="1" x="266"/>
        <item m="1" x="1264"/>
        <item m="1" x="1251"/>
        <item m="1" x="1128"/>
        <item m="1" x="363"/>
        <item m="1" x="732"/>
        <item m="1" x="825"/>
        <item m="1" x="571"/>
        <item m="1" x="1169"/>
        <item m="1" x="955"/>
        <item m="1" x="975"/>
        <item m="1" x="869"/>
        <item m="1" x="212"/>
        <item m="1" x="1042"/>
        <item m="1" x="1204"/>
        <item m="1" x="609"/>
        <item m="1" x="1323"/>
        <item m="1" x="817"/>
        <item m="1" x="404"/>
        <item m="1" x="537"/>
        <item m="1" x="573"/>
        <item m="1" x="1232"/>
        <item m="1" x="1216"/>
        <item m="1" x="276"/>
        <item m="1" x="278"/>
        <item m="1" x="192"/>
        <item m="1" x="1152"/>
        <item m="1" x="194"/>
        <item m="1" x="611"/>
        <item m="1" x="511"/>
        <item m="1" x="967"/>
        <item m="1" x="910"/>
        <item m="1" x="1259"/>
        <item m="1" x="1191"/>
        <item m="1" x="683"/>
        <item m="1" x="897"/>
        <item m="1" x="1132"/>
        <item m="1" x="245"/>
        <item m="1" x="677"/>
        <item m="1" x="607"/>
        <item m="1" x="1301"/>
        <item m="1" x="1268"/>
        <item m="1" x="699"/>
        <item m="1" x="305"/>
        <item m="1" x="600"/>
        <item m="1" x="773"/>
        <item m="1" x="227"/>
        <item m="1" x="1063"/>
        <item m="1" x="657"/>
        <item m="1" x="467"/>
        <item m="1" x="561"/>
        <item m="1" x="1007"/>
        <item m="1" x="1306"/>
        <item m="1" x="385"/>
        <item m="1" x="1158"/>
        <item m="1" x="379"/>
        <item m="1" x="943"/>
        <item m="1" x="715"/>
        <item m="1" x="646"/>
        <item m="1" x="368"/>
        <item m="1" x="435"/>
        <item m="1" x="223"/>
        <item m="1" x="1023"/>
        <item m="1" x="536"/>
        <item m="1" x="260"/>
        <item m="1" x="874"/>
        <item m="1" x="1189"/>
        <item m="1" x="729"/>
        <item m="1" x="687"/>
        <item m="1" x="158"/>
        <item m="1" x="1294"/>
        <item m="1" x="544"/>
        <item m="1" x="604"/>
        <item m="1" x="1011"/>
        <item m="1" x="1288"/>
        <item m="1" x="1213"/>
        <item m="1" x="1064"/>
        <item m="1" x="1179"/>
        <item m="1" x="340"/>
        <item m="1" x="539"/>
        <item m="1" x="372"/>
        <item m="1" x="164"/>
        <item m="1" x="777"/>
        <item m="1" x="226"/>
        <item m="1" x="448"/>
        <item m="1" x="392"/>
        <item m="1" x="338"/>
        <item m="1" x="1293"/>
        <item m="1" x="389"/>
        <item m="1" x="991"/>
        <item m="1" x="1203"/>
        <item m="1" x="329"/>
        <item m="1" x="233"/>
        <item m="1" x="1026"/>
        <item m="1" x="1002"/>
        <item m="1" x="1043"/>
        <item m="1" x="962"/>
        <item m="1" x="306"/>
        <item m="1" x="662"/>
        <item m="1" x="930"/>
        <item m="1" x="1180"/>
        <item m="1" x="774"/>
        <item m="1" x="892"/>
        <item m="1" x="1236"/>
        <item m="1" x="648"/>
        <item m="1" x="492"/>
        <item m="1" x="725"/>
        <item m="1" x="672"/>
        <item m="1" x="602"/>
        <item m="1" x="1119"/>
        <item m="1" x="806"/>
        <item m="1" x="902"/>
        <item m="1" x="153"/>
        <item m="1" x="698"/>
        <item m="1" x="300"/>
        <item m="1" x="567"/>
        <item m="1" x="705"/>
        <item m="1" x="235"/>
        <item m="1" x="352"/>
        <item m="1" x="807"/>
        <item m="1" x="1004"/>
        <item m="1" x="1274"/>
        <item m="1" x="1317"/>
        <item m="1" x="927"/>
        <item m="1" x="275"/>
        <item m="1" x="203"/>
        <item m="1" x="789"/>
        <item m="1" x="411"/>
        <item m="1" x="685"/>
        <item m="1" x="313"/>
        <item m="1" x="416"/>
        <item m="1" x="843"/>
        <item m="1" x="1199"/>
        <item m="1" x="1130"/>
        <item m="1" x="546"/>
        <item m="1" x="581"/>
        <item m="1" x="857"/>
        <item m="1" x="1287"/>
        <item m="1" x="1013"/>
        <item m="1" x="179"/>
        <item m="1" x="1241"/>
        <item m="1" x="287"/>
        <item m="1" x="933"/>
        <item m="1" x="978"/>
        <item m="1" x="981"/>
        <item m="1" x="1321"/>
        <item m="1" x="214"/>
        <item m="1" x="992"/>
        <item m="1" x="1089"/>
        <item m="1" x="861"/>
        <item m="1" x="1031"/>
        <item m="1" x="273"/>
        <item m="1" x="665"/>
        <item m="1" x="512"/>
        <item m="1" x="1124"/>
        <item m="1" x="1219"/>
        <item m="1" x="748"/>
        <item m="1" x="1187"/>
        <item m="1" x="1235"/>
        <item m="1" x="588"/>
        <item m="1" x="1091"/>
        <item m="1" x="954"/>
        <item m="1" x="1237"/>
        <item m="1" x="1281"/>
        <item m="1" x="1019"/>
        <item m="1" x="629"/>
        <item m="1" x="434"/>
        <item m="1" x="1269"/>
        <item m="1" x="816"/>
        <item m="1" x="790"/>
        <item m="1" x="799"/>
        <item m="1" x="1320"/>
        <item m="1" x="1044"/>
        <item m="1" x="739"/>
        <item m="1" x="1008"/>
        <item m="1" x="985"/>
        <item m="1" x="601"/>
        <item m="1" x="502"/>
        <item m="1" x="1001"/>
        <item m="1" x="396"/>
        <item m="1" x="353"/>
        <item m="1" x="295"/>
        <item m="1" x="1282"/>
        <item m="1" x="898"/>
        <item m="1" x="633"/>
        <item m="1" x="714"/>
        <item m="1" x="195"/>
        <item m="1" x="1271"/>
        <item m="1" x="822"/>
        <item m="1" x="970"/>
        <item m="1" x="418"/>
        <item m="1" x="1102"/>
        <item m="1" x="605"/>
        <item m="1" x="498"/>
        <item m="1" x="1326"/>
        <item m="1" x="628"/>
        <item m="1" x="1267"/>
        <item m="1" x="853"/>
        <item m="1" x="529"/>
        <item m="1" x="320"/>
        <item m="1" x="263"/>
        <item m="1" x="557"/>
        <item m="1" x="254"/>
        <item m="1" x="225"/>
        <item m="1" x="242"/>
        <item m="1" x="521"/>
        <item m="1" x="366"/>
        <item m="1" x="673"/>
        <item m="1" x="730"/>
        <item m="1" x="829"/>
        <item m="1" x="700"/>
        <item m="1" x="1033"/>
        <item m="1" x="1097"/>
        <item m="1" x="309"/>
        <item m="1" x="319"/>
        <item m="1" x="508"/>
        <item m="1" x="650"/>
        <item m="1" x="440"/>
        <item m="1" x="993"/>
        <item m="1" x="743"/>
        <item m="1" x="660"/>
        <item m="1" x="793"/>
        <item m="1" x="1099"/>
        <item m="1" x="1037"/>
        <item m="1" x="1123"/>
        <item m="1" x="879"/>
        <item m="1" x="299"/>
        <item m="1" x="1305"/>
        <item m="1" x="718"/>
        <item m="1" x="333"/>
        <item m="1" x="157"/>
        <item m="1" x="1302"/>
        <item m="1" x="786"/>
        <item m="1" x="753"/>
        <item m="1" x="525"/>
        <item m="1" x="405"/>
        <item m="1" x="489"/>
        <item m="1" x="643"/>
        <item m="1" x="1218"/>
        <item m="1" x="1137"/>
        <item m="1" x="513"/>
        <item m="1" x="586"/>
        <item m="1" x="593"/>
        <item m="1" x="1131"/>
        <item m="1" x="734"/>
        <item m="1" x="206"/>
        <item m="1" x="767"/>
        <item m="1" x="1046"/>
        <item m="1" x="1172"/>
        <item m="1" x="1065"/>
        <item m="1" x="873"/>
        <item m="1" x="1171"/>
        <item m="1" x="185"/>
        <item m="1" x="1088"/>
        <item m="1" x="167"/>
        <item m="1" x="507"/>
        <item m="1" x="171"/>
        <item m="1" x="330"/>
        <item m="1" x="420"/>
        <item m="1" x="426"/>
        <item m="1" x="844"/>
        <item m="1" x="1098"/>
        <item m="1" x="625"/>
        <item m="1" x="196"/>
        <item m="1" x="402"/>
        <item m="1" x="190"/>
        <item m="1" x="1185"/>
        <item m="1" x="410"/>
        <item m="1" x="746"/>
        <item m="1" x="1205"/>
        <item m="1" x="532"/>
        <item m="1" x="474"/>
        <item m="1" x="870"/>
        <item m="1" x="427"/>
        <item m="1" x="735"/>
        <item m="1" x="1029"/>
        <item m="1" x="168"/>
        <item m="1" x="681"/>
        <item m="1" x="800"/>
        <item m="1" x="292"/>
        <item m="1" x="634"/>
        <item m="1" x="769"/>
        <item m="1" x="520"/>
        <item m="1" x="558"/>
        <item m="1" x="285"/>
        <item m="1" x="691"/>
        <item m="1" x="155"/>
        <item m="1" x="827"/>
        <item m="1" x="1220"/>
        <item m="1" x="941"/>
        <item m="1" x="935"/>
        <item m="1" x="834"/>
        <item m="1" x="160"/>
        <item m="1" x="966"/>
        <item m="1" x="1009"/>
        <item m="1" x="815"/>
        <item m="1" x="159"/>
        <item m="1" x="1166"/>
        <item m="1" x="1133"/>
        <item m="1" x="163"/>
        <item m="1" x="442"/>
        <item m="1" x="832"/>
        <item m="1" x="1087"/>
        <item m="1" x="284"/>
        <item m="1" x="180"/>
        <item m="1" x="339"/>
        <item m="1" x="230"/>
        <item m="1" x="638"/>
        <item m="1" x="451"/>
        <item m="1" x="449"/>
        <item m="1" x="620"/>
        <item m="1" x="722"/>
        <item m="1" x="626"/>
        <item m="1" x="823"/>
        <item m="1" x="675"/>
        <item m="1" x="540"/>
        <item m="1" x="655"/>
        <item m="1" x="1148"/>
        <item m="1" x="1243"/>
        <item m="1" x="500"/>
        <item m="1" x="1223"/>
        <item m="1" x="265"/>
        <item m="1" x="1212"/>
        <item m="1" x="909"/>
        <item m="1" x="1080"/>
        <item m="1" x="1159"/>
        <item m="1" x="839"/>
        <item m="1" x="1051"/>
        <item m="1" x="343"/>
        <item m="1" x="326"/>
        <item m="1" x="948"/>
        <item m="1" x="920"/>
        <item m="1" x="482"/>
        <item m="1" x="1318"/>
        <item m="1" x="890"/>
        <item m="1" x="630"/>
        <item m="1" x="704"/>
        <item m="1" x="663"/>
        <item m="1" x="1173"/>
        <item m="1" x="1177"/>
        <item m="1" x="173"/>
        <item m="1" x="1057"/>
        <item m="1" x="1103"/>
        <item m="1" x="222"/>
        <item m="1" x="594"/>
        <item m="1" x="585"/>
        <item m="1" x="1092"/>
        <item m="1" x="791"/>
        <item m="1" x="995"/>
        <item m="1" x="661"/>
        <item m="1" x="1012"/>
        <item m="1" x="200"/>
        <item m="1" x="323"/>
        <item m="1" x="1292"/>
        <item m="1" x="912"/>
        <item m="1" x="1284"/>
        <item m="1" x="204"/>
        <item m="1" x="464"/>
        <item m="1" x="280"/>
        <item m="1" x="213"/>
        <item m="1" x="228"/>
        <item m="1" x="780"/>
        <item m="1" x="813"/>
        <item m="1" x="485"/>
        <item m="1" x="903"/>
        <item m="1" x="1221"/>
        <item m="1" x="572"/>
        <item m="1" x="651"/>
        <item m="1" x="801"/>
        <item m="1" x="1289"/>
        <item m="1" x="466"/>
        <item m="1" x="478"/>
        <item m="1" x="488"/>
        <item m="1" x="1109"/>
        <item m="1" x="1245"/>
        <item m="1" x="162"/>
        <item m="1" x="989"/>
        <item m="1" x="1285"/>
        <item m="1" x="386"/>
        <item m="1" x="701"/>
        <item m="1" x="1322"/>
        <item m="1" x="1228"/>
        <item m="1" x="375"/>
        <item m="1" x="487"/>
        <item m="1" x="574"/>
        <item m="1" x="899"/>
        <item m="1" x="1096"/>
        <item m="1" x="331"/>
        <item m="1" x="802"/>
        <item m="1" x="327"/>
        <item m="1" x="296"/>
        <item m="1" x="244"/>
        <item m="1" x="1215"/>
        <item m="1" x="808"/>
        <item m="1" x="1256"/>
        <item m="1" x="649"/>
        <item m="1" x="1273"/>
        <item m="1" x="1025"/>
        <item m="1" x="314"/>
        <item m="1" x="1129"/>
        <item m="1" x="1143"/>
        <item m="1" x="803"/>
        <item m="1" x="1178"/>
        <item m="1" x="1016"/>
        <item m="1" x="881"/>
        <item m="1" x="198"/>
        <item m="1" x="1027"/>
        <item m="1" x="759"/>
        <item m="1" x="692"/>
        <item m="1" x="1035"/>
        <item m="1" x="619"/>
        <item m="1" x="253"/>
        <item m="1" x="425"/>
        <item m="1" x="202"/>
        <item m="1" x="551"/>
        <item m="1" x="929"/>
        <item m="1" x="514"/>
        <item m="1" x="377"/>
        <item m="1" x="592"/>
        <item m="1" x="270"/>
        <item m="1" x="522"/>
        <item m="1" x="393"/>
        <item m="1" x="744"/>
        <item m="1" x="1331"/>
        <item m="1" x="785"/>
        <item m="1" x="381"/>
        <item m="1" x="658"/>
        <item m="1" x="364"/>
        <item m="1" x="417"/>
        <item m="1" x="709"/>
        <item m="1" x="977"/>
        <item m="1" x="694"/>
        <item m="1" x="1144"/>
        <item m="1" x="706"/>
        <item m="1" x="940"/>
        <item m="1" x="255"/>
        <item m="1" x="738"/>
        <item m="1" x="378"/>
        <item m="1" x="308"/>
        <item m="1" x="1034"/>
        <item m="1" x="349"/>
        <item m="1" x="1058"/>
        <item m="1" x="250"/>
        <item m="1" x="875"/>
        <item m="1" x="882"/>
        <item m="1" x="286"/>
        <item m="1" x="804"/>
        <item m="1" x="182"/>
        <item m="1" x="1005"/>
        <item m="1" x="710"/>
        <item m="1" x="931"/>
        <item m="1" x="900"/>
        <item m="1" x="1120"/>
        <item m="1" x="893"/>
        <item m="1" x="471"/>
        <item m="1" x="972"/>
        <item m="1" x="1106"/>
        <item m="1" x="796"/>
        <item m="1" x="928"/>
        <item m="1" x="261"/>
        <item m="1" x="1094"/>
        <item m="1" x="751"/>
        <item m="1" x="616"/>
        <item m="1" x="1000"/>
        <item m="1" x="526"/>
        <item m="1" x="849"/>
        <item m="1" x="383"/>
        <item m="1" x="479"/>
        <item m="1" x="876"/>
        <item m="1" x="645"/>
        <item m="1" x="189"/>
        <item m="1" x="523"/>
        <item m="1" x="1003"/>
        <item m="1" x="1105"/>
        <item m="1" x="208"/>
        <item m="1" x="493"/>
        <item m="1" x="428"/>
        <item m="1" x="761"/>
        <item m="1" x="854"/>
        <item m="1" x="294"/>
        <item m="1" x="1276"/>
        <item m="1" x="259"/>
        <item m="1" x="332"/>
        <item m="1" x="1113"/>
        <item m="1" x="621"/>
        <item m="1" x="635"/>
        <item m="1" x="689"/>
        <item m="1" x="264"/>
        <item m="1" x="543"/>
        <item m="1" x="938"/>
        <item m="1" x="850"/>
        <item m="1" x="640"/>
        <item m="1" x="587"/>
        <item m="1" x="217"/>
        <item m="1" x="455"/>
        <item m="1" x="919"/>
        <item m="1" x="553"/>
        <item m="1" x="716"/>
        <item m="1" x="653"/>
        <item m="1" x="835"/>
        <item m="1" x="199"/>
        <item m="1" x="680"/>
        <item m="1" x="354"/>
        <item m="1" x="757"/>
        <item m="1" x="883"/>
        <item m="1" x="959"/>
        <item m="1" x="894"/>
        <item m="1" x="855"/>
        <item m="1" x="781"/>
        <item m="1" x="1192"/>
        <item m="1" x="1084"/>
        <item m="1" x="335"/>
        <item m="1" x="1076"/>
        <item m="1" x="530"/>
        <item m="1" x="840"/>
        <item m="1" x="246"/>
        <item m="1" x="819"/>
        <item m="1" x="686"/>
        <item m="1" x="1118"/>
        <item m="1" x="272"/>
        <item m="1" x="1329"/>
        <item m="1" x="311"/>
        <item m="1" x="251"/>
        <item m="1" x="821"/>
        <item m="1" x="1021"/>
        <item m="1" x="924"/>
        <item m="1" x="210"/>
        <item m="1" x="362"/>
        <item m="1" x="1150"/>
        <item m="1" x="1090"/>
        <item m="1" x="345"/>
        <item m="1" x="318"/>
        <item m="1" x="613"/>
        <item m="1" x="234"/>
        <item m="1" x="841"/>
        <item m="1" x="274"/>
        <item m="1" x="444"/>
        <item m="1" x="741"/>
        <item m="1" x="1272"/>
        <item m="1" x="312"/>
        <item m="1" x="582"/>
        <item m="1" x="429"/>
        <item m="1" x="591"/>
        <item m="1" x="1145"/>
        <item m="1" x="1028"/>
        <item m="1" x="490"/>
        <item m="1" x="243"/>
        <item m="1" x="1193"/>
        <item m="1" x="356"/>
        <item m="1" x="1138"/>
        <item m="1" x="695"/>
        <item m="1" x="1079"/>
        <item m="1" x="438"/>
        <item m="1" x="610"/>
        <item m="1" x="1095"/>
        <item m="1" x="1283"/>
        <item m="1" x="1059"/>
        <item m="1" x="458"/>
        <item m="1" x="401"/>
        <item m="1" x="1104"/>
        <item m="1" x="868"/>
        <item m="1" x="712"/>
        <item m="1" x="1136"/>
        <item m="1" x="184"/>
        <item m="1" x="181"/>
        <item m="1" x="856"/>
        <item m="1" x="996"/>
        <item m="1" x="951"/>
        <item m="1" x="1134"/>
        <item m="1" x="659"/>
        <item m="1" x="406"/>
        <item m="1" x="480"/>
        <item m="1" x="1010"/>
        <item m="1" x="562"/>
        <item m="1" x="792"/>
        <item m="1" x="1207"/>
        <item m="1" x="445"/>
        <item m="1" x="782"/>
        <item m="1" x="166"/>
        <item m="1" x="495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x="131"/>
        <item x="130"/>
        <item x="129"/>
        <item x="128"/>
        <item x="132"/>
        <item x="145"/>
        <item x="139"/>
        <item x="138"/>
        <item x="137"/>
        <item x="136"/>
        <item x="135"/>
        <item x="134"/>
        <item x="133"/>
        <item x="140"/>
        <item x="143"/>
        <item x="142"/>
        <item x="141"/>
        <item x="144"/>
        <item x="149"/>
        <item x="148"/>
        <item x="147"/>
        <item x="146"/>
        <item x="150"/>
        <item m="1" x="483"/>
        <item m="1" x="1244"/>
        <item m="1" x="186"/>
        <item m="1" x="15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310"/>
    </i>
    <i r="2">
      <x v="8"/>
    </i>
    <i r="1">
      <x v="1319"/>
    </i>
    <i r="2">
      <x v="8"/>
    </i>
    <i r="1">
      <x v="1320"/>
    </i>
    <i r="2">
      <x v="8"/>
    </i>
    <i r="1">
      <x v="1321"/>
    </i>
    <i r="2">
      <x v="8"/>
    </i>
    <i r="1">
      <x v="1322"/>
    </i>
    <i r="2">
      <x v="8"/>
    </i>
    <i r="1">
      <x v="1323"/>
    </i>
    <i r="2">
      <x v="8"/>
    </i>
    <i r="1">
      <x v="1324"/>
    </i>
    <i r="2">
      <x v="8"/>
    </i>
    <i r="2">
      <x v="11"/>
    </i>
    <i r="1">
      <x v="1325"/>
    </i>
    <i r="2">
      <x v="8"/>
    </i>
    <i r="1">
      <x v="1326"/>
    </i>
    <i r="2">
      <x v="8"/>
    </i>
    <i r="1">
      <x v="1327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65" totalsRowShown="0" totalsRowDxfId="23">
  <autoFilter ref="A1:C1065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98" totalsRowShown="0">
  <autoFilter ref="A1:S998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0" totalsRowShown="0">
  <autoFilter ref="A1:B12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9"/>
    <tableColumn id="6" xr3:uid="{73647D57-303F-4AF5-983C-1CCB32EBD08D}" name="Forecast Period" dataDxfId="18"/>
    <tableColumn id="4" xr3:uid="{FA11B267-B5E3-452C-A4E3-1668B4A12A28}" name="Number of Tickets Raised" dataDxfId="17"/>
    <tableColumn id="1" xr3:uid="{441BC59C-A1EA-4CA8-B944-D602CD57D89D}" name="Delayed Tickets"/>
    <tableColumn id="5" xr3:uid="{29680677-3B0F-4EC4-81FF-46A6FDD4C5F7}" name="Number of Total Objects" dataDxfId="16"/>
    <tableColumn id="2" xr3:uid="{3D96D299-AEA2-4D9C-9BE6-F98ADF0CDB84}" name="Commentary for delayed tickets" dataDxfId="1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7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2828</v>
      </c>
      <c r="B5" s="73">
        <v>25</v>
      </c>
      <c r="C5"/>
      <c r="D5"/>
      <c r="E5"/>
    </row>
    <row r="6" spans="1:6">
      <c r="A6" s="67" t="s">
        <v>2868</v>
      </c>
      <c r="B6" s="73">
        <v>1</v>
      </c>
      <c r="C6"/>
      <c r="D6"/>
      <c r="E6"/>
    </row>
    <row r="7" spans="1:6">
      <c r="A7" s="68" t="s">
        <v>370</v>
      </c>
      <c r="B7" s="73">
        <v>1</v>
      </c>
      <c r="C7"/>
      <c r="D7"/>
      <c r="E7"/>
    </row>
    <row r="8" spans="1:6">
      <c r="A8" s="67" t="s">
        <v>2862</v>
      </c>
      <c r="B8" s="73">
        <v>1</v>
      </c>
      <c r="C8" s="56"/>
      <c r="D8"/>
      <c r="E8"/>
    </row>
    <row r="9" spans="1:6">
      <c r="A9" s="68" t="s">
        <v>370</v>
      </c>
      <c r="B9" s="73">
        <v>1</v>
      </c>
      <c r="C9"/>
      <c r="D9"/>
    </row>
    <row r="10" spans="1:6">
      <c r="A10" s="67" t="s">
        <v>2859</v>
      </c>
      <c r="B10" s="73">
        <v>1</v>
      </c>
      <c r="C10" s="53"/>
      <c r="D10"/>
    </row>
    <row r="11" spans="1:6">
      <c r="A11" s="68" t="s">
        <v>370</v>
      </c>
      <c r="B11" s="73">
        <v>1</v>
      </c>
      <c r="C11"/>
      <c r="D11"/>
    </row>
    <row r="12" spans="1:6">
      <c r="A12" s="67" t="s">
        <v>2857</v>
      </c>
      <c r="B12" s="73">
        <v>1</v>
      </c>
      <c r="C12"/>
      <c r="D12"/>
    </row>
    <row r="13" spans="1:6">
      <c r="A13" s="68" t="s">
        <v>370</v>
      </c>
      <c r="B13" s="73">
        <v>1</v>
      </c>
      <c r="C13"/>
      <c r="D13"/>
    </row>
    <row r="14" spans="1:6">
      <c r="A14" s="67" t="s">
        <v>2866</v>
      </c>
      <c r="B14" s="73">
        <v>8</v>
      </c>
      <c r="C14" s="53"/>
      <c r="D14"/>
    </row>
    <row r="15" spans="1:6">
      <c r="A15" s="68" t="s">
        <v>370</v>
      </c>
      <c r="B15" s="73">
        <v>8</v>
      </c>
      <c r="C15"/>
      <c r="D15"/>
    </row>
    <row r="16" spans="1:6">
      <c r="A16" s="67" t="s">
        <v>2895</v>
      </c>
      <c r="B16" s="73">
        <v>3</v>
      </c>
      <c r="C16"/>
      <c r="D16"/>
    </row>
    <row r="17" spans="1:4">
      <c r="A17" s="68" t="s">
        <v>370</v>
      </c>
      <c r="B17" s="73">
        <v>3</v>
      </c>
      <c r="C17"/>
      <c r="D17"/>
    </row>
    <row r="18" spans="1:4">
      <c r="A18" s="67" t="s">
        <v>2883</v>
      </c>
      <c r="B18" s="73">
        <v>4</v>
      </c>
      <c r="C18"/>
      <c r="D18"/>
    </row>
    <row r="19" spans="1:4">
      <c r="A19" s="68" t="s">
        <v>370</v>
      </c>
      <c r="B19" s="73">
        <v>3</v>
      </c>
      <c r="C19" s="47"/>
      <c r="D19"/>
    </row>
    <row r="20" spans="1:4">
      <c r="A20" s="68" t="s">
        <v>375</v>
      </c>
      <c r="B20" s="73">
        <v>1</v>
      </c>
    </row>
    <row r="21" spans="1:4" ht="17.25" customHeight="1">
      <c r="A21" s="67" t="s">
        <v>2882</v>
      </c>
      <c r="B21" s="73">
        <v>4</v>
      </c>
    </row>
    <row r="22" spans="1:4">
      <c r="A22" s="68" t="s">
        <v>370</v>
      </c>
      <c r="B22" s="73">
        <v>4</v>
      </c>
    </row>
    <row r="23" spans="1:4">
      <c r="A23" s="67" t="s">
        <v>2873</v>
      </c>
      <c r="B23" s="73">
        <v>1</v>
      </c>
    </row>
    <row r="24" spans="1:4">
      <c r="A24" s="68" t="s">
        <v>370</v>
      </c>
      <c r="B24" s="73">
        <v>1</v>
      </c>
    </row>
    <row r="25" spans="1:4">
      <c r="A25" s="67" t="s">
        <v>2896</v>
      </c>
      <c r="B25" s="73">
        <v>1</v>
      </c>
    </row>
    <row r="26" spans="1:4">
      <c r="A26" s="68" t="s">
        <v>370</v>
      </c>
      <c r="B26" s="73">
        <v>1</v>
      </c>
    </row>
    <row r="27" spans="1:4">
      <c r="A27" s="17" t="s">
        <v>381</v>
      </c>
      <c r="B27" s="73">
        <v>25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65"/>
  <sheetViews>
    <sheetView topLeftCell="A1042" workbookViewId="0">
      <selection activeCell="C1065" sqref="C106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2" t="s">
        <v>4</v>
      </c>
    </row>
    <row r="982" spans="1:3">
      <c r="A982" t="s">
        <v>1934</v>
      </c>
      <c r="B982">
        <v>1</v>
      </c>
      <c r="C982" s="72" t="s">
        <v>4</v>
      </c>
    </row>
    <row r="983" spans="1:3">
      <c r="A983" t="s">
        <v>1930</v>
      </c>
      <c r="B983">
        <v>2</v>
      </c>
      <c r="C983" s="72" t="s">
        <v>4</v>
      </c>
    </row>
    <row r="984" spans="1:3">
      <c r="A984" t="s">
        <v>1937</v>
      </c>
      <c r="B984">
        <v>2</v>
      </c>
      <c r="C984" s="72" t="s">
        <v>4</v>
      </c>
    </row>
    <row r="985" spans="1:3">
      <c r="A985" t="s">
        <v>1951</v>
      </c>
      <c r="B985">
        <v>1</v>
      </c>
      <c r="C985" s="72" t="s">
        <v>4</v>
      </c>
    </row>
    <row r="986" spans="1:3">
      <c r="A986" t="s">
        <v>1760</v>
      </c>
      <c r="B986">
        <v>1</v>
      </c>
      <c r="C986" s="72" t="s">
        <v>4</v>
      </c>
    </row>
    <row r="987" spans="1:3">
      <c r="A987" t="s">
        <v>1972</v>
      </c>
      <c r="B987">
        <v>4</v>
      </c>
      <c r="C987" s="72" t="s">
        <v>4</v>
      </c>
    </row>
    <row r="988" spans="1:3">
      <c r="A988" t="s">
        <v>1974</v>
      </c>
      <c r="B988">
        <v>1</v>
      </c>
      <c r="C988" s="72" t="s">
        <v>4</v>
      </c>
    </row>
    <row r="989" spans="1:3">
      <c r="A989" t="s">
        <v>1958</v>
      </c>
      <c r="B989">
        <v>9</v>
      </c>
      <c r="C989" s="72" t="s">
        <v>4</v>
      </c>
    </row>
    <row r="990" spans="1:3">
      <c r="A990" t="s">
        <v>2198</v>
      </c>
      <c r="B990">
        <v>2</v>
      </c>
      <c r="C990" s="72" t="s">
        <v>4</v>
      </c>
    </row>
    <row r="991" spans="1:3">
      <c r="A991" t="s">
        <v>2165</v>
      </c>
      <c r="B991">
        <v>11</v>
      </c>
      <c r="C991" s="72" t="s">
        <v>4</v>
      </c>
    </row>
    <row r="992" spans="1:3">
      <c r="A992" t="s">
        <v>2179</v>
      </c>
      <c r="B992">
        <v>10</v>
      </c>
      <c r="C992" s="72" t="s">
        <v>4</v>
      </c>
    </row>
    <row r="993" spans="1:3">
      <c r="A993" t="s">
        <v>2173</v>
      </c>
      <c r="B993">
        <v>5</v>
      </c>
      <c r="C993" s="72" t="s">
        <v>4</v>
      </c>
    </row>
    <row r="994" spans="1:3">
      <c r="A994" t="s">
        <v>2199</v>
      </c>
      <c r="B994">
        <v>2</v>
      </c>
      <c r="C994" s="72" t="s">
        <v>4</v>
      </c>
    </row>
    <row r="995" spans="1:3">
      <c r="A995" t="s">
        <v>2205</v>
      </c>
      <c r="B995">
        <v>1</v>
      </c>
      <c r="C995" s="72" t="s">
        <v>4</v>
      </c>
    </row>
    <row r="996" spans="1:3">
      <c r="A996" t="s">
        <v>2226</v>
      </c>
      <c r="B996">
        <v>1</v>
      </c>
      <c r="C996" s="72" t="s">
        <v>4</v>
      </c>
    </row>
    <row r="997" spans="1:3">
      <c r="A997" t="s">
        <v>2223</v>
      </c>
      <c r="B997">
        <v>7</v>
      </c>
      <c r="C997" s="72" t="s">
        <v>4</v>
      </c>
    </row>
    <row r="998" spans="1:3">
      <c r="A998" t="s">
        <v>1818</v>
      </c>
      <c r="B998">
        <v>17</v>
      </c>
      <c r="C998" s="72" t="s">
        <v>4</v>
      </c>
    </row>
    <row r="999" spans="1:3">
      <c r="A999" t="s">
        <v>1957</v>
      </c>
      <c r="B999">
        <v>1</v>
      </c>
      <c r="C999" s="72" t="s">
        <v>4</v>
      </c>
    </row>
    <row r="1000" spans="1:3">
      <c r="A1000" t="s">
        <v>1977</v>
      </c>
      <c r="B1000">
        <v>98</v>
      </c>
      <c r="C1000" s="72" t="s">
        <v>4</v>
      </c>
    </row>
    <row r="1001" spans="1:3">
      <c r="A1001" t="s">
        <v>2208</v>
      </c>
      <c r="B1001">
        <v>1</v>
      </c>
      <c r="C1001" s="72" t="s">
        <v>4</v>
      </c>
    </row>
    <row r="1002" spans="1:3">
      <c r="A1002" t="s">
        <v>2230</v>
      </c>
      <c r="B1002">
        <v>1</v>
      </c>
      <c r="C1002" s="72" t="s">
        <v>4</v>
      </c>
    </row>
    <row r="1003" spans="1:3">
      <c r="A1003" t="s">
        <v>2241</v>
      </c>
      <c r="B1003">
        <v>9</v>
      </c>
      <c r="C1003" s="72" t="s">
        <v>4</v>
      </c>
    </row>
    <row r="1004" spans="1:3">
      <c r="A1004" t="s">
        <v>2261</v>
      </c>
      <c r="B1004">
        <v>4</v>
      </c>
      <c r="C1004" s="72" t="s">
        <v>4</v>
      </c>
    </row>
    <row r="1005" spans="1:3">
      <c r="A1005" t="s">
        <v>2271</v>
      </c>
      <c r="B1005">
        <v>3</v>
      </c>
      <c r="C1005" s="72" t="s">
        <v>4</v>
      </c>
    </row>
    <row r="1006" spans="1:3">
      <c r="A1006" t="s">
        <v>2390</v>
      </c>
      <c r="B1006">
        <v>14</v>
      </c>
      <c r="C1006" s="72" t="s">
        <v>4</v>
      </c>
    </row>
    <row r="1007" spans="1:3">
      <c r="A1007" t="s">
        <v>2282</v>
      </c>
      <c r="B1007">
        <v>46</v>
      </c>
      <c r="C1007" s="72" t="s">
        <v>4</v>
      </c>
    </row>
    <row r="1008" spans="1:3">
      <c r="A1008" t="s">
        <v>2411</v>
      </c>
      <c r="B1008">
        <v>15</v>
      </c>
      <c r="C1008" s="72" t="s">
        <v>4</v>
      </c>
    </row>
    <row r="1009" spans="1:3">
      <c r="A1009" t="s">
        <v>2244</v>
      </c>
      <c r="B1009">
        <v>1</v>
      </c>
      <c r="C1009" s="72" t="s">
        <v>4</v>
      </c>
    </row>
    <row r="1010" spans="1:3">
      <c r="A1010" t="s">
        <v>2418</v>
      </c>
      <c r="B1010">
        <v>1</v>
      </c>
      <c r="C1010" s="72" t="s">
        <v>4</v>
      </c>
    </row>
    <row r="1011" spans="1:3">
      <c r="A1011" t="s">
        <v>2421</v>
      </c>
      <c r="B1011">
        <v>4</v>
      </c>
      <c r="C1011" s="72" t="s">
        <v>4</v>
      </c>
    </row>
    <row r="1012" spans="1:3">
      <c r="A1012" t="s">
        <v>2432</v>
      </c>
      <c r="B1012">
        <v>1</v>
      </c>
      <c r="C1012" s="72" t="s">
        <v>4</v>
      </c>
    </row>
    <row r="1013" spans="1:3">
      <c r="A1013" t="s">
        <v>2433</v>
      </c>
      <c r="B1013">
        <v>1</v>
      </c>
      <c r="C1013" s="72" t="s">
        <v>4</v>
      </c>
    </row>
    <row r="1014" spans="1:3">
      <c r="A1014" t="s">
        <v>2441</v>
      </c>
      <c r="B1014">
        <v>2</v>
      </c>
      <c r="C1014" s="72" t="s">
        <v>4</v>
      </c>
    </row>
    <row r="1015" spans="1:3">
      <c r="A1015" t="s">
        <v>2442</v>
      </c>
      <c r="B1015">
        <v>1</v>
      </c>
      <c r="C1015" s="72" t="s">
        <v>4</v>
      </c>
    </row>
    <row r="1016" spans="1:3">
      <c r="A1016" t="s">
        <v>2526</v>
      </c>
      <c r="B1016">
        <v>8</v>
      </c>
      <c r="C1016" s="72" t="s">
        <v>4</v>
      </c>
    </row>
    <row r="1017" spans="1:3">
      <c r="A1017" t="s">
        <v>2508</v>
      </c>
      <c r="B1017">
        <v>2</v>
      </c>
      <c r="C1017" s="72" t="s">
        <v>4</v>
      </c>
    </row>
    <row r="1018" spans="1:3">
      <c r="A1018" t="s">
        <v>2506</v>
      </c>
      <c r="B1018">
        <v>1</v>
      </c>
      <c r="C1018" s="72" t="s">
        <v>4</v>
      </c>
    </row>
    <row r="1019" spans="1:3">
      <c r="A1019" t="s">
        <v>2503</v>
      </c>
      <c r="B1019">
        <v>11</v>
      </c>
      <c r="C1019" s="72" t="s">
        <v>4</v>
      </c>
    </row>
    <row r="1020" spans="1:3">
      <c r="A1020" t="s">
        <v>2470</v>
      </c>
      <c r="B1020">
        <v>22</v>
      </c>
      <c r="C1020" s="72" t="s">
        <v>4</v>
      </c>
    </row>
    <row r="1021" spans="1:3">
      <c r="A1021" t="s">
        <v>2556</v>
      </c>
      <c r="B1021">
        <v>5</v>
      </c>
      <c r="C1021" s="72" t="s">
        <v>4</v>
      </c>
    </row>
    <row r="1022" spans="1:3">
      <c r="A1022" t="s">
        <v>2563</v>
      </c>
      <c r="B1022">
        <v>1</v>
      </c>
      <c r="C1022" s="72" t="s">
        <v>4</v>
      </c>
    </row>
    <row r="1023" spans="1:3">
      <c r="A1023" t="s">
        <v>2528</v>
      </c>
      <c r="B1023">
        <v>18</v>
      </c>
      <c r="C1023" s="72" t="s">
        <v>4</v>
      </c>
    </row>
    <row r="1024" spans="1:3">
      <c r="A1024" t="s">
        <v>2641</v>
      </c>
      <c r="B1024">
        <v>18</v>
      </c>
      <c r="C1024" s="72" t="s">
        <v>4</v>
      </c>
    </row>
    <row r="1025" spans="1:3">
      <c r="A1025" t="s">
        <v>2598</v>
      </c>
      <c r="B1025">
        <v>6</v>
      </c>
      <c r="C1025" s="72" t="s">
        <v>4</v>
      </c>
    </row>
    <row r="1026" spans="1:3">
      <c r="A1026" t="s">
        <v>2603</v>
      </c>
      <c r="B1026">
        <v>3</v>
      </c>
      <c r="C1026" s="72" t="s">
        <v>4</v>
      </c>
    </row>
    <row r="1027" spans="1:3">
      <c r="A1027" t="s">
        <v>2566</v>
      </c>
      <c r="B1027">
        <v>1</v>
      </c>
      <c r="C1027" s="72" t="s">
        <v>4</v>
      </c>
    </row>
    <row r="1028" spans="1:3">
      <c r="A1028" t="s">
        <v>2642</v>
      </c>
      <c r="B1028">
        <v>2</v>
      </c>
      <c r="C1028" s="72" t="s">
        <v>4</v>
      </c>
    </row>
    <row r="1029" spans="1:3">
      <c r="A1029" t="s">
        <v>2647</v>
      </c>
      <c r="B1029">
        <v>2</v>
      </c>
      <c r="C1029" s="72" t="s">
        <v>4</v>
      </c>
    </row>
    <row r="1030" spans="1:3">
      <c r="A1030" t="s">
        <v>2654</v>
      </c>
      <c r="B1030">
        <v>1</v>
      </c>
      <c r="C1030" s="72" t="s">
        <v>4</v>
      </c>
    </row>
    <row r="1031" spans="1:3">
      <c r="A1031" t="s">
        <v>2653</v>
      </c>
      <c r="B1031">
        <v>1</v>
      </c>
      <c r="C1031" s="72" t="s">
        <v>4</v>
      </c>
    </row>
    <row r="1032" spans="1:3">
      <c r="A1032" t="s">
        <v>2685</v>
      </c>
      <c r="B1032">
        <v>4</v>
      </c>
      <c r="C1032" s="72" t="s">
        <v>4</v>
      </c>
    </row>
    <row r="1033" spans="1:3">
      <c r="A1033" t="s">
        <v>2671</v>
      </c>
      <c r="B1033">
        <v>1</v>
      </c>
      <c r="C1033" s="72" t="s">
        <v>4</v>
      </c>
    </row>
    <row r="1034" spans="1:3">
      <c r="A1034" t="s">
        <v>2668</v>
      </c>
      <c r="B1034">
        <v>1</v>
      </c>
      <c r="C1034" s="72" t="s">
        <v>4</v>
      </c>
    </row>
    <row r="1035" spans="1:3">
      <c r="A1035" t="s">
        <v>2691</v>
      </c>
      <c r="B1035">
        <v>9</v>
      </c>
      <c r="C1035" s="72" t="s">
        <v>4</v>
      </c>
    </row>
    <row r="1036" spans="1:3">
      <c r="A1036" t="s">
        <v>2707</v>
      </c>
      <c r="B1036">
        <v>1</v>
      </c>
      <c r="C1036" s="72" t="s">
        <v>4</v>
      </c>
    </row>
    <row r="1037" spans="1:3">
      <c r="A1037" s="76" t="s">
        <v>2718</v>
      </c>
      <c r="B1037" s="76">
        <v>1</v>
      </c>
      <c r="C1037" s="76" t="s">
        <v>4</v>
      </c>
    </row>
    <row r="1038" spans="1:3">
      <c r="A1038" t="s">
        <v>2711</v>
      </c>
      <c r="B1038">
        <v>1</v>
      </c>
      <c r="C1038" s="76" t="s">
        <v>4</v>
      </c>
    </row>
    <row r="1039" spans="1:3">
      <c r="A1039" t="s">
        <v>2662</v>
      </c>
      <c r="B1039">
        <v>4</v>
      </c>
      <c r="C1039" s="76" t="s">
        <v>4</v>
      </c>
    </row>
    <row r="1040" spans="1:3">
      <c r="A1040" t="s">
        <v>2736</v>
      </c>
      <c r="B1040">
        <v>1</v>
      </c>
      <c r="C1040" s="76" t="s">
        <v>4</v>
      </c>
    </row>
    <row r="1041" spans="1:3">
      <c r="A1041" t="s">
        <v>2737</v>
      </c>
      <c r="B1041">
        <v>1</v>
      </c>
      <c r="C1041" s="76" t="s">
        <v>4</v>
      </c>
    </row>
    <row r="1042" spans="1:3">
      <c r="A1042" t="s">
        <v>2741</v>
      </c>
      <c r="B1042">
        <v>1</v>
      </c>
      <c r="C1042" s="76" t="s">
        <v>4</v>
      </c>
    </row>
    <row r="1043" spans="1:3">
      <c r="A1043" t="s">
        <v>2743</v>
      </c>
      <c r="B1043">
        <v>1</v>
      </c>
      <c r="C1043" s="76" t="s">
        <v>4</v>
      </c>
    </row>
    <row r="1044" spans="1:3">
      <c r="A1044" t="s">
        <v>2558</v>
      </c>
      <c r="B1044">
        <v>1</v>
      </c>
      <c r="C1044" s="76" t="s">
        <v>4</v>
      </c>
    </row>
    <row r="1045" spans="1:3">
      <c r="A1045" t="s">
        <v>2731</v>
      </c>
      <c r="B1045">
        <v>11</v>
      </c>
      <c r="C1045" s="76" t="s">
        <v>4</v>
      </c>
    </row>
    <row r="1046" spans="1:3">
      <c r="A1046" t="s">
        <v>2732</v>
      </c>
      <c r="B1046">
        <v>2</v>
      </c>
      <c r="C1046" s="76" t="s">
        <v>4</v>
      </c>
    </row>
    <row r="1047" spans="1:3">
      <c r="A1047" t="s">
        <v>2747</v>
      </c>
      <c r="B1047">
        <v>1</v>
      </c>
      <c r="C1047" s="76" t="s">
        <v>4</v>
      </c>
    </row>
    <row r="1048" spans="1:3">
      <c r="A1048" t="s">
        <v>2713</v>
      </c>
      <c r="B1048">
        <v>1</v>
      </c>
      <c r="C1048" s="76" t="s">
        <v>4</v>
      </c>
    </row>
    <row r="1049" spans="1:3">
      <c r="A1049" t="s">
        <v>2764</v>
      </c>
      <c r="B1049">
        <v>3</v>
      </c>
      <c r="C1049" s="76" t="s">
        <v>4</v>
      </c>
    </row>
    <row r="1050" spans="1:3">
      <c r="A1050" t="s">
        <v>2750</v>
      </c>
      <c r="B1050">
        <v>4</v>
      </c>
      <c r="C1050" s="76" t="s">
        <v>4</v>
      </c>
    </row>
    <row r="1051" spans="1:3">
      <c r="A1051" t="s">
        <v>2777</v>
      </c>
      <c r="B1051">
        <v>4</v>
      </c>
      <c r="C1051" s="76" t="s">
        <v>4</v>
      </c>
    </row>
    <row r="1052" spans="1:3">
      <c r="A1052" t="s">
        <v>2808</v>
      </c>
      <c r="B1052">
        <v>10</v>
      </c>
      <c r="C1052" s="76" t="s">
        <v>4</v>
      </c>
    </row>
    <row r="1053" spans="1:3">
      <c r="A1053" t="s">
        <v>2806</v>
      </c>
      <c r="B1053">
        <v>8</v>
      </c>
      <c r="C1053" s="76" t="s">
        <v>4</v>
      </c>
    </row>
    <row r="1054" spans="1:3">
      <c r="A1054" t="s">
        <v>2792</v>
      </c>
      <c r="B1054">
        <v>2</v>
      </c>
      <c r="C1054" s="76" t="s">
        <v>4</v>
      </c>
    </row>
    <row r="1055" spans="1:3">
      <c r="A1055" t="s">
        <v>2788</v>
      </c>
      <c r="B1055">
        <v>1</v>
      </c>
      <c r="C1055" s="76" t="s">
        <v>4</v>
      </c>
    </row>
    <row r="1056" spans="1:3">
      <c r="A1056" t="s">
        <v>2778</v>
      </c>
      <c r="B1056">
        <v>6</v>
      </c>
      <c r="C1056" s="76" t="s">
        <v>4</v>
      </c>
    </row>
    <row r="1057" spans="1:3">
      <c r="A1057" t="s">
        <v>2847</v>
      </c>
      <c r="B1057">
        <v>2</v>
      </c>
      <c r="C1057" s="76" t="s">
        <v>4</v>
      </c>
    </row>
    <row r="1058" spans="1:3">
      <c r="A1058" t="s">
        <v>2845</v>
      </c>
      <c r="B1058">
        <v>1</v>
      </c>
      <c r="C1058" s="76" t="s">
        <v>4</v>
      </c>
    </row>
    <row r="1059" spans="1:3">
      <c r="A1059" t="s">
        <v>2844</v>
      </c>
      <c r="B1059">
        <v>1</v>
      </c>
      <c r="C1059" s="76" t="s">
        <v>4</v>
      </c>
    </row>
    <row r="1060" spans="1:3">
      <c r="A1060" t="s">
        <v>2841</v>
      </c>
      <c r="B1060">
        <v>1</v>
      </c>
      <c r="C1060" s="76" t="s">
        <v>4</v>
      </c>
    </row>
    <row r="1061" spans="1:3">
      <c r="A1061" t="s">
        <v>2836</v>
      </c>
      <c r="B1061">
        <v>1</v>
      </c>
      <c r="C1061" s="76" t="s">
        <v>4</v>
      </c>
    </row>
    <row r="1062" spans="1:3">
      <c r="A1062" t="s">
        <v>2832</v>
      </c>
      <c r="B1062">
        <v>1</v>
      </c>
      <c r="C1062" s="76" t="s">
        <v>4</v>
      </c>
    </row>
    <row r="1063" spans="1:3">
      <c r="A1063" t="s">
        <v>2829</v>
      </c>
      <c r="B1063">
        <v>1</v>
      </c>
      <c r="C1063" s="76" t="s">
        <v>4</v>
      </c>
    </row>
    <row r="1064" spans="1:3">
      <c r="A1064" t="s">
        <v>2855</v>
      </c>
      <c r="B1064">
        <v>1</v>
      </c>
      <c r="C1064" s="76" t="s">
        <v>4</v>
      </c>
    </row>
    <row r="1065" spans="1:3">
      <c r="A1065" t="s">
        <v>2586</v>
      </c>
      <c r="B1065">
        <v>19</v>
      </c>
      <c r="C1065" s="76" t="s">
        <v>4</v>
      </c>
    </row>
  </sheetData>
  <conditionalFormatting sqref="A2:A545 A548:A568 A570:A1036 A1038:A1048576">
    <cfRule type="duplicateValues" dxfId="1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98"/>
  <sheetViews>
    <sheetView zoomScale="85" zoomScaleNormal="85" workbookViewId="0">
      <selection activeCell="C999" sqref="C99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5" customWidth="1" outlineLevel="1"/>
    <col min="14" max="14" width="14.85546875" style="75" customWidth="1" outlineLevel="1"/>
    <col min="15" max="15" width="13.42578125" style="75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5" t="s">
        <v>391</v>
      </c>
      <c r="N1" s="75" t="s">
        <v>392</v>
      </c>
      <c r="O1" s="75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5">
        <v>45170</v>
      </c>
      <c r="N2" s="75">
        <v>45170</v>
      </c>
      <c r="O2" s="75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5">
        <v>45170</v>
      </c>
      <c r="N3" s="75">
        <v>45170</v>
      </c>
      <c r="O3" s="75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5">
        <v>45170</v>
      </c>
      <c r="N4" s="75">
        <v>45170</v>
      </c>
      <c r="O4" s="75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5">
        <v>45170</v>
      </c>
      <c r="N5" s="75">
        <v>45170</v>
      </c>
      <c r="O5" s="75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5">
        <v>45170</v>
      </c>
      <c r="N6" s="75">
        <v>45170</v>
      </c>
      <c r="O6" s="75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5">
        <v>45170</v>
      </c>
      <c r="N7" s="75">
        <v>45170</v>
      </c>
      <c r="O7" s="75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5">
        <v>45170</v>
      </c>
      <c r="N8" s="75">
        <v>45170</v>
      </c>
      <c r="O8" s="75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5">
        <v>45170</v>
      </c>
      <c r="N9" s="75">
        <v>45170</v>
      </c>
      <c r="O9" s="75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5">
        <v>45170</v>
      </c>
      <c r="N10" s="75">
        <v>45170</v>
      </c>
      <c r="O10" s="75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1351</v>
      </c>
      <c r="B11" s="60" t="str">
        <f>IFERROR(VLOOKUP(Proc[[#This Row],[App]],Table2[],3,0),"open")</f>
        <v>ok</v>
      </c>
      <c r="C11" s="62" t="s">
        <v>369</v>
      </c>
      <c r="D11" t="s">
        <v>1345</v>
      </c>
      <c r="E11" t="s">
        <v>2687</v>
      </c>
      <c r="F11" s="60" t="s">
        <v>1350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5">
        <v>45645.37572916667</v>
      </c>
      <c r="N11" s="75">
        <v>45646</v>
      </c>
      <c r="O11" s="75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1346</v>
      </c>
      <c r="E12" t="s">
        <v>812</v>
      </c>
      <c r="F12" s="60" t="s">
        <v>1193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5">
        <v>45645.37572916667</v>
      </c>
      <c r="N12" s="75">
        <v>45646</v>
      </c>
      <c r="O12" s="75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1347</v>
      </c>
      <c r="E13" t="s">
        <v>414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5">
        <v>45645.37572916667</v>
      </c>
      <c r="N13" s="75">
        <v>45646</v>
      </c>
      <c r="O13" s="75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1348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5">
        <v>45645.37572916667</v>
      </c>
      <c r="N14" s="75">
        <v>45646</v>
      </c>
      <c r="O14" s="75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1349</v>
      </c>
      <c r="E15" t="s">
        <v>414</v>
      </c>
      <c r="F15" s="60" t="s">
        <v>1194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5">
        <v>45645.37572916667</v>
      </c>
      <c r="N15" s="75">
        <v>45646</v>
      </c>
      <c r="O15" s="75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1353</v>
      </c>
      <c r="B16" s="60" t="str">
        <f>IFERROR(VLOOKUP(Proc[[#This Row],[App]],Table2[],3,0),"open")</f>
        <v>ok</v>
      </c>
      <c r="C16" s="62" t="s">
        <v>369</v>
      </c>
      <c r="D16" t="s">
        <v>1352</v>
      </c>
      <c r="E16" s="62" t="s">
        <v>1308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5">
        <v>45644.604386574072</v>
      </c>
      <c r="N16" s="75">
        <v>45646</v>
      </c>
      <c r="O16" s="75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1354</v>
      </c>
      <c r="B17" s="60" t="str">
        <f>IFERROR(VLOOKUP(Proc[[#This Row],[App]],Table2[],3,0),"open")</f>
        <v>ok</v>
      </c>
      <c r="C17" s="62" t="s">
        <v>369</v>
      </c>
      <c r="D17" t="s">
        <v>1355</v>
      </c>
      <c r="E17" t="s">
        <v>2687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75">
        <v>45645.671296296299</v>
      </c>
      <c r="N17" s="75">
        <v>45649</v>
      </c>
      <c r="O17" s="75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1354</v>
      </c>
      <c r="B18" s="60" t="str">
        <f>IFERROR(VLOOKUP(Proc[[#This Row],[App]],Table2[],3,0),"open")</f>
        <v>ok</v>
      </c>
      <c r="C18" s="62" t="s">
        <v>369</v>
      </c>
      <c r="D18" t="s">
        <v>1356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75">
        <v>45645.671296296299</v>
      </c>
      <c r="N18" s="75">
        <v>45649</v>
      </c>
      <c r="O18" s="75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1354</v>
      </c>
      <c r="B19" s="60" t="str">
        <f>IFERROR(VLOOKUP(Proc[[#This Row],[App]],Table2[],3,0),"open")</f>
        <v>ok</v>
      </c>
      <c r="C19" s="62" t="s">
        <v>369</v>
      </c>
      <c r="D19" s="62" t="s">
        <v>1357</v>
      </c>
      <c r="E19" s="62" t="s">
        <v>1274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75">
        <v>45645.671296296299</v>
      </c>
      <c r="N19" s="75">
        <v>45649</v>
      </c>
      <c r="O19" s="75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1358</v>
      </c>
      <c r="E20" t="s">
        <v>525</v>
      </c>
      <c r="F20" s="60" t="s">
        <v>1362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5">
        <v>45645.662499999999</v>
      </c>
      <c r="N20" s="75">
        <v>45649</v>
      </c>
      <c r="O20" s="75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1366</v>
      </c>
      <c r="B21" s="60" t="str">
        <f>IFERROR(VLOOKUP(Proc[[#This Row],[App]],Table2[],3,0),"open")</f>
        <v>ok</v>
      </c>
      <c r="C21" s="62" t="s">
        <v>369</v>
      </c>
      <c r="D21" t="s">
        <v>1359</v>
      </c>
      <c r="E21" t="s">
        <v>525</v>
      </c>
      <c r="F21" s="60" t="s">
        <v>1363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75">
        <v>45645.662499999999</v>
      </c>
      <c r="N21" s="75">
        <v>45649</v>
      </c>
      <c r="O21" s="75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1044</v>
      </c>
      <c r="S21" s="60"/>
    </row>
    <row r="22" spans="1:19" hidden="1">
      <c r="A22" s="62" t="s">
        <v>1366</v>
      </c>
      <c r="B22" s="60" t="str">
        <f>IFERROR(VLOOKUP(Proc[[#This Row],[App]],Table2[],3,0),"open")</f>
        <v>ok</v>
      </c>
      <c r="C22" s="62" t="s">
        <v>369</v>
      </c>
      <c r="D22" t="s">
        <v>1360</v>
      </c>
      <c r="E22" t="s">
        <v>525</v>
      </c>
      <c r="F22" s="60" t="s">
        <v>1364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75">
        <v>45645.662499999999</v>
      </c>
      <c r="N22" s="75">
        <v>45649</v>
      </c>
      <c r="O22" s="75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1044</v>
      </c>
      <c r="S22" s="60"/>
    </row>
    <row r="23" spans="1:19" hidden="1">
      <c r="A23" s="62" t="s">
        <v>1366</v>
      </c>
      <c r="B23" s="60" t="str">
        <f>IFERROR(VLOOKUP(Proc[[#This Row],[App]],Table2[],3,0),"open")</f>
        <v>ok</v>
      </c>
      <c r="C23" s="62" t="s">
        <v>369</v>
      </c>
      <c r="D23" t="s">
        <v>1361</v>
      </c>
      <c r="E23" t="s">
        <v>525</v>
      </c>
      <c r="F23" s="60" t="s">
        <v>1365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75">
        <v>45645.662499999999</v>
      </c>
      <c r="N23" s="75">
        <v>45649</v>
      </c>
      <c r="O23" s="75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1044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5">
        <v>45646.435798611114</v>
      </c>
      <c r="N24" s="75">
        <v>45652</v>
      </c>
      <c r="O24" s="75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5">
        <v>45646.435798611114</v>
      </c>
      <c r="N25" s="75">
        <v>45652</v>
      </c>
      <c r="O25" s="75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5">
        <v>45646.435798611114</v>
      </c>
      <c r="N26" s="75">
        <v>45652</v>
      </c>
      <c r="O26" s="75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5">
        <v>45646.435798611114</v>
      </c>
      <c r="N27" s="75">
        <v>45652</v>
      </c>
      <c r="O27" s="75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5">
        <v>45646.435798611114</v>
      </c>
      <c r="N28" s="75">
        <v>45652</v>
      </c>
      <c r="O28" s="75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5">
        <v>45646.435798611114</v>
      </c>
      <c r="N29" s="75">
        <v>45652</v>
      </c>
      <c r="O29" s="75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5">
        <v>45646.435798611114</v>
      </c>
      <c r="N30" s="75">
        <v>45652</v>
      </c>
      <c r="O30" s="75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5">
        <v>45646.435798611114</v>
      </c>
      <c r="N31" s="75">
        <v>45652</v>
      </c>
      <c r="O31" s="75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5">
        <v>45646.435798611114</v>
      </c>
      <c r="N32" s="75">
        <v>45652</v>
      </c>
      <c r="O32" s="75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5">
        <v>45646.435798611114</v>
      </c>
      <c r="N33" s="75">
        <v>45652</v>
      </c>
      <c r="O33" s="75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5">
        <v>45646.435798611114</v>
      </c>
      <c r="N34" s="75">
        <v>45652</v>
      </c>
      <c r="O34" s="75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5">
        <v>45646.435798611114</v>
      </c>
      <c r="N35" s="75">
        <v>45652</v>
      </c>
      <c r="O35" s="75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5">
        <v>45646.435798611114</v>
      </c>
      <c r="N36" s="75">
        <v>45652</v>
      </c>
      <c r="O36" s="75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5">
        <v>45646.435798611114</v>
      </c>
      <c r="N37" s="75">
        <v>45652</v>
      </c>
      <c r="O37" s="75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5">
        <v>45646.435798611114</v>
      </c>
      <c r="N38" s="75">
        <v>45652</v>
      </c>
      <c r="O38" s="75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5">
        <v>45646.435798611114</v>
      </c>
      <c r="N39" s="75">
        <v>45652</v>
      </c>
      <c r="O39" s="75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5">
        <v>45646.435798611114</v>
      </c>
      <c r="N40" s="75">
        <v>45652</v>
      </c>
      <c r="O40" s="75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5">
        <v>45646.435798611114</v>
      </c>
      <c r="N41" s="75">
        <v>45652</v>
      </c>
      <c r="O41" s="75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5">
        <v>45646.435798611114</v>
      </c>
      <c r="N42" s="75">
        <v>45652</v>
      </c>
      <c r="O42" s="75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5">
        <v>45646.435798611114</v>
      </c>
      <c r="N43" s="75">
        <v>45652</v>
      </c>
      <c r="O43" s="75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5">
        <v>45646.435798611114</v>
      </c>
      <c r="N44" s="75">
        <v>45652</v>
      </c>
      <c r="O44" s="75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5">
        <v>45646.435798611114</v>
      </c>
      <c r="N45" s="75">
        <v>45652</v>
      </c>
      <c r="O45" s="75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5">
        <v>45646.435798611114</v>
      </c>
      <c r="N46" s="75">
        <v>45652</v>
      </c>
      <c r="O46" s="75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5">
        <v>45646.435798611114</v>
      </c>
      <c r="N47" s="75">
        <v>45652</v>
      </c>
      <c r="O47" s="75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5">
        <v>45646.435798611114</v>
      </c>
      <c r="N48" s="75">
        <v>45652</v>
      </c>
      <c r="O48" s="75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5">
        <v>45646.435798611114</v>
      </c>
      <c r="N49" s="75">
        <v>45652</v>
      </c>
      <c r="O49" s="75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5">
        <v>45646.435798611114</v>
      </c>
      <c r="N50" s="75">
        <v>45652</v>
      </c>
      <c r="O50" s="75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5">
        <v>45646.435798611114</v>
      </c>
      <c r="N51" s="75">
        <v>45652</v>
      </c>
      <c r="O51" s="75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5">
        <v>45646.435798611114</v>
      </c>
      <c r="N52" s="75">
        <v>45652</v>
      </c>
      <c r="O52" s="75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5">
        <v>45646.435798611114</v>
      </c>
      <c r="N53" s="75">
        <v>45652</v>
      </c>
      <c r="O53" s="75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5">
        <v>45646.435798611114</v>
      </c>
      <c r="N54" s="75">
        <v>45652</v>
      </c>
      <c r="O54" s="75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5">
        <v>45646.435798611114</v>
      </c>
      <c r="N55" s="75">
        <v>45652</v>
      </c>
      <c r="O55" s="75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5">
        <v>45646.435798611114</v>
      </c>
      <c r="N56" s="75">
        <v>45652</v>
      </c>
      <c r="O56" s="75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5">
        <v>45646.435798611114</v>
      </c>
      <c r="N57" s="75">
        <v>45652</v>
      </c>
      <c r="O57" s="75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5">
        <v>45646.435798611114</v>
      </c>
      <c r="N58" s="75">
        <v>45652</v>
      </c>
      <c r="O58" s="75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5">
        <v>45646.435798611114</v>
      </c>
      <c r="N59" s="75">
        <v>45652</v>
      </c>
      <c r="O59" s="75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5">
        <v>45646.435798611114</v>
      </c>
      <c r="N60" s="75">
        <v>45652</v>
      </c>
      <c r="O60" s="75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5">
        <v>45646.435798611114</v>
      </c>
      <c r="N61" s="75">
        <v>45652</v>
      </c>
      <c r="O61" s="75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5">
        <v>45646.435798611114</v>
      </c>
      <c r="N62" s="75">
        <v>45652</v>
      </c>
      <c r="O62" s="75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5">
        <v>45646.435798611114</v>
      </c>
      <c r="N63" s="75">
        <v>45652</v>
      </c>
      <c r="O63" s="75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5">
        <v>45646.435798611114</v>
      </c>
      <c r="N64" s="75">
        <v>45652</v>
      </c>
      <c r="O64" s="75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5">
        <v>45646.435798611114</v>
      </c>
      <c r="N65" s="75">
        <v>45652</v>
      </c>
      <c r="O65" s="75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5">
        <v>45646.435798611114</v>
      </c>
      <c r="N66" s="75">
        <v>45652</v>
      </c>
      <c r="O66" s="75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5">
        <v>45646.435798611114</v>
      </c>
      <c r="N67" s="75">
        <v>45652</v>
      </c>
      <c r="O67" s="75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5">
        <v>45646.435798611114</v>
      </c>
      <c r="N68" s="75">
        <v>45652</v>
      </c>
      <c r="O68" s="75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5">
        <v>45646.435798611114</v>
      </c>
      <c r="N69" s="75">
        <v>45652</v>
      </c>
      <c r="O69" s="75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5">
        <v>45646.435798611114</v>
      </c>
      <c r="N70" s="75">
        <v>45652</v>
      </c>
      <c r="O70" s="75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5">
        <v>45646.435798611114</v>
      </c>
      <c r="N71" s="75">
        <v>45652</v>
      </c>
      <c r="O71" s="75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5">
        <v>45646.435798611114</v>
      </c>
      <c r="N72" s="75">
        <v>45652</v>
      </c>
      <c r="O72" s="75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5">
        <v>45646.435798611114</v>
      </c>
      <c r="N73" s="75">
        <v>45652</v>
      </c>
      <c r="O73" s="75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5">
        <v>45646.435798611114</v>
      </c>
      <c r="N74" s="75">
        <v>45652</v>
      </c>
      <c r="O74" s="75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5">
        <v>45646.435798611114</v>
      </c>
      <c r="N75" s="75">
        <v>45652</v>
      </c>
      <c r="O75" s="75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5">
        <v>45646.435798611114</v>
      </c>
      <c r="N76" s="75">
        <v>45652</v>
      </c>
      <c r="O76" s="75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5">
        <v>45646.435798611114</v>
      </c>
      <c r="N77" s="75">
        <v>45652</v>
      </c>
      <c r="O77" s="75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5">
        <v>45646.435798611114</v>
      </c>
      <c r="N78" s="75">
        <v>45652</v>
      </c>
      <c r="O78" s="75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5">
        <v>45646.435798611114</v>
      </c>
      <c r="N79" s="75">
        <v>45652</v>
      </c>
      <c r="O79" s="75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5">
        <v>45646.435798611114</v>
      </c>
      <c r="N80" s="75">
        <v>45652</v>
      </c>
      <c r="O80" s="75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5">
        <v>45646.435798611114</v>
      </c>
      <c r="N81" s="75">
        <v>45652</v>
      </c>
      <c r="O81" s="75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5">
        <v>45646.435798611114</v>
      </c>
      <c r="N82" s="75">
        <v>45652</v>
      </c>
      <c r="O82" s="75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5">
        <v>45646.435798611114</v>
      </c>
      <c r="N83" s="75">
        <v>45652</v>
      </c>
      <c r="O83" s="75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5">
        <v>45646.435798611114</v>
      </c>
      <c r="N84" s="75">
        <v>45652</v>
      </c>
      <c r="O84" s="75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5">
        <v>45646.435798611114</v>
      </c>
      <c r="N85" s="75">
        <v>45652</v>
      </c>
      <c r="O85" s="75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1434</v>
      </c>
      <c r="B86" s="60" t="str">
        <f>IFERROR(VLOOKUP(Proc[[#This Row],[App]],Table2[],3,0),"open")</f>
        <v>ok</v>
      </c>
      <c r="C86" t="s">
        <v>369</v>
      </c>
      <c r="D86" t="s">
        <v>1435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75">
        <v>45647.538819444446</v>
      </c>
      <c r="N86" s="75">
        <v>45652</v>
      </c>
      <c r="O86" s="75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1434</v>
      </c>
      <c r="B87" s="60" t="str">
        <f>IFERROR(VLOOKUP(Proc[[#This Row],[App]],Table2[],3,0),"open")</f>
        <v>ok</v>
      </c>
      <c r="C87" s="62" t="s">
        <v>369</v>
      </c>
      <c r="D87" t="s">
        <v>1436</v>
      </c>
      <c r="E87" t="s">
        <v>1075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75">
        <v>45647.538819444446</v>
      </c>
      <c r="N87" s="75">
        <v>45652</v>
      </c>
      <c r="O87" s="75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1434</v>
      </c>
      <c r="B88" s="60" t="str">
        <f>IFERROR(VLOOKUP(Proc[[#This Row],[App]],Table2[],3,0),"open")</f>
        <v>ok</v>
      </c>
      <c r="C88" s="62" t="s">
        <v>369</v>
      </c>
      <c r="D88" t="s">
        <v>1437</v>
      </c>
      <c r="E88" t="s">
        <v>1075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75">
        <v>45647.538819444446</v>
      </c>
      <c r="N88" s="75">
        <v>45652</v>
      </c>
      <c r="O88" s="75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1438</v>
      </c>
      <c r="E89" t="s">
        <v>1075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5">
        <v>45647.538819444446</v>
      </c>
      <c r="N89" s="75">
        <v>45652</v>
      </c>
      <c r="O89" s="75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1439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5">
        <v>45647.538819444446</v>
      </c>
      <c r="N90" s="75">
        <v>45652</v>
      </c>
      <c r="O90" s="75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1440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5">
        <v>45647.538819444446</v>
      </c>
      <c r="N91" s="75">
        <v>45652</v>
      </c>
      <c r="O91" s="75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1441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5">
        <v>45647.538819444446</v>
      </c>
      <c r="N92" s="75">
        <v>45652</v>
      </c>
      <c r="O92" s="75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1442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5">
        <v>45647.538819444446</v>
      </c>
      <c r="N93" s="75">
        <v>45652</v>
      </c>
      <c r="O93" s="75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1443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5">
        <v>45647.538819444446</v>
      </c>
      <c r="N94" s="75">
        <v>45652</v>
      </c>
      <c r="O94" s="75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1444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5">
        <v>45647.538819444446</v>
      </c>
      <c r="N95" s="75">
        <v>45652</v>
      </c>
      <c r="O95" s="75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1445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5">
        <v>45647.538819444446</v>
      </c>
      <c r="N96" s="75">
        <v>45652</v>
      </c>
      <c r="O96" s="75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1446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5">
        <v>45647.538819444446</v>
      </c>
      <c r="N97" s="75">
        <v>45652</v>
      </c>
      <c r="O97" s="75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1447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5">
        <v>45647.538819444446</v>
      </c>
      <c r="N98" s="75">
        <v>45652</v>
      </c>
      <c r="O98" s="75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1448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5">
        <v>45647.538819444446</v>
      </c>
      <c r="N99" s="75">
        <v>45652</v>
      </c>
      <c r="O99" s="75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1449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5">
        <v>45647.538819444446</v>
      </c>
      <c r="N100" s="75">
        <v>45652</v>
      </c>
      <c r="O100" s="75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1450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5">
        <v>45647.538819444446</v>
      </c>
      <c r="N101" s="75">
        <v>45652</v>
      </c>
      <c r="O101" s="75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1451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5">
        <v>45647.538819444446</v>
      </c>
      <c r="N102" s="75">
        <v>45652</v>
      </c>
      <c r="O102" s="75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1452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5">
        <v>45647.538819444446</v>
      </c>
      <c r="N103" s="75">
        <v>45652</v>
      </c>
      <c r="O103" s="75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1453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5">
        <v>45647.538819444446</v>
      </c>
      <c r="N104" s="75">
        <v>45652</v>
      </c>
      <c r="O104" s="75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1454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5">
        <v>45647.538819444446</v>
      </c>
      <c r="N105" s="75">
        <v>45652</v>
      </c>
      <c r="O105" s="75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1457</v>
      </c>
      <c r="B106" s="60" t="str">
        <f>IFERROR(VLOOKUP(Proc[[#This Row],[App]],Table2[],3,0),"open")</f>
        <v>ok</v>
      </c>
      <c r="C106" s="62" t="s">
        <v>369</v>
      </c>
      <c r="D106" t="s">
        <v>1455</v>
      </c>
      <c r="E106" t="s">
        <v>1309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1488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75">
        <v>45646.551979166667</v>
      </c>
      <c r="N106" s="75">
        <v>45652</v>
      </c>
      <c r="O106" s="75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1112</v>
      </c>
      <c r="S106" s="60"/>
    </row>
    <row r="107" spans="1:19" hidden="1">
      <c r="A107" s="62" t="s">
        <v>1457</v>
      </c>
      <c r="B107" s="60" t="str">
        <f>IFERROR(VLOOKUP(Proc[[#This Row],[App]],Table2[],3,0),"open")</f>
        <v>ok</v>
      </c>
      <c r="C107" s="62" t="s">
        <v>369</v>
      </c>
      <c r="D107" t="s">
        <v>1456</v>
      </c>
      <c r="E107" t="s">
        <v>1310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1250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75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74</v>
      </c>
      <c r="R107" s="64" t="s">
        <v>1112</v>
      </c>
      <c r="S107" s="60"/>
    </row>
    <row r="108" spans="1:19" hidden="1">
      <c r="A108" s="62" t="s">
        <v>1457</v>
      </c>
      <c r="B108" s="60" t="str">
        <f>IFERROR(VLOOKUP(Proc[[#This Row],[App]],Table2[],3,0),"open")</f>
        <v>ok</v>
      </c>
      <c r="C108" s="62" t="s">
        <v>369</v>
      </c>
      <c r="D108" t="s">
        <v>1455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1488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75">
        <v>45646.551979166667</v>
      </c>
      <c r="N108" s="75">
        <v>45652</v>
      </c>
      <c r="O108" s="75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1112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5">
        <v>45649.394259259258</v>
      </c>
      <c r="N109" s="75">
        <v>45652</v>
      </c>
      <c r="O109" s="75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5">
        <v>45649.394259259258</v>
      </c>
      <c r="N110" s="75">
        <v>45652</v>
      </c>
      <c r="O110" s="75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5">
        <v>45649.394259259258</v>
      </c>
      <c r="N111" s="75">
        <v>45652</v>
      </c>
      <c r="O111" s="75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5">
        <v>45649.394259259258</v>
      </c>
      <c r="N112" s="75">
        <v>45652</v>
      </c>
      <c r="O112" s="75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5">
        <v>45649.394259259258</v>
      </c>
      <c r="N113" s="75">
        <v>45652</v>
      </c>
      <c r="O113" s="75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5">
        <v>45649.394259259258</v>
      </c>
      <c r="N114" s="75">
        <v>45652</v>
      </c>
      <c r="O114" s="75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5">
        <v>45649.394259259258</v>
      </c>
      <c r="N115" s="75">
        <v>45652</v>
      </c>
      <c r="O115" s="75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5">
        <v>45649.394259259258</v>
      </c>
      <c r="N116" s="75">
        <v>45652</v>
      </c>
      <c r="O116" s="75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5">
        <v>45649.394259259258</v>
      </c>
      <c r="N117" s="75">
        <v>45652</v>
      </c>
      <c r="O117" s="75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5">
        <v>45649.394259259258</v>
      </c>
      <c r="N118" s="75">
        <v>45652</v>
      </c>
      <c r="O118" s="75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5">
        <v>45649.394259259258</v>
      </c>
      <c r="N119" s="75">
        <v>45652</v>
      </c>
      <c r="O119" s="75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5">
        <v>45649.394259259258</v>
      </c>
      <c r="N120" s="75">
        <v>45652</v>
      </c>
      <c r="O120" s="75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5">
        <v>45649.394259259258</v>
      </c>
      <c r="N121" s="75">
        <v>45652</v>
      </c>
      <c r="O121" s="75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5">
        <v>45649.394259259258</v>
      </c>
      <c r="N122" s="75">
        <v>45652</v>
      </c>
      <c r="O122" s="75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5">
        <v>45649.394259259258</v>
      </c>
      <c r="N123" s="75">
        <v>45652</v>
      </c>
      <c r="O123" s="75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5">
        <v>45649.394259259258</v>
      </c>
      <c r="N124" s="75">
        <v>45652</v>
      </c>
      <c r="O124" s="75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5">
        <v>45649.394259259258</v>
      </c>
      <c r="N125" s="75">
        <v>45652</v>
      </c>
      <c r="O125" s="75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5">
        <v>45649.394259259258</v>
      </c>
      <c r="N126" s="75">
        <v>45652</v>
      </c>
      <c r="O126" s="75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5">
        <v>45649.394259259258</v>
      </c>
      <c r="N127" s="75">
        <v>45652</v>
      </c>
      <c r="O127" s="75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5">
        <v>45649.394259259258</v>
      </c>
      <c r="N128" s="75">
        <v>45652</v>
      </c>
      <c r="O128" s="75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5">
        <v>45649.394259259258</v>
      </c>
      <c r="N129" s="75">
        <v>45652</v>
      </c>
      <c r="O129" s="75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5">
        <v>45649.402777777781</v>
      </c>
      <c r="N130" s="75">
        <v>45652</v>
      </c>
      <c r="O130" s="75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5">
        <v>45649.402777777781</v>
      </c>
      <c r="N131" s="75">
        <v>45652</v>
      </c>
      <c r="O131" s="75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5">
        <v>45652.450636574074</v>
      </c>
      <c r="N132" s="75">
        <v>45659</v>
      </c>
      <c r="O132" s="75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5">
        <v>45652.450636574074</v>
      </c>
      <c r="N133" s="75">
        <v>45659</v>
      </c>
      <c r="O133" s="75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5">
        <v>45652.450636574074</v>
      </c>
      <c r="N134" s="75">
        <v>45659</v>
      </c>
      <c r="O134" s="75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5">
        <v>45652.450636574074</v>
      </c>
      <c r="N135" s="75">
        <v>45659</v>
      </c>
      <c r="O135" s="75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5">
        <v>45652.450636574074</v>
      </c>
      <c r="N136" s="75">
        <v>45659</v>
      </c>
      <c r="O136" s="75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5">
        <v>45652.450636574074</v>
      </c>
      <c r="N137" s="75">
        <v>45659</v>
      </c>
      <c r="O137" s="75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5">
        <v>45652.450636574074</v>
      </c>
      <c r="N138" s="75">
        <v>45659</v>
      </c>
      <c r="O138" s="75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5">
        <v>45652.450636574074</v>
      </c>
      <c r="N139" s="75">
        <v>45659</v>
      </c>
      <c r="O139" s="75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5">
        <v>45652.450636574074</v>
      </c>
      <c r="N140" s="75">
        <v>45659</v>
      </c>
      <c r="O140" s="75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5">
        <v>45652.450636574074</v>
      </c>
      <c r="N141" s="75">
        <v>45659</v>
      </c>
      <c r="O141" s="75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5">
        <v>45652.450636574074</v>
      </c>
      <c r="N142" s="75">
        <v>45659</v>
      </c>
      <c r="O142" s="75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5">
        <v>45652.450636574074</v>
      </c>
      <c r="N143" s="75">
        <v>45659</v>
      </c>
      <c r="O143" s="75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5">
        <v>45652.450636574074</v>
      </c>
      <c r="N144" s="75">
        <v>45659</v>
      </c>
      <c r="O144" s="75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5">
        <v>45652.450636574074</v>
      </c>
      <c r="N145" s="75">
        <v>45659</v>
      </c>
      <c r="O145" s="75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5">
        <v>45652.450636574074</v>
      </c>
      <c r="N146" s="75">
        <v>45659</v>
      </c>
      <c r="O146" s="75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5">
        <v>45652.450636574074</v>
      </c>
      <c r="N147" s="75">
        <v>45659</v>
      </c>
      <c r="O147" s="75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5">
        <v>45652.450636574074</v>
      </c>
      <c r="N148" s="75">
        <v>45659</v>
      </c>
      <c r="O148" s="75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5">
        <v>45652.450636574074</v>
      </c>
      <c r="N149" s="75">
        <v>45659</v>
      </c>
      <c r="O149" s="75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5">
        <v>45652.450636574074</v>
      </c>
      <c r="N150" s="75">
        <v>45659</v>
      </c>
      <c r="O150" s="75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5">
        <v>45652.450636574074</v>
      </c>
      <c r="N151" s="75">
        <v>45659</v>
      </c>
      <c r="O151" s="75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5">
        <v>45652.450636574074</v>
      </c>
      <c r="N152" s="75">
        <v>45659</v>
      </c>
      <c r="O152" s="75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5">
        <v>45652.450636574074</v>
      </c>
      <c r="N153" s="75">
        <v>45659</v>
      </c>
      <c r="O153" s="75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5">
        <v>45652.450636574074</v>
      </c>
      <c r="N154" s="75">
        <v>45659</v>
      </c>
      <c r="O154" s="75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5">
        <v>45652.450636574074</v>
      </c>
      <c r="N155" s="75">
        <v>45659</v>
      </c>
      <c r="O155" s="75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5">
        <v>45652.450636574074</v>
      </c>
      <c r="N156" s="75">
        <v>45659</v>
      </c>
      <c r="O156" s="75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5">
        <v>45659.374143518522</v>
      </c>
      <c r="N157" s="75">
        <v>45671</v>
      </c>
      <c r="O157" s="75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5">
        <v>45659.374143518522</v>
      </c>
      <c r="N158" s="75">
        <v>45671</v>
      </c>
      <c r="O158" s="75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5">
        <v>45660.525243055556</v>
      </c>
      <c r="N159" s="75">
        <v>45671</v>
      </c>
      <c r="O159" s="75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5">
        <v>45663.631412037037</v>
      </c>
      <c r="N160" s="75">
        <v>45671</v>
      </c>
      <c r="O160" s="75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5">
        <v>45663.631412037037</v>
      </c>
      <c r="N161" s="75">
        <v>45671</v>
      </c>
      <c r="O161" s="75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5">
        <v>45663.702314814815</v>
      </c>
      <c r="N162" s="75">
        <v>45671</v>
      </c>
      <c r="O162" s="75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5">
        <v>45663.702314814815</v>
      </c>
      <c r="N163" s="75">
        <v>45671</v>
      </c>
      <c r="O163" s="75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1555</v>
      </c>
      <c r="B164" s="60" t="str">
        <f>IFERROR(VLOOKUP(Proc[[#This Row],[App]],Table2[],3,0),"open")</f>
        <v>ok</v>
      </c>
      <c r="C164" s="62" t="s">
        <v>369</v>
      </c>
      <c r="D164" t="s">
        <v>1535</v>
      </c>
      <c r="E164" t="s">
        <v>1051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1564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75">
        <v>45664.540486111109</v>
      </c>
      <c r="N164" s="75">
        <v>45671</v>
      </c>
      <c r="O164" s="75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1555</v>
      </c>
      <c r="B165" s="60" t="str">
        <f>IFERROR(VLOOKUP(Proc[[#This Row],[App]],Table2[],3,0),"open")</f>
        <v>ok</v>
      </c>
      <c r="C165" s="62" t="s">
        <v>369</v>
      </c>
      <c r="D165" t="s">
        <v>1536</v>
      </c>
      <c r="E165" t="s">
        <v>1052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1564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75">
        <v>45664.540486111109</v>
      </c>
      <c r="N165" s="75">
        <v>45671</v>
      </c>
      <c r="O165" s="75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1555</v>
      </c>
      <c r="B166" s="60" t="str">
        <f>IFERROR(VLOOKUP(Proc[[#This Row],[App]],Table2[],3,0),"open")</f>
        <v>ok</v>
      </c>
      <c r="C166" s="62" t="s">
        <v>369</v>
      </c>
      <c r="D166" t="s">
        <v>1537</v>
      </c>
      <c r="E166" t="s">
        <v>1053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1564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75">
        <v>45664.540486111109</v>
      </c>
      <c r="N166" s="75">
        <v>45671</v>
      </c>
      <c r="O166" s="75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1538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5">
        <v>45664.540486111109</v>
      </c>
      <c r="N167" s="75">
        <v>45671</v>
      </c>
      <c r="O167" s="75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1539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5">
        <v>45664.540486111109</v>
      </c>
      <c r="N168" s="75">
        <v>45671</v>
      </c>
      <c r="O168" s="75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1540</v>
      </c>
      <c r="E169" t="s">
        <v>1054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5">
        <v>45664.540486111109</v>
      </c>
      <c r="N169" s="75">
        <v>45671</v>
      </c>
      <c r="O169" s="75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1541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5">
        <v>45664.540486111109</v>
      </c>
      <c r="N170" s="75">
        <v>45671</v>
      </c>
      <c r="O170" s="75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1542</v>
      </c>
      <c r="E171" t="s">
        <v>1055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5">
        <v>45664.540486111109</v>
      </c>
      <c r="N171" s="75">
        <v>45671</v>
      </c>
      <c r="O171" s="75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1543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5">
        <v>45664.540486111109</v>
      </c>
      <c r="N172" s="75">
        <v>45671</v>
      </c>
      <c r="O172" s="75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1544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5">
        <v>45664.540486111109</v>
      </c>
      <c r="N173" s="75">
        <v>45671</v>
      </c>
      <c r="O173" s="75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1545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5">
        <v>45664.540486111109</v>
      </c>
      <c r="N174" s="75">
        <v>45671</v>
      </c>
      <c r="O174" s="75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1546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5">
        <v>45664.540486111109</v>
      </c>
      <c r="N175" s="75">
        <v>45671</v>
      </c>
      <c r="O175" s="75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1547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5">
        <v>45664.540486111109</v>
      </c>
      <c r="N176" s="75">
        <v>45671</v>
      </c>
      <c r="O176" s="75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1548</v>
      </c>
      <c r="E177" t="s">
        <v>1050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5">
        <v>45664.540486111109</v>
      </c>
      <c r="N177" s="75">
        <v>45671</v>
      </c>
      <c r="O177" s="75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1549</v>
      </c>
      <c r="E178" t="s">
        <v>1050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5">
        <v>45664.540486111109</v>
      </c>
      <c r="N178" s="75">
        <v>45671</v>
      </c>
      <c r="O178" s="75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1550</v>
      </c>
      <c r="E179" t="s">
        <v>1050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5">
        <v>45664.540486111109</v>
      </c>
      <c r="N179" s="75">
        <v>45671</v>
      </c>
      <c r="O179" s="75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1551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5">
        <v>45664.540486111109</v>
      </c>
      <c r="N180" s="75">
        <v>45671</v>
      </c>
      <c r="O180" s="75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1552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5">
        <v>45664.540486111109</v>
      </c>
      <c r="N181" s="75">
        <v>45671</v>
      </c>
      <c r="O181" s="75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1553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5">
        <v>45664.540486111109</v>
      </c>
      <c r="N182" s="75">
        <v>45671</v>
      </c>
      <c r="O182" s="75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1554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5">
        <v>45664.540486111109</v>
      </c>
      <c r="N183" s="75">
        <v>45671</v>
      </c>
      <c r="O183" s="75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1557</v>
      </c>
      <c r="B184" s="60" t="str">
        <f>IFERROR(VLOOKUP(Proc[[#This Row],[App]],Table2[],3,0),"open")</f>
        <v>ok</v>
      </c>
      <c r="C184" s="62" t="s">
        <v>369</v>
      </c>
      <c r="D184" t="s">
        <v>1556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75">
        <v>45664.390173611115</v>
      </c>
      <c r="N184" s="75">
        <v>45666</v>
      </c>
      <c r="O184" s="75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1557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75">
        <v>45664.390173611115</v>
      </c>
      <c r="N185" s="75">
        <v>45666</v>
      </c>
      <c r="O185" s="75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1559</v>
      </c>
      <c r="B186" s="60" t="str">
        <f>IFERROR(VLOOKUP(Proc[[#This Row],[App]],Table2[],3,0),"open")</f>
        <v>ok</v>
      </c>
      <c r="C186" s="62" t="s">
        <v>369</v>
      </c>
      <c r="D186" s="65" t="s">
        <v>1558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75">
        <v>45664.385011574072</v>
      </c>
      <c r="N186" s="75">
        <v>45666</v>
      </c>
      <c r="O186" s="75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5">
        <v>45664.6015162037</v>
      </c>
      <c r="N187" s="75">
        <v>45671</v>
      </c>
      <c r="O187" s="75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5">
        <v>45664.6015162037</v>
      </c>
      <c r="N188" s="75">
        <v>45671</v>
      </c>
      <c r="O188" s="75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5">
        <v>45664.6015162037</v>
      </c>
      <c r="N189" s="75">
        <v>45671</v>
      </c>
      <c r="O189" s="75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1571</v>
      </c>
      <c r="B190" s="60" t="str">
        <f>IFERROR(VLOOKUP(Proc[[#This Row],[App]],Table2[],3,0),"open")</f>
        <v>ok</v>
      </c>
      <c r="C190" t="s">
        <v>369</v>
      </c>
      <c r="D190" t="s">
        <v>1565</v>
      </c>
      <c r="E190" t="s">
        <v>1569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5">
        <v>45665.54210648148</v>
      </c>
      <c r="N190" s="75">
        <v>45667</v>
      </c>
      <c r="O190" s="75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1571</v>
      </c>
      <c r="B191" s="60" t="str">
        <f>IFERROR(VLOOKUP(Proc[[#This Row],[App]],Table2[],3,0),"open")</f>
        <v>ok</v>
      </c>
      <c r="C191" s="62" t="s">
        <v>369</v>
      </c>
      <c r="D191" t="s">
        <v>1566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75">
        <v>45665.54210648148</v>
      </c>
      <c r="N191" s="75">
        <v>45667</v>
      </c>
      <c r="O191" s="75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1003</v>
      </c>
      <c r="S191" s="60"/>
    </row>
    <row r="192" spans="1:19" hidden="1">
      <c r="A192" s="62" t="s">
        <v>1571</v>
      </c>
      <c r="B192" s="60" t="str">
        <f>IFERROR(VLOOKUP(Proc[[#This Row],[App]],Table2[],3,0),"open")</f>
        <v>ok</v>
      </c>
      <c r="C192" s="62" t="s">
        <v>369</v>
      </c>
      <c r="D192" t="s">
        <v>1567</v>
      </c>
      <c r="E192" t="s">
        <v>1570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75">
        <v>45665.54210648148</v>
      </c>
      <c r="N192" s="75">
        <v>45667</v>
      </c>
      <c r="O192" s="75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1003</v>
      </c>
      <c r="S192" s="60"/>
    </row>
    <row r="193" spans="1:19" hidden="1">
      <c r="A193" s="62" t="s">
        <v>1571</v>
      </c>
      <c r="B193" s="60" t="str">
        <f>IFERROR(VLOOKUP(Proc[[#This Row],[App]],Table2[],3,0),"open")</f>
        <v>ok</v>
      </c>
      <c r="C193" s="62" t="s">
        <v>369</v>
      </c>
      <c r="D193" t="s">
        <v>1568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75">
        <v>45665.54210648148</v>
      </c>
      <c r="N193" s="75">
        <v>45667</v>
      </c>
      <c r="O193" s="75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1003</v>
      </c>
      <c r="S193" s="60"/>
    </row>
    <row r="194" spans="1:19" hidden="1">
      <c r="A194" t="s">
        <v>1573</v>
      </c>
      <c r="B194" s="60" t="str">
        <f>IFERROR(VLOOKUP(Proc[[#This Row],[App]],Table2[],3,0),"open")</f>
        <v>ok</v>
      </c>
      <c r="C194" s="62" t="s">
        <v>369</v>
      </c>
      <c r="D194" t="s">
        <v>1587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1727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75">
        <v>45665.586886574078</v>
      </c>
      <c r="N194" s="75">
        <v>45687</v>
      </c>
      <c r="O194" s="75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1112</v>
      </c>
      <c r="S194" s="60"/>
    </row>
    <row r="195" spans="1:19" hidden="1">
      <c r="A195" s="62" t="s">
        <v>1573</v>
      </c>
      <c r="B195" s="60" t="str">
        <f>IFERROR(VLOOKUP(Proc[[#This Row],[App]],Table2[],3,0),"open")</f>
        <v>ok</v>
      </c>
      <c r="C195" s="62" t="s">
        <v>369</v>
      </c>
      <c r="D195" t="s">
        <v>1572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1728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75">
        <v>45665.586886574078</v>
      </c>
      <c r="N195" s="75">
        <v>45687</v>
      </c>
      <c r="O195" s="75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1112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1574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5">
        <v>45665.425729166665</v>
      </c>
      <c r="N196" s="75">
        <v>45671</v>
      </c>
      <c r="O196" s="75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1579</v>
      </c>
      <c r="B197" s="60" t="str">
        <f>IFERROR(VLOOKUP(Proc[[#This Row],[App]],Table2[],3,0),"open")</f>
        <v>ok</v>
      </c>
      <c r="C197" s="62" t="s">
        <v>369</v>
      </c>
      <c r="D197" t="s">
        <v>1575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75">
        <v>45665.425729166665</v>
      </c>
      <c r="N197" s="75">
        <v>45671</v>
      </c>
      <c r="O197" s="75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1579</v>
      </c>
      <c r="B198" s="60" t="str">
        <f>IFERROR(VLOOKUP(Proc[[#This Row],[App]],Table2[],3,0),"open")</f>
        <v>ok</v>
      </c>
      <c r="C198" s="62" t="s">
        <v>369</v>
      </c>
      <c r="D198" t="s">
        <v>1576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75">
        <v>45665.425729166665</v>
      </c>
      <c r="N198" s="75">
        <v>45671</v>
      </c>
      <c r="O198" s="75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1579</v>
      </c>
      <c r="B199" s="60" t="str">
        <f>IFERROR(VLOOKUP(Proc[[#This Row],[App]],Table2[],3,0),"open")</f>
        <v>ok</v>
      </c>
      <c r="C199" s="62" t="s">
        <v>369</v>
      </c>
      <c r="D199" t="s">
        <v>1577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75">
        <v>45665.425729166665</v>
      </c>
      <c r="N199" s="75">
        <v>45671</v>
      </c>
      <c r="O199" s="75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1579</v>
      </c>
      <c r="B200" s="60" t="str">
        <f>IFERROR(VLOOKUP(Proc[[#This Row],[App]],Table2[],3,0),"open")</f>
        <v>ok</v>
      </c>
      <c r="C200" s="62" t="s">
        <v>369</v>
      </c>
      <c r="D200" t="s">
        <v>1578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75">
        <v>45665.425729166665</v>
      </c>
      <c r="N200" s="75">
        <v>45671</v>
      </c>
      <c r="O200" s="75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1580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5">
        <v>45665.41238425926</v>
      </c>
      <c r="N201" s="75">
        <v>45671</v>
      </c>
      <c r="O201" s="75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1582</v>
      </c>
      <c r="B202" s="60" t="str">
        <f>IFERROR(VLOOKUP(Proc[[#This Row],[App]],Table2[],3,0),"open")</f>
        <v>ok</v>
      </c>
      <c r="C202" s="62" t="s">
        <v>369</v>
      </c>
      <c r="D202" t="s">
        <v>1581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75">
        <v>45665.392372685186</v>
      </c>
      <c r="N202" s="75">
        <v>45667</v>
      </c>
      <c r="O202" s="75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1003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5">
        <v>45666.329097222224</v>
      </c>
      <c r="N203" s="75">
        <v>45671</v>
      </c>
      <c r="O203" s="75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5">
        <v>45666.638773148145</v>
      </c>
      <c r="N204" s="75">
        <v>45671</v>
      </c>
      <c r="O204" s="75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5">
        <v>45666.638773148145</v>
      </c>
      <c r="N205" s="75">
        <v>45671</v>
      </c>
      <c r="O205" s="75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5">
        <v>45667.399548611109</v>
      </c>
      <c r="N206" s="75">
        <v>45671</v>
      </c>
      <c r="O206" s="75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5">
        <v>45667.399548611109</v>
      </c>
      <c r="N207" s="75">
        <v>45671</v>
      </c>
      <c r="O207" s="75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5">
        <v>45671.398553240739</v>
      </c>
      <c r="N208" s="75">
        <v>45688</v>
      </c>
      <c r="O208" s="75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5">
        <v>45671.398553240739</v>
      </c>
      <c r="N209" s="75">
        <v>45688</v>
      </c>
      <c r="O209" s="75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5">
        <v>45671.398553240739</v>
      </c>
      <c r="N210" s="75">
        <v>45688</v>
      </c>
      <c r="O210" s="75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5">
        <v>45671.398553240739</v>
      </c>
      <c r="N211" s="75">
        <v>45688</v>
      </c>
      <c r="O211" s="75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5">
        <v>45671.398553240739</v>
      </c>
      <c r="N212" s="75">
        <v>45688</v>
      </c>
      <c r="O212" s="75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5">
        <v>45671.398553240739</v>
      </c>
      <c r="N213" s="75">
        <v>45688</v>
      </c>
      <c r="O213" s="75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5">
        <v>45671.398553240739</v>
      </c>
      <c r="O214" s="75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5">
        <v>45671.398553240739</v>
      </c>
      <c r="N215" s="75">
        <v>45688</v>
      </c>
      <c r="O215" s="75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5">
        <v>45671.398553240739</v>
      </c>
      <c r="O216" s="75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5">
        <v>45671.398553240739</v>
      </c>
      <c r="N217" s="75">
        <v>45688</v>
      </c>
      <c r="O217" s="75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5">
        <v>45671.398553240739</v>
      </c>
      <c r="N218" s="75">
        <v>45688</v>
      </c>
      <c r="O218" s="75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5">
        <v>45671.398553240739</v>
      </c>
      <c r="N219" s="75">
        <v>45688</v>
      </c>
      <c r="O219" s="75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5">
        <v>45671.398553240739</v>
      </c>
      <c r="O220" s="75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5">
        <v>45671.398553240739</v>
      </c>
      <c r="N221" s="75">
        <v>45688</v>
      </c>
      <c r="O221" s="75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5">
        <v>45671.398553240739</v>
      </c>
      <c r="N222" s="75">
        <v>45688</v>
      </c>
      <c r="O222" s="75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5">
        <v>45671.398553240739</v>
      </c>
      <c r="N223" s="75">
        <v>45688</v>
      </c>
      <c r="O223" s="75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5">
        <v>45671.398553240739</v>
      </c>
      <c r="N224" s="75">
        <v>45688</v>
      </c>
      <c r="O224" s="75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5">
        <v>45671.398553240739</v>
      </c>
      <c r="N225" s="75">
        <v>45688</v>
      </c>
      <c r="O225" s="75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5">
        <v>45671.398553240739</v>
      </c>
      <c r="N226" s="75">
        <v>45688</v>
      </c>
      <c r="O226" s="75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5">
        <v>45671.398553240739</v>
      </c>
      <c r="N227" s="75">
        <v>45688</v>
      </c>
      <c r="O227" s="75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5">
        <v>45671.398553240739</v>
      </c>
      <c r="O228" s="75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5">
        <v>45671.398553240739</v>
      </c>
      <c r="N229" s="75">
        <v>45688</v>
      </c>
      <c r="O229" s="75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5">
        <v>45671.398553240739</v>
      </c>
      <c r="O230" s="75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5">
        <v>45671.398553240739</v>
      </c>
      <c r="N231" s="75">
        <v>45688</v>
      </c>
      <c r="O231" s="75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5">
        <v>45671.398553240739</v>
      </c>
      <c r="N232" s="75">
        <v>45688</v>
      </c>
      <c r="O232" s="75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5">
        <v>45671.398553240739</v>
      </c>
      <c r="N233" s="75">
        <v>45688</v>
      </c>
      <c r="O233" s="75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5">
        <v>45671.398553240739</v>
      </c>
      <c r="O234" s="75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5">
        <v>45672.564884259256</v>
      </c>
      <c r="N235" s="75">
        <v>45688</v>
      </c>
      <c r="O235" s="75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5">
        <v>45672.564884259256</v>
      </c>
      <c r="N236" s="75">
        <v>45688</v>
      </c>
      <c r="O236" s="75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5">
        <v>45672.564884259256</v>
      </c>
      <c r="N237" s="75">
        <v>45688</v>
      </c>
      <c r="O237" s="75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5">
        <v>45672.564884259256</v>
      </c>
      <c r="N238" s="75">
        <v>45688</v>
      </c>
      <c r="O238" s="75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5">
        <v>45672.564884259256</v>
      </c>
      <c r="N239" s="75">
        <v>45688</v>
      </c>
      <c r="O239" s="75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5">
        <v>45672.564884259256</v>
      </c>
      <c r="N240" s="75">
        <v>45688</v>
      </c>
      <c r="O240" s="75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5">
        <v>45672.564884259256</v>
      </c>
      <c r="N241" s="75">
        <v>45688</v>
      </c>
      <c r="O241" s="75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5">
        <v>45672.564884259256</v>
      </c>
      <c r="N242" s="75">
        <v>45688</v>
      </c>
      <c r="O242" s="75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5">
        <v>45672.564884259256</v>
      </c>
      <c r="N243" s="75">
        <v>45688</v>
      </c>
      <c r="O243" s="75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5">
        <v>45672.564884259256</v>
      </c>
      <c r="N244" s="75">
        <v>45688</v>
      </c>
      <c r="O244" s="75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5">
        <v>45672.662546296298</v>
      </c>
      <c r="N245" s="75">
        <v>45674</v>
      </c>
      <c r="O245" s="75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5">
        <v>45672.662546296298</v>
      </c>
      <c r="N246" s="75">
        <v>45674</v>
      </c>
      <c r="O246" s="75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5">
        <v>45672.662546296298</v>
      </c>
      <c r="N247" s="75">
        <v>45674</v>
      </c>
      <c r="O247" s="75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5">
        <v>45672.662546296298</v>
      </c>
      <c r="N248" s="75">
        <v>45674</v>
      </c>
      <c r="O248" s="75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5">
        <v>45674.472696759258</v>
      </c>
      <c r="N249" s="75">
        <v>45688</v>
      </c>
      <c r="O249" s="75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5">
        <v>45674.56994212963</v>
      </c>
      <c r="N250" s="75">
        <v>45678</v>
      </c>
      <c r="O250" s="75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5">
        <v>45674.56994212963</v>
      </c>
      <c r="N251" s="75">
        <v>45678</v>
      </c>
      <c r="O251" s="75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5">
        <v>45674.56994212963</v>
      </c>
      <c r="N252" s="75">
        <v>45678</v>
      </c>
      <c r="O252" s="75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5">
        <v>45674.56994212963</v>
      </c>
      <c r="N253" s="75">
        <v>45678</v>
      </c>
      <c r="O253" s="75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5">
        <v>45674.56994212963</v>
      </c>
      <c r="N254" s="75">
        <v>45678</v>
      </c>
      <c r="O254" s="75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5">
        <v>45674.56994212963</v>
      </c>
      <c r="N255" s="75">
        <v>45678</v>
      </c>
      <c r="O255" s="75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5">
        <v>45677.44258101852</v>
      </c>
      <c r="N256" s="75">
        <v>45680</v>
      </c>
      <c r="O256" s="75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5">
        <v>45677.44258101852</v>
      </c>
      <c r="N257" s="75">
        <v>45680</v>
      </c>
      <c r="O257" s="75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5">
        <v>45677.44258101852</v>
      </c>
      <c r="N258" s="75">
        <v>45680</v>
      </c>
      <c r="O258" s="75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5">
        <v>45677.44258101852</v>
      </c>
      <c r="N259" s="75">
        <v>45680</v>
      </c>
      <c r="O259" s="75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5">
        <v>45677.44258101852</v>
      </c>
      <c r="N260" s="75">
        <v>45680</v>
      </c>
      <c r="O260" s="75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5">
        <v>45677.44258101852</v>
      </c>
      <c r="N261" s="75">
        <v>45680</v>
      </c>
      <c r="O261" s="75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5">
        <v>45677.44258101852</v>
      </c>
      <c r="N262" s="75">
        <v>45680</v>
      </c>
      <c r="O262" s="75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5">
        <v>45677.556840277779</v>
      </c>
      <c r="N263" s="75">
        <v>45688</v>
      </c>
      <c r="O263" s="75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5">
        <v>45677.556840277779</v>
      </c>
      <c r="N264" s="75">
        <v>45688</v>
      </c>
      <c r="O264" s="75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5">
        <v>45677.556840277779</v>
      </c>
      <c r="N265" s="75">
        <v>45688</v>
      </c>
      <c r="O265" s="75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1671</v>
      </c>
      <c r="B266" s="60" t="str">
        <f>IFERROR(VLOOKUP(Proc[[#This Row],[App]],Table2[],3,0),"open")</f>
        <v>ok</v>
      </c>
      <c r="C266" s="62" t="s">
        <v>369</v>
      </c>
      <c r="D266" t="s">
        <v>1672</v>
      </c>
      <c r="E266" t="s">
        <v>1684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75">
        <v>45679.497245370374</v>
      </c>
      <c r="N266" s="75">
        <v>45681</v>
      </c>
      <c r="O266" s="75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1032</v>
      </c>
      <c r="S266" s="60"/>
    </row>
    <row r="267" spans="1:19" hidden="1">
      <c r="A267" s="62" t="s">
        <v>1671</v>
      </c>
      <c r="B267" s="60" t="str">
        <f>IFERROR(VLOOKUP(Proc[[#This Row],[App]],Table2[],3,0),"open")</f>
        <v>ok</v>
      </c>
      <c r="C267" s="62" t="s">
        <v>369</v>
      </c>
      <c r="D267" t="s">
        <v>1673</v>
      </c>
      <c r="E267" t="s">
        <v>1685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75">
        <v>45679.497245370374</v>
      </c>
      <c r="N267" s="75">
        <v>45681</v>
      </c>
      <c r="O267" s="75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1032</v>
      </c>
      <c r="S267" s="60"/>
    </row>
    <row r="268" spans="1:19" hidden="1">
      <c r="A268" s="62" t="s">
        <v>1671</v>
      </c>
      <c r="B268" s="60" t="str">
        <f>IFERROR(VLOOKUP(Proc[[#This Row],[App]],Table2[],3,0),"open")</f>
        <v>ok</v>
      </c>
      <c r="C268" s="62" t="s">
        <v>369</v>
      </c>
      <c r="D268" t="s">
        <v>1674</v>
      </c>
      <c r="E268" t="s">
        <v>1266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75">
        <v>45679.497245370374</v>
      </c>
      <c r="N268" s="75">
        <v>45681</v>
      </c>
      <c r="O268" s="75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1032</v>
      </c>
      <c r="S268" s="60"/>
    </row>
    <row r="269" spans="1:19" hidden="1">
      <c r="A269" s="62" t="s">
        <v>1671</v>
      </c>
      <c r="B269" s="60" t="str">
        <f>IFERROR(VLOOKUP(Proc[[#This Row],[App]],Table2[],3,0),"open")</f>
        <v>ok</v>
      </c>
      <c r="C269" s="62" t="s">
        <v>369</v>
      </c>
      <c r="D269" t="s">
        <v>1675</v>
      </c>
      <c r="E269" t="s">
        <v>1264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75">
        <v>45679.497245370374</v>
      </c>
      <c r="N269" s="75">
        <v>45681</v>
      </c>
      <c r="O269" s="75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1032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1676</v>
      </c>
      <c r="E270" t="s">
        <v>1265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5">
        <v>45679.497245370374</v>
      </c>
      <c r="N270" s="75">
        <v>45681</v>
      </c>
      <c r="O270" s="75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1677</v>
      </c>
      <c r="E271" t="s">
        <v>1263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5">
        <v>45679.497245370374</v>
      </c>
      <c r="N271" s="75">
        <v>45681</v>
      </c>
      <c r="O271" s="75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1678</v>
      </c>
      <c r="E272" t="s">
        <v>1684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5">
        <v>45679.497245370374</v>
      </c>
      <c r="N272" s="75">
        <v>45681</v>
      </c>
      <c r="O272" s="75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1679</v>
      </c>
      <c r="E273" t="s">
        <v>1685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5">
        <v>45679.497245370374</v>
      </c>
      <c r="N273" s="75">
        <v>45681</v>
      </c>
      <c r="O273" s="75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1680</v>
      </c>
      <c r="E274" t="s">
        <v>1267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5">
        <v>45679.497245370374</v>
      </c>
      <c r="N274" s="75">
        <v>45681</v>
      </c>
      <c r="O274" s="75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1681</v>
      </c>
      <c r="E275" t="s">
        <v>1267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5">
        <v>45679.497245370374</v>
      </c>
      <c r="N275" s="75">
        <v>45681</v>
      </c>
      <c r="O275" s="75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1682</v>
      </c>
      <c r="E276" t="s">
        <v>1267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5">
        <v>45679.497245370374</v>
      </c>
      <c r="N276" s="75">
        <v>45681</v>
      </c>
      <c r="O276" s="75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1683</v>
      </c>
      <c r="E277" t="s">
        <v>1267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5">
        <v>45679.497245370374</v>
      </c>
      <c r="N277" s="75">
        <v>45681</v>
      </c>
      <c r="O277" s="75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1686</v>
      </c>
      <c r="B278" s="60" t="str">
        <f>IFERROR(VLOOKUP(Proc[[#This Row],[App]],Table2[],3,0),"open")</f>
        <v>ok</v>
      </c>
      <c r="C278" s="62" t="s">
        <v>369</v>
      </c>
      <c r="D278" t="s">
        <v>1687</v>
      </c>
      <c r="E278" t="s">
        <v>1187</v>
      </c>
      <c r="F278" s="60" t="s">
        <v>1124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75">
        <v>45678.433263888888</v>
      </c>
      <c r="N278" s="75">
        <v>45681</v>
      </c>
      <c r="O278" s="75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1003</v>
      </c>
      <c r="S278" s="60"/>
    </row>
    <row r="279" spans="1:19" hidden="1">
      <c r="A279" s="62" t="s">
        <v>1686</v>
      </c>
      <c r="B279" s="60" t="str">
        <f>IFERROR(VLOOKUP(Proc[[#This Row],[App]],Table2[],3,0),"open")</f>
        <v>ok</v>
      </c>
      <c r="C279" s="62" t="s">
        <v>369</v>
      </c>
      <c r="D279" t="s">
        <v>1688</v>
      </c>
      <c r="E279" t="s">
        <v>1186</v>
      </c>
      <c r="F279" s="60" t="s">
        <v>1206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75">
        <v>45678.433263888888</v>
      </c>
      <c r="N279" s="75">
        <v>45681</v>
      </c>
      <c r="O279" s="75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1003</v>
      </c>
      <c r="S279" s="60"/>
    </row>
    <row r="280" spans="1:19" hidden="1">
      <c r="A280" s="62" t="s">
        <v>1686</v>
      </c>
      <c r="B280" s="60" t="str">
        <f>IFERROR(VLOOKUP(Proc[[#This Row],[App]],Table2[],3,0),"open")</f>
        <v>ok</v>
      </c>
      <c r="C280" s="62" t="s">
        <v>369</v>
      </c>
      <c r="D280" t="s">
        <v>1689</v>
      </c>
      <c r="E280" t="s">
        <v>498</v>
      </c>
      <c r="F280" s="60" t="s">
        <v>1691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75">
        <v>45678.433263888888</v>
      </c>
      <c r="N280" s="75">
        <v>45681</v>
      </c>
      <c r="O280" s="75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1003</v>
      </c>
      <c r="S280" s="60"/>
    </row>
    <row r="281" spans="1:19" hidden="1">
      <c r="A281" s="62" t="s">
        <v>1686</v>
      </c>
      <c r="B281" s="60" t="str">
        <f>IFERROR(VLOOKUP(Proc[[#This Row],[App]],Table2[],3,0),"open")</f>
        <v>ok</v>
      </c>
      <c r="C281" s="62" t="s">
        <v>369</v>
      </c>
      <c r="D281" t="s">
        <v>1690</v>
      </c>
      <c r="E281" t="s">
        <v>649</v>
      </c>
      <c r="F281" s="60" t="s">
        <v>1692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75">
        <v>45678.433263888888</v>
      </c>
      <c r="N281" s="75">
        <v>45681</v>
      </c>
      <c r="O281" s="75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1003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5">
        <v>45680.579351851855</v>
      </c>
      <c r="N282" s="75">
        <v>45681</v>
      </c>
      <c r="O282" s="75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5">
        <v>45680.579351851855</v>
      </c>
      <c r="N283" s="75">
        <v>45681</v>
      </c>
      <c r="O283" s="75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5">
        <v>45680.579351851855</v>
      </c>
      <c r="O284" s="75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5">
        <v>45680.579351851855</v>
      </c>
      <c r="N285" s="75">
        <v>45681</v>
      </c>
      <c r="O285" s="75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5">
        <v>45680.579351851855</v>
      </c>
      <c r="N286" s="75">
        <v>45681</v>
      </c>
      <c r="O286" s="75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5">
        <v>45681.36482638889</v>
      </c>
      <c r="N287" s="75">
        <v>45688</v>
      </c>
      <c r="O287" s="75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5">
        <v>45681.36482638889</v>
      </c>
      <c r="N288" s="75">
        <v>45688</v>
      </c>
      <c r="O288" s="75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5">
        <v>45681.36482638889</v>
      </c>
      <c r="N289" s="75">
        <v>45688</v>
      </c>
      <c r="O289" s="75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5">
        <v>45681.36482638889</v>
      </c>
      <c r="N290" s="75">
        <v>45688</v>
      </c>
      <c r="O290" s="75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5">
        <v>45681.36482638889</v>
      </c>
      <c r="N291" s="75">
        <v>45688</v>
      </c>
      <c r="O291" s="75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5">
        <v>45681.36482638889</v>
      </c>
      <c r="N292" s="75">
        <v>45688</v>
      </c>
      <c r="O292" s="75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5">
        <v>45681.36482638889</v>
      </c>
      <c r="N293" s="75">
        <v>45688</v>
      </c>
      <c r="O293" s="75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2688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5">
        <v>45681.36482638889</v>
      </c>
      <c r="N294" s="75">
        <v>45688</v>
      </c>
      <c r="O294" s="75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2224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5">
        <v>45681.36482638889</v>
      </c>
      <c r="N295" s="75">
        <v>45688</v>
      </c>
      <c r="O295" s="75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5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49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5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49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5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49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5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49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5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49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5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49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5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49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5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49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5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49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5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49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5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49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5">
        <v>45681.610185185185</v>
      </c>
      <c r="N307" s="75">
        <v>45688</v>
      </c>
      <c r="O307" s="75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5">
        <v>45685.33834490741</v>
      </c>
      <c r="N308" s="75">
        <v>45688</v>
      </c>
      <c r="O308" s="75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5">
        <v>45685.33834490741</v>
      </c>
      <c r="N309" s="75">
        <v>45688</v>
      </c>
      <c r="O309" s="75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5">
        <v>45685.33834490741</v>
      </c>
      <c r="N310" s="75">
        <v>45688</v>
      </c>
      <c r="O310" s="75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5">
        <v>45685.33834490741</v>
      </c>
      <c r="N311" s="75">
        <v>45688</v>
      </c>
      <c r="O311" s="75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5">
        <v>45685.33834490741</v>
      </c>
      <c r="N312" s="75">
        <v>45688</v>
      </c>
      <c r="O312" s="75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5">
        <v>45685.33834490741</v>
      </c>
      <c r="N313" s="75">
        <v>45688</v>
      </c>
      <c r="O313" s="75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5">
        <v>45685.502604166664</v>
      </c>
      <c r="N314" s="75">
        <v>45688</v>
      </c>
      <c r="O314" s="75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1743</v>
      </c>
      <c r="B315" s="60" t="str">
        <f>IFERROR(VLOOKUP(Proc[[#This Row],[App]],Table2[],3,0),"open")</f>
        <v>ok</v>
      </c>
      <c r="C315" s="63" t="s">
        <v>369</v>
      </c>
      <c r="D315" t="s">
        <v>1744</v>
      </c>
      <c r="E315" t="s">
        <v>419</v>
      </c>
      <c r="F315" s="60" t="s">
        <v>1098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75">
        <v>45687.614363425928</v>
      </c>
      <c r="N315" s="75">
        <v>45691</v>
      </c>
      <c r="O315" s="75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1112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5">
        <v>45687.600775462961</v>
      </c>
      <c r="N316" s="75">
        <v>45691</v>
      </c>
      <c r="O316" s="75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5">
        <v>45687.600775462961</v>
      </c>
      <c r="N317" s="75">
        <v>45691</v>
      </c>
      <c r="O317" s="75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5">
        <v>45687.600775462961</v>
      </c>
      <c r="N318" s="75">
        <v>45691</v>
      </c>
      <c r="O318" s="75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5">
        <v>45687.600775462961</v>
      </c>
      <c r="N319" s="75">
        <v>45691</v>
      </c>
      <c r="O319" s="75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5">
        <v>45687.600775462961</v>
      </c>
      <c r="N320" s="75">
        <v>45691</v>
      </c>
      <c r="O320" s="75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5">
        <v>45687.600775462961</v>
      </c>
      <c r="N321" s="75">
        <v>45691</v>
      </c>
      <c r="O321" s="75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1760</v>
      </c>
      <c r="B322" s="60" t="str">
        <f>IFERROR(VLOOKUP(Proc[[#This Row],[App]],Table2[],3,0),"open")</f>
        <v>ok</v>
      </c>
      <c r="C322" s="63" t="s">
        <v>369</v>
      </c>
      <c r="D322" t="s">
        <v>1758</v>
      </c>
      <c r="E322" t="s">
        <v>1762</v>
      </c>
      <c r="F322" s="60" t="s">
        <v>1759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75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45</v>
      </c>
      <c r="R322" s="69" t="s">
        <v>1761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5">
        <v>45688.524016203701</v>
      </c>
      <c r="N323" s="75">
        <v>45691</v>
      </c>
      <c r="O323" s="75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5">
        <v>45688.524016203701</v>
      </c>
      <c r="N324" s="75">
        <v>45691</v>
      </c>
      <c r="O324" s="75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5">
        <v>45688.524016203701</v>
      </c>
      <c r="N325" s="75">
        <v>45691</v>
      </c>
      <c r="O325" s="75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5">
        <v>45688.524016203701</v>
      </c>
      <c r="N326" s="75">
        <v>45691</v>
      </c>
      <c r="O326" s="75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5">
        <v>45688.524016203701</v>
      </c>
      <c r="N327" s="75">
        <v>45691</v>
      </c>
      <c r="O327" s="75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5">
        <v>45688.524016203701</v>
      </c>
      <c r="N328" s="75">
        <v>45691</v>
      </c>
      <c r="O328" s="75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5">
        <v>45688.524016203701</v>
      </c>
      <c r="N329" s="75">
        <v>45691</v>
      </c>
      <c r="O329" s="75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5">
        <v>45688.524016203701</v>
      </c>
      <c r="N330" s="75">
        <v>45691</v>
      </c>
      <c r="O330" s="75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5">
        <v>45688.524016203701</v>
      </c>
      <c r="N331" s="75">
        <v>45691</v>
      </c>
      <c r="O331" s="75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5">
        <v>45688.524016203701</v>
      </c>
      <c r="N332" s="75">
        <v>45691</v>
      </c>
      <c r="O332" s="75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5">
        <v>45688.524016203701</v>
      </c>
      <c r="N333" s="75">
        <v>45691</v>
      </c>
      <c r="O333" s="75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5">
        <v>45688.524016203701</v>
      </c>
      <c r="N334" s="75">
        <v>45691</v>
      </c>
      <c r="O334" s="75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5">
        <v>45688.524016203701</v>
      </c>
      <c r="N335" s="75">
        <v>45691</v>
      </c>
      <c r="O335" s="75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5">
        <v>45688.524016203701</v>
      </c>
      <c r="N336" s="75">
        <v>45691</v>
      </c>
      <c r="O336" s="75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5">
        <v>45688.524016203701</v>
      </c>
      <c r="N337" s="75">
        <v>45691</v>
      </c>
      <c r="O337" s="75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5">
        <v>45688.524016203701</v>
      </c>
      <c r="N338" s="75">
        <v>45691</v>
      </c>
      <c r="O338" s="75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5">
        <v>45688.524016203701</v>
      </c>
      <c r="N339" s="75">
        <v>45691</v>
      </c>
      <c r="O339" s="75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5">
        <v>45688.524016203701</v>
      </c>
      <c r="N340" s="75">
        <v>45691</v>
      </c>
      <c r="O340" s="75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1787</v>
      </c>
      <c r="B341" s="60" t="str">
        <f>IFERROR(VLOOKUP(Proc[[#This Row],[App]],Table2[],3,0),"open")</f>
        <v>ok</v>
      </c>
      <c r="C341" t="s">
        <v>369</v>
      </c>
      <c r="D341" t="s">
        <v>1788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75">
        <v>45691.389618055553</v>
      </c>
      <c r="N341" s="75">
        <v>45692</v>
      </c>
      <c r="O341" s="75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1789</v>
      </c>
      <c r="B342" s="60" t="str">
        <f>IFERROR(VLOOKUP(Proc[[#This Row],[App]],Table2[],3,0),"open")</f>
        <v>ok</v>
      </c>
      <c r="C342" s="62" t="s">
        <v>369</v>
      </c>
      <c r="D342" t="s">
        <v>1790</v>
      </c>
      <c r="E342" t="s">
        <v>1286</v>
      </c>
      <c r="F342" s="60" t="s">
        <v>1088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5">
        <v>45691.34474537037</v>
      </c>
      <c r="N342" s="75">
        <v>45692</v>
      </c>
      <c r="O342" s="75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1003</v>
      </c>
      <c r="S342" s="60"/>
    </row>
    <row r="343" spans="1:19" hidden="1">
      <c r="A343" s="62" t="s">
        <v>1789</v>
      </c>
      <c r="B343" s="60" t="str">
        <f>IFERROR(VLOOKUP(Proc[[#This Row],[App]],Table2[],3,0),"open")</f>
        <v>ok</v>
      </c>
      <c r="C343" s="62" t="s">
        <v>369</v>
      </c>
      <c r="D343" t="s">
        <v>1791</v>
      </c>
      <c r="E343" t="s">
        <v>1287</v>
      </c>
      <c r="F343" s="60" t="s">
        <v>1319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5">
        <v>45691.34474537037</v>
      </c>
      <c r="N343" s="75">
        <v>45692</v>
      </c>
      <c r="O343" s="75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1003</v>
      </c>
      <c r="S343" s="60"/>
    </row>
    <row r="344" spans="1:19" hidden="1">
      <c r="A344" s="62" t="s">
        <v>1789</v>
      </c>
      <c r="B344" s="60" t="str">
        <f>IFERROR(VLOOKUP(Proc[[#This Row],[App]],Table2[],3,0),"open")</f>
        <v>ok</v>
      </c>
      <c r="C344" s="62" t="s">
        <v>369</v>
      </c>
      <c r="D344" t="s">
        <v>1792</v>
      </c>
      <c r="E344" t="s">
        <v>1288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5">
        <v>45691.34474537037</v>
      </c>
      <c r="N344" s="75">
        <v>45692</v>
      </c>
      <c r="O344" s="75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1003</v>
      </c>
      <c r="S344" s="60"/>
    </row>
    <row r="345" spans="1:19" hidden="1">
      <c r="A345" s="62" t="s">
        <v>1789</v>
      </c>
      <c r="B345" s="60" t="str">
        <f>IFERROR(VLOOKUP(Proc[[#This Row],[App]],Table2[],3,0),"open")</f>
        <v>ok</v>
      </c>
      <c r="C345" s="62" t="s">
        <v>369</v>
      </c>
      <c r="D345" t="s">
        <v>1793</v>
      </c>
      <c r="E345" t="s">
        <v>1288</v>
      </c>
      <c r="F345" s="60" t="s">
        <v>1319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5">
        <v>45691.34474537037</v>
      </c>
      <c r="N345" s="75">
        <v>45692</v>
      </c>
      <c r="O345" s="75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1003</v>
      </c>
      <c r="S345" s="60"/>
    </row>
    <row r="346" spans="1:19" hidden="1">
      <c r="A346" t="s">
        <v>1807</v>
      </c>
      <c r="B346" s="60" t="str">
        <f>IFERROR(VLOOKUP(Proc[[#This Row],[App]],Table2[],3,0),"open")</f>
        <v>ok</v>
      </c>
      <c r="C346" s="62" t="s">
        <v>369</v>
      </c>
      <c r="D346" t="s">
        <v>1794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75">
        <v>45690.78837962963</v>
      </c>
      <c r="N346" s="75">
        <v>45692</v>
      </c>
      <c r="O346" s="75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1795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5">
        <v>45690.78837962963</v>
      </c>
      <c r="N347" s="75">
        <v>45692</v>
      </c>
      <c r="O347" s="75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1796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5">
        <v>45690.78837962963</v>
      </c>
      <c r="N348" s="75">
        <v>45692</v>
      </c>
      <c r="O348" s="75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1797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5">
        <v>45690.78837962963</v>
      </c>
      <c r="N349" s="75">
        <v>45692</v>
      </c>
      <c r="O349" s="75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1798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5">
        <v>45690.78837962963</v>
      </c>
      <c r="N350" s="75">
        <v>45692</v>
      </c>
      <c r="O350" s="75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1799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5">
        <v>45690.78837962963</v>
      </c>
      <c r="N351" s="75">
        <v>45692</v>
      </c>
      <c r="O351" s="75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1800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5">
        <v>45690.78837962963</v>
      </c>
      <c r="N352" s="75">
        <v>45692</v>
      </c>
      <c r="O352" s="75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1801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5">
        <v>45690.78837962963</v>
      </c>
      <c r="N353" s="75">
        <v>45692</v>
      </c>
      <c r="O353" s="75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1802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5">
        <v>45690.78837962963</v>
      </c>
      <c r="N354" s="75">
        <v>45692</v>
      </c>
      <c r="O354" s="75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1803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5">
        <v>45690.78837962963</v>
      </c>
      <c r="N355" s="75">
        <v>45692</v>
      </c>
      <c r="O355" s="75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377</v>
      </c>
      <c r="D356" t="s">
        <v>1804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5">
        <v>45690.78837962963</v>
      </c>
      <c r="N356" s="75">
        <v>45692</v>
      </c>
      <c r="O356" s="75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369</v>
      </c>
      <c r="D357" t="s">
        <v>1805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5">
        <v>45690.78837962963</v>
      </c>
      <c r="N357" s="75">
        <v>45692</v>
      </c>
      <c r="O357" s="75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1806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5">
        <v>45690.78837962963</v>
      </c>
      <c r="N358" s="75">
        <v>45692</v>
      </c>
      <c r="O358" s="75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1808</v>
      </c>
      <c r="B359" s="60" t="str">
        <f>IFERROR(VLOOKUP(Proc[[#This Row],[App]],Table2[],3,0),"open")</f>
        <v>ok</v>
      </c>
      <c r="C359" s="62" t="s">
        <v>369</v>
      </c>
      <c r="D359" t="s">
        <v>1809</v>
      </c>
      <c r="E359" t="s">
        <v>1815</v>
      </c>
      <c r="F359" s="60" t="s">
        <v>1755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75">
        <v>45688.632743055554</v>
      </c>
      <c r="N359" s="75">
        <v>45692</v>
      </c>
      <c r="O359" s="75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1003</v>
      </c>
      <c r="S359" s="60"/>
    </row>
    <row r="360" spans="1:19" hidden="1">
      <c r="A360" s="62" t="s">
        <v>1808</v>
      </c>
      <c r="B360" s="60" t="str">
        <f>IFERROR(VLOOKUP(Proc[[#This Row],[App]],Table2[],3,0),"open")</f>
        <v>ok</v>
      </c>
      <c r="C360" s="62" t="s">
        <v>369</v>
      </c>
      <c r="D360" t="s">
        <v>1810</v>
      </c>
      <c r="E360" t="s">
        <v>1816</v>
      </c>
      <c r="F360" s="60" t="s">
        <v>1755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5">
        <v>45688.632743055554</v>
      </c>
      <c r="N360" s="75">
        <v>45692</v>
      </c>
      <c r="O360" s="75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1003</v>
      </c>
      <c r="S360" s="60"/>
    </row>
    <row r="361" spans="1:19" hidden="1">
      <c r="A361" s="62" t="s">
        <v>1808</v>
      </c>
      <c r="B361" s="60" t="str">
        <f>IFERROR(VLOOKUP(Proc[[#This Row],[App]],Table2[],3,0),"open")</f>
        <v>ok</v>
      </c>
      <c r="C361" s="62" t="s">
        <v>369</v>
      </c>
      <c r="D361" t="s">
        <v>1811</v>
      </c>
      <c r="E361" t="s">
        <v>1289</v>
      </c>
      <c r="F361" s="60" t="s">
        <v>1152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5">
        <v>45688.632743055554</v>
      </c>
      <c r="N361" s="75">
        <v>45692</v>
      </c>
      <c r="O361" s="75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1003</v>
      </c>
      <c r="S361" s="60"/>
    </row>
    <row r="362" spans="1:19" hidden="1">
      <c r="A362" s="62" t="s">
        <v>1808</v>
      </c>
      <c r="B362" s="60" t="str">
        <f>IFERROR(VLOOKUP(Proc[[#This Row],[App]],Table2[],3,0),"open")</f>
        <v>ok</v>
      </c>
      <c r="C362" s="62" t="s">
        <v>369</v>
      </c>
      <c r="D362" t="s">
        <v>1812</v>
      </c>
      <c r="E362" t="s">
        <v>549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5">
        <v>45688.632743055554</v>
      </c>
      <c r="N362" s="75">
        <v>45692</v>
      </c>
      <c r="O362" s="75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1003</v>
      </c>
      <c r="S362" s="60"/>
    </row>
    <row r="363" spans="1:19" hidden="1">
      <c r="A363" s="62" t="s">
        <v>1808</v>
      </c>
      <c r="B363" s="60" t="str">
        <f>IFERROR(VLOOKUP(Proc[[#This Row],[App]],Table2[],3,0),"open")</f>
        <v>ok</v>
      </c>
      <c r="C363" s="62" t="s">
        <v>369</v>
      </c>
      <c r="D363" t="s">
        <v>1813</v>
      </c>
      <c r="E363" t="s">
        <v>549</v>
      </c>
      <c r="F363" s="60" t="s">
        <v>1817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5">
        <v>45688.632743055554</v>
      </c>
      <c r="N363" s="75">
        <v>45692</v>
      </c>
      <c r="O363" s="75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1003</v>
      </c>
      <c r="S363" s="60"/>
    </row>
    <row r="364" spans="1:19" hidden="1">
      <c r="A364" s="62" t="s">
        <v>1808</v>
      </c>
      <c r="B364" s="60" t="str">
        <f>IFERROR(VLOOKUP(Proc[[#This Row],[App]],Table2[],3,0),"open")</f>
        <v>ok</v>
      </c>
      <c r="C364" s="62" t="s">
        <v>369</v>
      </c>
      <c r="D364" t="s">
        <v>1814</v>
      </c>
      <c r="E364" t="s">
        <v>801</v>
      </c>
      <c r="F364" s="60" t="s">
        <v>1086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75">
        <v>45688.632743055554</v>
      </c>
      <c r="N364" s="75">
        <v>45692</v>
      </c>
      <c r="O364" s="75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1003</v>
      </c>
      <c r="S364" s="60"/>
    </row>
    <row r="365" spans="1:19" hidden="1">
      <c r="A365" t="s">
        <v>1818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1285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5">
        <v>45691.694965277777</v>
      </c>
      <c r="N365" s="75">
        <v>45712</v>
      </c>
      <c r="O365" s="75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1530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5">
        <v>45691.694965277777</v>
      </c>
      <c r="N366" s="75">
        <v>45712</v>
      </c>
      <c r="O366" s="75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1285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5">
        <v>45691.694965277777</v>
      </c>
      <c r="N367" s="75">
        <v>45712</v>
      </c>
      <c r="O367" s="75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5">
        <v>45691.694965277777</v>
      </c>
      <c r="N368" s="75">
        <v>45712</v>
      </c>
      <c r="O368" s="75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1285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5">
        <v>45691.694965277777</v>
      </c>
      <c r="N369" s="75">
        <v>45712</v>
      </c>
      <c r="O369" s="75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5">
        <v>45691.694965277777</v>
      </c>
      <c r="N370" s="75">
        <v>45712</v>
      </c>
      <c r="O370" s="75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5">
        <v>45691.694965277777</v>
      </c>
      <c r="N371" s="75">
        <v>45712</v>
      </c>
      <c r="O371" s="75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5">
        <v>45691.694965277777</v>
      </c>
      <c r="N372" s="75">
        <v>45712</v>
      </c>
      <c r="O372" s="75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5">
        <v>45691.694965277777</v>
      </c>
      <c r="N373" s="75">
        <v>45712</v>
      </c>
      <c r="O373" s="75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5">
        <v>45691.694965277777</v>
      </c>
      <c r="N374" s="75">
        <v>45712</v>
      </c>
      <c r="O374" s="75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5">
        <v>45691.694965277777</v>
      </c>
      <c r="N375" s="75">
        <v>45712</v>
      </c>
      <c r="O375" s="75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1819</v>
      </c>
      <c r="E376" t="s">
        <v>1285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5">
        <v>45691.694965277777</v>
      </c>
      <c r="N376" s="75">
        <v>45712</v>
      </c>
      <c r="O376" s="75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1285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5">
        <v>45691.694965277777</v>
      </c>
      <c r="N377" s="75">
        <v>45712</v>
      </c>
      <c r="O377" s="75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5">
        <v>45691.694965277777</v>
      </c>
      <c r="N378" s="75">
        <v>45712</v>
      </c>
      <c r="O378" s="75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5">
        <v>45691.694965277777</v>
      </c>
      <c r="N379" s="75">
        <v>45712</v>
      </c>
      <c r="O379" s="75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5">
        <v>45691.694965277777</v>
      </c>
      <c r="N380" s="75">
        <v>45712</v>
      </c>
      <c r="O380" s="75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1285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5">
        <v>45691.694965277777</v>
      </c>
      <c r="N381" s="75">
        <v>45712</v>
      </c>
      <c r="O381" s="75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1821</v>
      </c>
      <c r="B382" s="60" t="str">
        <f>IFERROR(VLOOKUP(Proc[[#This Row],[App]],Table2[],3,0),"open")</f>
        <v>ok</v>
      </c>
      <c r="C382" s="62" t="s">
        <v>369</v>
      </c>
      <c r="D382" t="s">
        <v>1820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5">
        <v>45691.550567129627</v>
      </c>
      <c r="N382" s="75">
        <v>45693</v>
      </c>
      <c r="O382" s="75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1844</v>
      </c>
      <c r="B383" s="60" t="str">
        <f>IFERROR(VLOOKUP(Proc[[#This Row],[App]],Table2[],3,0),"open")</f>
        <v>ok</v>
      </c>
      <c r="C383" t="s">
        <v>377</v>
      </c>
      <c r="D383" t="s">
        <v>1822</v>
      </c>
      <c r="E383" t="s">
        <v>658</v>
      </c>
      <c r="F383" s="60" t="s">
        <v>1845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75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42</v>
      </c>
      <c r="R383" s="69" t="s">
        <v>575</v>
      </c>
      <c r="S383" s="60"/>
    </row>
    <row r="384" spans="1:19" hidden="1">
      <c r="A384" s="62" t="s">
        <v>1844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75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42</v>
      </c>
      <c r="R384" s="69" t="s">
        <v>575</v>
      </c>
      <c r="S384" s="60"/>
    </row>
    <row r="385" spans="1:19" hidden="1">
      <c r="A385" s="62" t="s">
        <v>1844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75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42</v>
      </c>
      <c r="R385" s="69" t="s">
        <v>575</v>
      </c>
      <c r="S385" s="60"/>
    </row>
    <row r="386" spans="1:19" hidden="1">
      <c r="A386" s="62" t="s">
        <v>1844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75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42</v>
      </c>
      <c r="R386" s="69" t="s">
        <v>575</v>
      </c>
      <c r="S386" s="60"/>
    </row>
    <row r="387" spans="1:19" hidden="1">
      <c r="A387" s="62" t="s">
        <v>1844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75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42</v>
      </c>
      <c r="R387" s="69" t="s">
        <v>575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5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42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5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42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5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42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5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42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1823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5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42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1824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5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42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377</v>
      </c>
      <c r="D394" t="s">
        <v>1825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5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42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1826</v>
      </c>
      <c r="E395" t="s">
        <v>658</v>
      </c>
      <c r="F395" s="60" t="s">
        <v>1846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5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42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1827</v>
      </c>
      <c r="E396" t="s">
        <v>658</v>
      </c>
      <c r="F396" s="60" t="s">
        <v>1845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5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42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1828</v>
      </c>
      <c r="E397" t="s">
        <v>658</v>
      </c>
      <c r="F397" s="60" t="s">
        <v>1846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5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42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1829</v>
      </c>
      <c r="E398" t="s">
        <v>658</v>
      </c>
      <c r="F398" s="60" t="s">
        <v>1845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5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42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369</v>
      </c>
      <c r="D399" t="s">
        <v>1830</v>
      </c>
      <c r="E399" t="s">
        <v>658</v>
      </c>
      <c r="F399" s="60" t="s">
        <v>1846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5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42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5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42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5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42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1831</v>
      </c>
      <c r="E402" t="s">
        <v>658</v>
      </c>
      <c r="F402" s="60" t="s">
        <v>1131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5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42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1832</v>
      </c>
      <c r="E403" t="s">
        <v>658</v>
      </c>
      <c r="F403" s="60" t="s">
        <v>1130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5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42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5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42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369</v>
      </c>
      <c r="D405" t="s">
        <v>1833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5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42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1834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5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42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1835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5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42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377</v>
      </c>
      <c r="D408" t="s">
        <v>1836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5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42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5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42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1837</v>
      </c>
      <c r="E410" t="s">
        <v>658</v>
      </c>
      <c r="F410" s="60" t="s">
        <v>1847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5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42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1838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5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42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1839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5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42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5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42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1183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5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42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997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5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42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377</v>
      </c>
      <c r="D416" t="s">
        <v>1140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5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42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5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42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5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42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1840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5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42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1841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5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42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5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42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1842</v>
      </c>
      <c r="E422" t="s">
        <v>658</v>
      </c>
      <c r="F422" s="60" t="s">
        <v>1848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5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42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1843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5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42</v>
      </c>
      <c r="R423" s="69" t="s">
        <v>575</v>
      </c>
      <c r="S423" s="60"/>
    </row>
    <row r="424" spans="1:19" hidden="1">
      <c r="A424" t="s">
        <v>1849</v>
      </c>
      <c r="B424" s="60" t="str">
        <f>IFERROR(VLOOKUP(Proc[[#This Row],[App]],Table2[],3,0),"open")</f>
        <v>ok</v>
      </c>
      <c r="C424" s="62" t="s">
        <v>369</v>
      </c>
      <c r="D424" t="s">
        <v>1850</v>
      </c>
      <c r="E424" t="s">
        <v>513</v>
      </c>
      <c r="F424" s="60" t="s">
        <v>1851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75">
        <v>45692.351273148146</v>
      </c>
      <c r="N424" s="75">
        <v>45693</v>
      </c>
      <c r="O424" s="75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1852</v>
      </c>
      <c r="B425" s="60" t="str">
        <f>IFERROR(VLOOKUP(Proc[[#This Row],[App]],Table2[],3,0),"open")</f>
        <v>ok</v>
      </c>
      <c r="C425" t="s">
        <v>377</v>
      </c>
      <c r="D425" t="s">
        <v>1853</v>
      </c>
      <c r="E425" t="s">
        <v>517</v>
      </c>
      <c r="F425" s="60" t="s">
        <v>1755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75">
        <v>45692.314629629633</v>
      </c>
      <c r="O425" s="75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1003</v>
      </c>
      <c r="S425" s="60"/>
    </row>
    <row r="426" spans="1:19" hidden="1">
      <c r="A426" s="62" t="s">
        <v>1852</v>
      </c>
      <c r="B426" s="60" t="str">
        <f>IFERROR(VLOOKUP(Proc[[#This Row],[App]],Table2[],3,0),"open")</f>
        <v>ok</v>
      </c>
      <c r="C426" s="62" t="s">
        <v>369</v>
      </c>
      <c r="D426" t="s">
        <v>1854</v>
      </c>
      <c r="E426" t="s">
        <v>517</v>
      </c>
      <c r="F426" s="60" t="s">
        <v>1857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75">
        <v>45692.314629629633</v>
      </c>
      <c r="N426" s="75">
        <v>45693</v>
      </c>
      <c r="O426" s="75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1003</v>
      </c>
      <c r="S426" s="60"/>
    </row>
    <row r="427" spans="1:19" hidden="1">
      <c r="A427" s="62" t="s">
        <v>1852</v>
      </c>
      <c r="B427" s="60" t="str">
        <f>IFERROR(VLOOKUP(Proc[[#This Row],[App]],Table2[],3,0),"open")</f>
        <v>ok</v>
      </c>
      <c r="C427" s="62" t="s">
        <v>369</v>
      </c>
      <c r="D427" t="s">
        <v>1855</v>
      </c>
      <c r="E427" t="s">
        <v>450</v>
      </c>
      <c r="F427" s="60" t="s">
        <v>1755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75">
        <v>45692.314629629633</v>
      </c>
      <c r="N427" s="75">
        <v>45693</v>
      </c>
      <c r="O427" s="75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1003</v>
      </c>
      <c r="S427" s="60"/>
    </row>
    <row r="428" spans="1:19" hidden="1">
      <c r="A428" s="62" t="s">
        <v>1852</v>
      </c>
      <c r="B428" s="60" t="str">
        <f>IFERROR(VLOOKUP(Proc[[#This Row],[App]],Table2[],3,0),"open")</f>
        <v>ok</v>
      </c>
      <c r="C428" s="62" t="s">
        <v>369</v>
      </c>
      <c r="D428" t="s">
        <v>1856</v>
      </c>
      <c r="E428" t="s">
        <v>548</v>
      </c>
      <c r="F428" s="60" t="s">
        <v>1858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75">
        <v>45692.314629629633</v>
      </c>
      <c r="N428" s="75">
        <v>45693</v>
      </c>
      <c r="O428" s="75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1003</v>
      </c>
      <c r="S428" s="60"/>
    </row>
    <row r="429" spans="1:19" hidden="1">
      <c r="A429" t="s">
        <v>1859</v>
      </c>
      <c r="B429" s="60" t="str">
        <f>IFERROR(VLOOKUP(Proc[[#This Row],[App]],Table2[],3,0),"open")</f>
        <v>ok</v>
      </c>
      <c r="C429" s="62" t="s">
        <v>369</v>
      </c>
      <c r="D429" t="s">
        <v>1860</v>
      </c>
      <c r="E429" t="s">
        <v>1916</v>
      </c>
      <c r="F429" s="60" t="s">
        <v>1917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75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41</v>
      </c>
      <c r="R429" s="69" t="s">
        <v>858</v>
      </c>
      <c r="S429" s="60"/>
    </row>
    <row r="430" spans="1:19" hidden="1">
      <c r="A430" s="62" t="s">
        <v>1859</v>
      </c>
      <c r="B430" s="60" t="str">
        <f>IFERROR(VLOOKUP(Proc[[#This Row],[App]],Table2[],3,0),"open")</f>
        <v>ok</v>
      </c>
      <c r="C430" s="62" t="s">
        <v>369</v>
      </c>
      <c r="D430" t="s">
        <v>1861</v>
      </c>
      <c r="E430" t="s">
        <v>1916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75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41</v>
      </c>
      <c r="R430" s="69" t="s">
        <v>858</v>
      </c>
      <c r="S430" s="60"/>
    </row>
    <row r="431" spans="1:19" hidden="1">
      <c r="A431" s="62" t="s">
        <v>1859</v>
      </c>
      <c r="B431" s="60" t="str">
        <f>IFERROR(VLOOKUP(Proc[[#This Row],[App]],Table2[],3,0),"open")</f>
        <v>ok</v>
      </c>
      <c r="C431" s="62" t="s">
        <v>369</v>
      </c>
      <c r="D431" t="s">
        <v>1862</v>
      </c>
      <c r="E431" t="s">
        <v>1916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75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41</v>
      </c>
      <c r="R431" s="69" t="s">
        <v>858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1863</v>
      </c>
      <c r="E432" t="s">
        <v>1916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5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41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1864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5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41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1865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5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41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1866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5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41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1867</v>
      </c>
      <c r="E436" t="s">
        <v>1916</v>
      </c>
      <c r="F436" s="60" t="s">
        <v>1917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5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41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1868</v>
      </c>
      <c r="E437" t="s">
        <v>1916</v>
      </c>
      <c r="F437" s="60" t="s">
        <v>1918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5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41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1869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5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41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1870</v>
      </c>
      <c r="E439" t="s">
        <v>1916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5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41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1871</v>
      </c>
      <c r="E440" t="s">
        <v>1916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5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41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1872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5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41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1873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5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41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1874</v>
      </c>
      <c r="E443" t="s">
        <v>1916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5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41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1875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5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41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1876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5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41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1877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5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41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1878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5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41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1879</v>
      </c>
      <c r="E448" t="s">
        <v>1916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5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41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1880</v>
      </c>
      <c r="E449" t="s">
        <v>1916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5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41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1881</v>
      </c>
      <c r="E450" t="s">
        <v>1916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5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41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1882</v>
      </c>
      <c r="E451" t="s">
        <v>1916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5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41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1883</v>
      </c>
      <c r="E452" t="s">
        <v>1916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5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41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1884</v>
      </c>
      <c r="E453" t="s">
        <v>1916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5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41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1885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5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41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1886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5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41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1887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5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41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1888</v>
      </c>
      <c r="E457" t="s">
        <v>1916</v>
      </c>
      <c r="F457" s="60" t="s">
        <v>1918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5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41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1889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5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41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1890</v>
      </c>
      <c r="E459" t="s">
        <v>1916</v>
      </c>
      <c r="F459" s="60" t="s">
        <v>1918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5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41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1891</v>
      </c>
      <c r="E460" t="s">
        <v>1916</v>
      </c>
      <c r="F460" s="60" t="s">
        <v>1917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5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41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1892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5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41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1893</v>
      </c>
      <c r="E462" t="s">
        <v>1916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5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41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1894</v>
      </c>
      <c r="E463" t="s">
        <v>1916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5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41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1895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5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41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1896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5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41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1897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5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41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1898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5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41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1899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5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41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1900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5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41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1901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5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41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1902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5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41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1903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5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41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1904</v>
      </c>
      <c r="E473" t="s">
        <v>1916</v>
      </c>
      <c r="F473" s="60" t="s">
        <v>1917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5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41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1905</v>
      </c>
      <c r="E474" t="s">
        <v>1916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5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41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1906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5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41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1907</v>
      </c>
      <c r="E476" t="s">
        <v>1916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5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41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1908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5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41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1909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5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41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1910</v>
      </c>
      <c r="E479" t="s">
        <v>1916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5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41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1911</v>
      </c>
      <c r="E480" t="s">
        <v>1916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5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41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1912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5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41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1913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5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41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1914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5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41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1915</v>
      </c>
      <c r="E484" t="s">
        <v>1916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5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41</v>
      </c>
      <c r="R484" s="69" t="s">
        <v>858</v>
      </c>
      <c r="S484" s="60"/>
    </row>
    <row r="485" spans="1:19" hidden="1">
      <c r="A485" t="s">
        <v>1919</v>
      </c>
      <c r="B485" s="60" t="str">
        <f>IFERROR(VLOOKUP(Proc[[#This Row],[App]],Table2[],3,0),"open")</f>
        <v>ok</v>
      </c>
      <c r="C485" s="62" t="s">
        <v>369</v>
      </c>
      <c r="D485" t="s">
        <v>1920</v>
      </c>
      <c r="E485" t="s">
        <v>494</v>
      </c>
      <c r="F485" s="60" t="s">
        <v>1291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75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41</v>
      </c>
      <c r="R485" s="69" t="s">
        <v>538</v>
      </c>
      <c r="S485" s="60"/>
    </row>
    <row r="486" spans="1:19" hidden="1">
      <c r="A486" s="62" t="s">
        <v>1919</v>
      </c>
      <c r="B486" s="60" t="str">
        <f>IFERROR(VLOOKUP(Proc[[#This Row],[App]],Table2[],3,0),"open")</f>
        <v>ok</v>
      </c>
      <c r="C486" s="62" t="s">
        <v>369</v>
      </c>
      <c r="D486" t="s">
        <v>1921</v>
      </c>
      <c r="E486" t="s">
        <v>494</v>
      </c>
      <c r="F486" s="60" t="s">
        <v>1291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75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41</v>
      </c>
      <c r="R486" s="69" t="s">
        <v>538</v>
      </c>
      <c r="S486" s="60"/>
    </row>
    <row r="487" spans="1:19" hidden="1">
      <c r="A487" s="62" t="s">
        <v>1919</v>
      </c>
      <c r="B487" s="60" t="str">
        <f>IFERROR(VLOOKUP(Proc[[#This Row],[App]],Table2[],3,0),"open")</f>
        <v>ok</v>
      </c>
      <c r="C487" s="62" t="s">
        <v>369</v>
      </c>
      <c r="D487" t="s">
        <v>1922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75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41</v>
      </c>
      <c r="R487" s="69" t="s">
        <v>538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5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40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5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40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5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40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5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40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5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40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2224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5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39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2" t="s">
        <v>377</v>
      </c>
      <c r="D494" t="s">
        <v>1931</v>
      </c>
      <c r="E494" t="s">
        <v>2224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5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39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5">
        <v>45698.416030092594</v>
      </c>
      <c r="N495" s="75">
        <v>45701</v>
      </c>
      <c r="O495" s="75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5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37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5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37</v>
      </c>
      <c r="R497" s="69" t="s">
        <v>538</v>
      </c>
      <c r="S497" s="60"/>
    </row>
    <row r="498" spans="1:19" hidden="1">
      <c r="A498" t="s">
        <v>1951</v>
      </c>
      <c r="B498" s="60" t="str">
        <f>IFERROR(VLOOKUP(Proc[[#This Row],[App]],Table2[],3,0),"open")</f>
        <v>ok</v>
      </c>
      <c r="C498" s="72" t="s">
        <v>369</v>
      </c>
      <c r="D498" t="s">
        <v>1952</v>
      </c>
      <c r="E498" s="72" t="s">
        <v>1953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75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36</v>
      </c>
      <c r="R498" s="69" t="s">
        <v>1530</v>
      </c>
      <c r="S498" s="60"/>
    </row>
    <row r="499" spans="1:19" hidden="1">
      <c r="A499" t="s">
        <v>1957</v>
      </c>
      <c r="B499" s="73" t="str">
        <f>IFERROR(VLOOKUP(Proc[[#This Row],[App]],Table2[],3,0),"open")</f>
        <v>ok</v>
      </c>
      <c r="C499" s="72" t="s">
        <v>369</v>
      </c>
      <c r="D499" t="s">
        <v>1954</v>
      </c>
      <c r="E499" t="s">
        <v>1955</v>
      </c>
      <c r="F499" s="73" t="s">
        <v>1956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75">
        <v>45701.389467592591</v>
      </c>
      <c r="N499" s="75">
        <v>45712</v>
      </c>
      <c r="O499" s="75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1958</v>
      </c>
      <c r="B500" s="73" t="str">
        <f>IFERROR(VLOOKUP(Proc[[#This Row],[App]],Table2[],3,0),"open")</f>
        <v>ok</v>
      </c>
      <c r="C500" s="72" t="s">
        <v>369</v>
      </c>
      <c r="D500" t="s">
        <v>2143</v>
      </c>
      <c r="E500" t="s">
        <v>2152</v>
      </c>
      <c r="F500" s="73" t="s">
        <v>1959</v>
      </c>
      <c r="G500" t="s">
        <v>400</v>
      </c>
      <c r="H500" s="73" t="str">
        <f>IF(Proc[[#This Row],[type]]="LFF (MDG-F)",MID(Proc[[#This Row],[Obj]],13,10),"")</f>
        <v/>
      </c>
      <c r="I500" t="s">
        <v>1963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75">
        <v>45701.611967592595</v>
      </c>
      <c r="N500" s="75">
        <v>45706</v>
      </c>
      <c r="O500" s="75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1962</v>
      </c>
      <c r="S500" s="73"/>
    </row>
    <row r="501" spans="1:19" hidden="1">
      <c r="A501" s="72" t="s">
        <v>1958</v>
      </c>
      <c r="B501" s="73" t="str">
        <f>IFERROR(VLOOKUP(Proc[[#This Row],[App]],Table2[],3,0),"open")</f>
        <v>ok</v>
      </c>
      <c r="C501" s="72" t="s">
        <v>369</v>
      </c>
      <c r="D501" t="s">
        <v>2144</v>
      </c>
      <c r="E501" s="72" t="s">
        <v>2152</v>
      </c>
      <c r="F501" s="73" t="s">
        <v>1960</v>
      </c>
      <c r="G501" s="72" t="s">
        <v>400</v>
      </c>
      <c r="H501" s="73" t="str">
        <f>IF(Proc[[#This Row],[type]]="LFF (MDG-F)",MID(Proc[[#This Row],[Obj]],13,10),"")</f>
        <v/>
      </c>
      <c r="I501" s="72" t="s">
        <v>1963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75">
        <v>45701.611967592595</v>
      </c>
      <c r="N501" s="75">
        <v>45706</v>
      </c>
      <c r="O501" s="75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1962</v>
      </c>
      <c r="S501" s="73"/>
    </row>
    <row r="502" spans="1:19" hidden="1">
      <c r="A502" s="72" t="s">
        <v>1958</v>
      </c>
      <c r="B502" s="73" t="str">
        <f>IFERROR(VLOOKUP(Proc[[#This Row],[App]],Table2[],3,0),"open")</f>
        <v>ok</v>
      </c>
      <c r="C502" s="72" t="s">
        <v>369</v>
      </c>
      <c r="D502" t="s">
        <v>2145</v>
      </c>
      <c r="E502" s="72" t="s">
        <v>2152</v>
      </c>
      <c r="F502" s="73" t="s">
        <v>1961</v>
      </c>
      <c r="G502" s="72" t="s">
        <v>400</v>
      </c>
      <c r="H502" s="73" t="str">
        <f>IF(Proc[[#This Row],[type]]="LFF (MDG-F)",MID(Proc[[#This Row],[Obj]],13,10),"")</f>
        <v/>
      </c>
      <c r="I502" s="72" t="s">
        <v>1963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75">
        <v>45701.611967592595</v>
      </c>
      <c r="N502" s="75">
        <v>45706</v>
      </c>
      <c r="O502" s="75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1962</v>
      </c>
      <c r="S502" s="73"/>
    </row>
    <row r="503" spans="1:19" hidden="1">
      <c r="A503" s="72" t="s">
        <v>1958</v>
      </c>
      <c r="B503" s="73" t="str">
        <f>IFERROR(VLOOKUP(Proc[[#This Row],[App]],Table2[],3,0),"open")</f>
        <v>ok</v>
      </c>
      <c r="C503" s="72" t="s">
        <v>369</v>
      </c>
      <c r="D503" t="s">
        <v>2146</v>
      </c>
      <c r="E503" t="s">
        <v>2153</v>
      </c>
      <c r="F503" s="73" t="s">
        <v>1959</v>
      </c>
      <c r="G503" s="72" t="s">
        <v>400</v>
      </c>
      <c r="H503" s="73" t="str">
        <f>IF(Proc[[#This Row],[type]]="LFF (MDG-F)",MID(Proc[[#This Row],[Obj]],13,10),"")</f>
        <v/>
      </c>
      <c r="I503" s="72" t="s">
        <v>1963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75">
        <v>45701.611967592595</v>
      </c>
      <c r="N503" s="75">
        <v>45706</v>
      </c>
      <c r="O503" s="75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1962</v>
      </c>
      <c r="S503" s="73"/>
    </row>
    <row r="504" spans="1:19" hidden="1">
      <c r="A504" s="72" t="s">
        <v>1958</v>
      </c>
      <c r="B504" s="73" t="str">
        <f>IFERROR(VLOOKUP(Proc[[#This Row],[App]],Table2[],3,0),"open")</f>
        <v>ok</v>
      </c>
      <c r="C504" s="72" t="s">
        <v>369</v>
      </c>
      <c r="D504" t="s">
        <v>2148</v>
      </c>
      <c r="E504" s="72" t="s">
        <v>2153</v>
      </c>
      <c r="F504" s="73" t="s">
        <v>1959</v>
      </c>
      <c r="G504" s="72" t="s">
        <v>400</v>
      </c>
      <c r="H504" s="73" t="str">
        <f>IF(Proc[[#This Row],[type]]="LFF (MDG-F)",MID(Proc[[#This Row],[Obj]],13,10),"")</f>
        <v/>
      </c>
      <c r="I504" s="72" t="s">
        <v>1963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75">
        <v>45701.611967592595</v>
      </c>
      <c r="N504" s="75">
        <v>45706</v>
      </c>
      <c r="O504" s="75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1962</v>
      </c>
      <c r="S504" s="73"/>
    </row>
    <row r="505" spans="1:19" hidden="1">
      <c r="A505" s="72" t="s">
        <v>1958</v>
      </c>
      <c r="B505" s="73" t="str">
        <f>IFERROR(VLOOKUP(Proc[[#This Row],[App]],Table2[],3,0),"open")</f>
        <v>ok</v>
      </c>
      <c r="C505" s="72" t="s">
        <v>369</v>
      </c>
      <c r="D505" t="s">
        <v>2147</v>
      </c>
      <c r="E505" s="72" t="s">
        <v>2153</v>
      </c>
      <c r="F505" s="73" t="s">
        <v>1961</v>
      </c>
      <c r="G505" s="72" t="s">
        <v>400</v>
      </c>
      <c r="H505" s="73" t="str">
        <f>IF(Proc[[#This Row],[type]]="LFF (MDG-F)",MID(Proc[[#This Row],[Obj]],13,10),"")</f>
        <v/>
      </c>
      <c r="I505" s="72" t="s">
        <v>1963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75">
        <v>45701.611967592595</v>
      </c>
      <c r="N505" s="75">
        <v>45706</v>
      </c>
      <c r="O505" s="75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1962</v>
      </c>
      <c r="S505" s="73"/>
    </row>
    <row r="506" spans="1:19" hidden="1">
      <c r="A506" s="72" t="s">
        <v>1958</v>
      </c>
      <c r="B506" s="73" t="str">
        <f>IFERROR(VLOOKUP(Proc[[#This Row],[App]],Table2[],3,0),"open")</f>
        <v>ok</v>
      </c>
      <c r="C506" s="72" t="s">
        <v>369</v>
      </c>
      <c r="D506" t="s">
        <v>2149</v>
      </c>
      <c r="E506" s="72" t="s">
        <v>2153</v>
      </c>
      <c r="F506" s="73" t="s">
        <v>1961</v>
      </c>
      <c r="G506" s="72" t="s">
        <v>400</v>
      </c>
      <c r="H506" s="73" t="str">
        <f>IF(Proc[[#This Row],[type]]="LFF (MDG-F)",MID(Proc[[#This Row],[Obj]],13,10),"")</f>
        <v/>
      </c>
      <c r="I506" s="72" t="s">
        <v>1963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75">
        <v>45701.611967592595</v>
      </c>
      <c r="N506" s="75">
        <v>45706</v>
      </c>
      <c r="O506" s="75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1962</v>
      </c>
      <c r="S506" s="73"/>
    </row>
    <row r="507" spans="1:19" hidden="1">
      <c r="A507" s="72" t="s">
        <v>1958</v>
      </c>
      <c r="B507" s="73" t="str">
        <f>IFERROR(VLOOKUP(Proc[[#This Row],[App]],Table2[],3,0),"open")</f>
        <v>ok</v>
      </c>
      <c r="C507" s="72" t="s">
        <v>369</v>
      </c>
      <c r="D507" t="s">
        <v>2150</v>
      </c>
      <c r="E507" s="72" t="s">
        <v>2153</v>
      </c>
      <c r="F507" s="73" t="s">
        <v>1961</v>
      </c>
      <c r="G507" s="72" t="s">
        <v>400</v>
      </c>
      <c r="H507" s="73" t="str">
        <f>IF(Proc[[#This Row],[type]]="LFF (MDG-F)",MID(Proc[[#This Row],[Obj]],13,10),"")</f>
        <v/>
      </c>
      <c r="I507" s="72" t="s">
        <v>1963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75">
        <v>45701.611967592595</v>
      </c>
      <c r="N507" s="75">
        <v>45706</v>
      </c>
      <c r="O507" s="75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1962</v>
      </c>
      <c r="S507" s="73"/>
    </row>
    <row r="508" spans="1:19" hidden="1">
      <c r="A508" s="72" t="s">
        <v>1958</v>
      </c>
      <c r="B508" s="73" t="str">
        <f>IFERROR(VLOOKUP(Proc[[#This Row],[App]],Table2[],3,0),"open")</f>
        <v>ok</v>
      </c>
      <c r="C508" s="72" t="s">
        <v>369</v>
      </c>
      <c r="D508" t="s">
        <v>2151</v>
      </c>
      <c r="E508" s="72" t="s">
        <v>2153</v>
      </c>
      <c r="F508" s="73" t="s">
        <v>1961</v>
      </c>
      <c r="G508" s="72" t="s">
        <v>400</v>
      </c>
      <c r="H508" s="73" t="str">
        <f>IF(Proc[[#This Row],[type]]="LFF (MDG-F)",MID(Proc[[#This Row],[Obj]],13,10),"")</f>
        <v/>
      </c>
      <c r="I508" s="72" t="s">
        <v>1963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75">
        <v>45701.611967592595</v>
      </c>
      <c r="N508" s="75">
        <v>45706</v>
      </c>
      <c r="O508" s="75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1962</v>
      </c>
      <c r="S508" s="73"/>
    </row>
    <row r="509" spans="1:19" hidden="1">
      <c r="A509" t="s">
        <v>1972</v>
      </c>
      <c r="B509" s="73" t="str">
        <f>IFERROR(VLOOKUP(Proc[[#This Row],[App]],Table2[],3,0),"open")</f>
        <v>ok</v>
      </c>
      <c r="C509" s="72" t="s">
        <v>369</v>
      </c>
      <c r="D509" t="s">
        <v>1964</v>
      </c>
      <c r="E509" t="s">
        <v>431</v>
      </c>
      <c r="F509" s="73" t="s">
        <v>1968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75">
        <v>45702.505925925929</v>
      </c>
      <c r="N509" s="75">
        <v>45705</v>
      </c>
      <c r="O509" s="75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3"/>
    </row>
    <row r="510" spans="1:19" hidden="1">
      <c r="A510" s="72" t="s">
        <v>1972</v>
      </c>
      <c r="B510" s="73" t="str">
        <f>IFERROR(VLOOKUP(Proc[[#This Row],[App]],Table2[],3,0),"open")</f>
        <v>ok</v>
      </c>
      <c r="C510" s="72" t="s">
        <v>369</v>
      </c>
      <c r="D510" t="s">
        <v>1965</v>
      </c>
      <c r="E510" t="s">
        <v>1285</v>
      </c>
      <c r="F510" s="73" t="s">
        <v>1969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75">
        <v>45702.505925925929</v>
      </c>
      <c r="N510" s="75">
        <v>45705</v>
      </c>
      <c r="O510" s="75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3"/>
    </row>
    <row r="511" spans="1:19" hidden="1">
      <c r="A511" s="72" t="s">
        <v>1972</v>
      </c>
      <c r="B511" s="73" t="str">
        <f>IFERROR(VLOOKUP(Proc[[#This Row],[App]],Table2[],3,0),"open")</f>
        <v>ok</v>
      </c>
      <c r="C511" s="72" t="s">
        <v>369</v>
      </c>
      <c r="D511" t="s">
        <v>1966</v>
      </c>
      <c r="E511" t="s">
        <v>1285</v>
      </c>
      <c r="F511" s="73" t="s">
        <v>1970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75">
        <v>45702.505925925929</v>
      </c>
      <c r="N511" s="75">
        <v>45705</v>
      </c>
      <c r="O511" s="75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3"/>
    </row>
    <row r="512" spans="1:19" hidden="1">
      <c r="A512" s="72" t="s">
        <v>1972</v>
      </c>
      <c r="B512" s="73" t="str">
        <f>IFERROR(VLOOKUP(Proc[[#This Row],[App]],Table2[],3,0),"open")</f>
        <v>ok</v>
      </c>
      <c r="C512" s="72" t="s">
        <v>369</v>
      </c>
      <c r="D512" t="s">
        <v>1967</v>
      </c>
      <c r="E512" t="s">
        <v>1285</v>
      </c>
      <c r="F512" s="73" t="s">
        <v>1971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75">
        <v>45702.505925925929</v>
      </c>
      <c r="N512" s="75">
        <v>45705</v>
      </c>
      <c r="O512" s="75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3"/>
    </row>
    <row r="513" spans="1:19" hidden="1">
      <c r="A513" t="s">
        <v>1974</v>
      </c>
      <c r="B513" s="73" t="str">
        <f>IFERROR(VLOOKUP(Proc[[#This Row],[App]],Table2[],3,0),"open")</f>
        <v>ok</v>
      </c>
      <c r="C513" s="72" t="s">
        <v>369</v>
      </c>
      <c r="D513" t="s">
        <v>1973</v>
      </c>
      <c r="E513" t="s">
        <v>1975</v>
      </c>
      <c r="F513" s="73" t="s">
        <v>1976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75">
        <v>45702.571388888886</v>
      </c>
      <c r="N513" s="75">
        <v>45705</v>
      </c>
      <c r="O513" s="75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3"/>
    </row>
    <row r="514" spans="1:19" hidden="1">
      <c r="A514" t="s">
        <v>1977</v>
      </c>
      <c r="B514" s="73" t="str">
        <f>IFERROR(VLOOKUP(Proc[[#This Row],[App]],Table2[],3,0),"open")</f>
        <v>ok</v>
      </c>
      <c r="C514" t="s">
        <v>369</v>
      </c>
      <c r="D514" t="s">
        <v>1978</v>
      </c>
      <c r="E514" t="s">
        <v>2076</v>
      </c>
      <c r="F514" s="73" t="s">
        <v>2108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75">
        <v>45702.63349537037</v>
      </c>
      <c r="N514" s="75">
        <v>45712</v>
      </c>
      <c r="O514" s="75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1977</v>
      </c>
      <c r="B515" s="73" t="str">
        <f>IFERROR(VLOOKUP(Proc[[#This Row],[App]],Table2[],3,0),"open")</f>
        <v>ok</v>
      </c>
      <c r="C515" s="72" t="s">
        <v>369</v>
      </c>
      <c r="D515" t="s">
        <v>1979</v>
      </c>
      <c r="E515" t="s">
        <v>2077</v>
      </c>
      <c r="F515" s="73" t="s">
        <v>2109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75">
        <v>45702.63349537037</v>
      </c>
      <c r="N515" s="75">
        <v>45712</v>
      </c>
      <c r="O515" s="75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1977</v>
      </c>
      <c r="B516" s="73" t="str">
        <f>IFERROR(VLOOKUP(Proc[[#This Row],[App]],Table2[],3,0),"open")</f>
        <v>ok</v>
      </c>
      <c r="C516" s="72" t="s">
        <v>369</v>
      </c>
      <c r="D516" t="s">
        <v>1980</v>
      </c>
      <c r="E516" t="s">
        <v>2077</v>
      </c>
      <c r="F516" s="73" t="s">
        <v>2109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75">
        <v>45702.63349537037</v>
      </c>
      <c r="N516" s="75">
        <v>45712</v>
      </c>
      <c r="O516" s="75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1977</v>
      </c>
      <c r="B517" s="73" t="str">
        <f>IFERROR(VLOOKUP(Proc[[#This Row],[App]],Table2[],3,0),"open")</f>
        <v>ok</v>
      </c>
      <c r="C517" s="72" t="s">
        <v>369</v>
      </c>
      <c r="D517" t="s">
        <v>1981</v>
      </c>
      <c r="E517" t="s">
        <v>2078</v>
      </c>
      <c r="F517" s="73" t="s">
        <v>2110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75">
        <v>45702.63349537037</v>
      </c>
      <c r="N517" s="75">
        <v>45712</v>
      </c>
      <c r="O517" s="75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1977</v>
      </c>
      <c r="B518" s="73" t="str">
        <f>IFERROR(VLOOKUP(Proc[[#This Row],[App]],Table2[],3,0),"open")</f>
        <v>ok</v>
      </c>
      <c r="C518" s="72" t="s">
        <v>369</v>
      </c>
      <c r="D518" t="s">
        <v>1982</v>
      </c>
      <c r="E518" t="s">
        <v>2078</v>
      </c>
      <c r="F518" s="73" t="s">
        <v>2110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75">
        <v>45702.63349537037</v>
      </c>
      <c r="N518" s="75">
        <v>45712</v>
      </c>
      <c r="O518" s="75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1977</v>
      </c>
      <c r="B519" s="73" t="str">
        <f>IFERROR(VLOOKUP(Proc[[#This Row],[App]],Table2[],3,0),"open")</f>
        <v>ok</v>
      </c>
      <c r="C519" s="72" t="s">
        <v>369</v>
      </c>
      <c r="D519" t="s">
        <v>1983</v>
      </c>
      <c r="E519" t="s">
        <v>2079</v>
      </c>
      <c r="F519" s="73" t="s">
        <v>2111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75">
        <v>45702.63349537037</v>
      </c>
      <c r="N519" s="75">
        <v>45712</v>
      </c>
      <c r="O519" s="75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1977</v>
      </c>
      <c r="B520" s="73" t="str">
        <f>IFERROR(VLOOKUP(Proc[[#This Row],[App]],Table2[],3,0),"open")</f>
        <v>ok</v>
      </c>
      <c r="C520" s="72" t="s">
        <v>369</v>
      </c>
      <c r="D520" t="s">
        <v>1984</v>
      </c>
      <c r="E520" t="s">
        <v>2080</v>
      </c>
      <c r="F520" s="73" t="s">
        <v>2112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75">
        <v>45702.63349537037</v>
      </c>
      <c r="N520" s="75">
        <v>45712</v>
      </c>
      <c r="O520" s="75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1977</v>
      </c>
      <c r="B521" s="73" t="str">
        <f>IFERROR(VLOOKUP(Proc[[#This Row],[App]],Table2[],3,0),"open")</f>
        <v>ok</v>
      </c>
      <c r="C521" s="72" t="s">
        <v>369</v>
      </c>
      <c r="D521" t="s">
        <v>1985</v>
      </c>
      <c r="E521" t="s">
        <v>2080</v>
      </c>
      <c r="F521" s="73" t="s">
        <v>2112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75">
        <v>45702.63349537037</v>
      </c>
      <c r="N521" s="75">
        <v>45712</v>
      </c>
      <c r="O521" s="75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1977</v>
      </c>
      <c r="B522" s="73" t="str">
        <f>IFERROR(VLOOKUP(Proc[[#This Row],[App]],Table2[],3,0),"open")</f>
        <v>ok</v>
      </c>
      <c r="C522" s="72" t="s">
        <v>369</v>
      </c>
      <c r="D522" t="s">
        <v>1986</v>
      </c>
      <c r="E522" t="s">
        <v>2081</v>
      </c>
      <c r="F522" s="73" t="s">
        <v>2112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75">
        <v>45702.63349537037</v>
      </c>
      <c r="N522" s="75">
        <v>45712</v>
      </c>
      <c r="O522" s="75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1977</v>
      </c>
      <c r="B523" s="73" t="str">
        <f>IFERROR(VLOOKUP(Proc[[#This Row],[App]],Table2[],3,0),"open")</f>
        <v>ok</v>
      </c>
      <c r="C523" s="72" t="s">
        <v>369</v>
      </c>
      <c r="D523" t="s">
        <v>1987</v>
      </c>
      <c r="E523" t="s">
        <v>2080</v>
      </c>
      <c r="F523" s="73" t="s">
        <v>2112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75">
        <v>45702.63349537037</v>
      </c>
      <c r="N523" s="75">
        <v>45712</v>
      </c>
      <c r="O523" s="75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1977</v>
      </c>
      <c r="B524" s="73" t="str">
        <f>IFERROR(VLOOKUP(Proc[[#This Row],[App]],Table2[],3,0),"open")</f>
        <v>ok</v>
      </c>
      <c r="C524" s="72" t="s">
        <v>369</v>
      </c>
      <c r="D524" t="s">
        <v>1988</v>
      </c>
      <c r="E524" t="s">
        <v>2080</v>
      </c>
      <c r="F524" s="73" t="s">
        <v>2112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75">
        <v>45702.63349537037</v>
      </c>
      <c r="N524" s="75">
        <v>45712</v>
      </c>
      <c r="O524" s="75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1977</v>
      </c>
      <c r="B525" s="73" t="str">
        <f>IFERROR(VLOOKUP(Proc[[#This Row],[App]],Table2[],3,0),"open")</f>
        <v>ok</v>
      </c>
      <c r="C525" s="72" t="s">
        <v>369</v>
      </c>
      <c r="D525" t="s">
        <v>1989</v>
      </c>
      <c r="E525" t="s">
        <v>2080</v>
      </c>
      <c r="F525" s="73" t="s">
        <v>2112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75">
        <v>45702.63349537037</v>
      </c>
      <c r="N525" s="75">
        <v>45712</v>
      </c>
      <c r="O525" s="75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1977</v>
      </c>
      <c r="B526" s="73" t="str">
        <f>IFERROR(VLOOKUP(Proc[[#This Row],[App]],Table2[],3,0),"open")</f>
        <v>ok</v>
      </c>
      <c r="C526" s="72" t="s">
        <v>369</v>
      </c>
      <c r="D526" t="s">
        <v>1990</v>
      </c>
      <c r="E526" t="s">
        <v>2082</v>
      </c>
      <c r="F526" s="73" t="s">
        <v>2113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75">
        <v>45702.63349537037</v>
      </c>
      <c r="N526" s="75">
        <v>45712</v>
      </c>
      <c r="O526" s="75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1977</v>
      </c>
      <c r="B527" s="73" t="str">
        <f>IFERROR(VLOOKUP(Proc[[#This Row],[App]],Table2[],3,0),"open")</f>
        <v>ok</v>
      </c>
      <c r="C527" s="72" t="s">
        <v>369</v>
      </c>
      <c r="D527" t="s">
        <v>1991</v>
      </c>
      <c r="E527" t="s">
        <v>2082</v>
      </c>
      <c r="F527" s="73" t="s">
        <v>2113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75">
        <v>45702.63349537037</v>
      </c>
      <c r="N527" s="75">
        <v>45712</v>
      </c>
      <c r="O527" s="75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1977</v>
      </c>
      <c r="B528" s="73" t="str">
        <f>IFERROR(VLOOKUP(Proc[[#This Row],[App]],Table2[],3,0),"open")</f>
        <v>ok</v>
      </c>
      <c r="C528" s="72" t="s">
        <v>369</v>
      </c>
      <c r="D528" t="s">
        <v>1992</v>
      </c>
      <c r="E528" t="s">
        <v>2083</v>
      </c>
      <c r="F528" s="73" t="s">
        <v>2113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75">
        <v>45702.63349537037</v>
      </c>
      <c r="N528" s="75">
        <v>45712</v>
      </c>
      <c r="O528" s="75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1977</v>
      </c>
      <c r="B529" s="73" t="str">
        <f>IFERROR(VLOOKUP(Proc[[#This Row],[App]],Table2[],3,0),"open")</f>
        <v>ok</v>
      </c>
      <c r="C529" s="72" t="s">
        <v>369</v>
      </c>
      <c r="D529" t="s">
        <v>1993</v>
      </c>
      <c r="E529" t="s">
        <v>2082</v>
      </c>
      <c r="F529" s="73" t="s">
        <v>2113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75">
        <v>45702.63349537037</v>
      </c>
      <c r="N529" s="75">
        <v>45712</v>
      </c>
      <c r="O529" s="75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1977</v>
      </c>
      <c r="B530" s="73" t="str">
        <f>IFERROR(VLOOKUP(Proc[[#This Row],[App]],Table2[],3,0),"open")</f>
        <v>ok</v>
      </c>
      <c r="C530" s="72" t="s">
        <v>369</v>
      </c>
      <c r="D530" t="s">
        <v>1994</v>
      </c>
      <c r="E530" t="s">
        <v>2084</v>
      </c>
      <c r="F530" s="73" t="s">
        <v>2114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75">
        <v>45702.63349537037</v>
      </c>
      <c r="N530" s="75">
        <v>45712</v>
      </c>
      <c r="O530" s="75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1977</v>
      </c>
      <c r="B531" s="73" t="str">
        <f>IFERROR(VLOOKUP(Proc[[#This Row],[App]],Table2[],3,0),"open")</f>
        <v>ok</v>
      </c>
      <c r="C531" s="72" t="s">
        <v>369</v>
      </c>
      <c r="D531" t="s">
        <v>1995</v>
      </c>
      <c r="E531" t="s">
        <v>2085</v>
      </c>
      <c r="F531" s="73" t="s">
        <v>2115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75">
        <v>45702.63349537037</v>
      </c>
      <c r="N531" s="75">
        <v>45712</v>
      </c>
      <c r="O531" s="75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1977</v>
      </c>
      <c r="B532" s="73" t="str">
        <f>IFERROR(VLOOKUP(Proc[[#This Row],[App]],Table2[],3,0),"open")</f>
        <v>ok</v>
      </c>
      <c r="C532" s="72" t="s">
        <v>369</v>
      </c>
      <c r="D532" t="s">
        <v>1996</v>
      </c>
      <c r="E532" t="s">
        <v>2085</v>
      </c>
      <c r="F532" s="73" t="s">
        <v>2115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75">
        <v>45702.63349537037</v>
      </c>
      <c r="N532" s="75">
        <v>45712</v>
      </c>
      <c r="O532" s="75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1977</v>
      </c>
      <c r="B533" s="73" t="str">
        <f>IFERROR(VLOOKUP(Proc[[#This Row],[App]],Table2[],3,0),"open")</f>
        <v>ok</v>
      </c>
      <c r="C533" s="72" t="s">
        <v>369</v>
      </c>
      <c r="D533" t="s">
        <v>1997</v>
      </c>
      <c r="E533" t="s">
        <v>2085</v>
      </c>
      <c r="F533" s="73" t="s">
        <v>2115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75">
        <v>45702.63349537037</v>
      </c>
      <c r="N533" s="75">
        <v>45712</v>
      </c>
      <c r="O533" s="75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1977</v>
      </c>
      <c r="B534" s="73" t="str">
        <f>IFERROR(VLOOKUP(Proc[[#This Row],[App]],Table2[],3,0),"open")</f>
        <v>ok</v>
      </c>
      <c r="C534" s="72" t="s">
        <v>369</v>
      </c>
      <c r="D534" t="s">
        <v>1998</v>
      </c>
      <c r="E534" t="s">
        <v>2085</v>
      </c>
      <c r="F534" s="73" t="s">
        <v>2115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75">
        <v>45702.63349537037</v>
      </c>
      <c r="N534" s="75">
        <v>45712</v>
      </c>
      <c r="O534" s="75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1977</v>
      </c>
      <c r="B535" s="73" t="str">
        <f>IFERROR(VLOOKUP(Proc[[#This Row],[App]],Table2[],3,0),"open")</f>
        <v>ok</v>
      </c>
      <c r="C535" s="72" t="s">
        <v>369</v>
      </c>
      <c r="D535" t="s">
        <v>1999</v>
      </c>
      <c r="E535" t="s">
        <v>2085</v>
      </c>
      <c r="F535" s="73" t="s">
        <v>2115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75">
        <v>45702.63349537037</v>
      </c>
      <c r="N535" s="75">
        <v>45712</v>
      </c>
      <c r="O535" s="75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1977</v>
      </c>
      <c r="B536" s="73" t="str">
        <f>IFERROR(VLOOKUP(Proc[[#This Row],[App]],Table2[],3,0),"open")</f>
        <v>ok</v>
      </c>
      <c r="C536" s="72" t="s">
        <v>369</v>
      </c>
      <c r="D536" t="s">
        <v>2000</v>
      </c>
      <c r="E536" t="s">
        <v>2086</v>
      </c>
      <c r="F536" s="73" t="s">
        <v>2116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75">
        <v>45702.63349537037</v>
      </c>
      <c r="N536" s="75">
        <v>45712</v>
      </c>
      <c r="O536" s="75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1977</v>
      </c>
      <c r="B537" s="73" t="str">
        <f>IFERROR(VLOOKUP(Proc[[#This Row],[App]],Table2[],3,0),"open")</f>
        <v>ok</v>
      </c>
      <c r="C537" s="72" t="s">
        <v>369</v>
      </c>
      <c r="D537" t="s">
        <v>2001</v>
      </c>
      <c r="E537" t="s">
        <v>2086</v>
      </c>
      <c r="F537" s="73" t="s">
        <v>2116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75">
        <v>45702.63349537037</v>
      </c>
      <c r="N537" s="75">
        <v>45712</v>
      </c>
      <c r="O537" s="75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1977</v>
      </c>
      <c r="B538" s="73" t="str">
        <f>IFERROR(VLOOKUP(Proc[[#This Row],[App]],Table2[],3,0),"open")</f>
        <v>ok</v>
      </c>
      <c r="C538" s="72" t="s">
        <v>369</v>
      </c>
      <c r="D538" t="s">
        <v>2002</v>
      </c>
      <c r="E538" t="s">
        <v>2086</v>
      </c>
      <c r="F538" s="73" t="s">
        <v>2116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75">
        <v>45702.63349537037</v>
      </c>
      <c r="N538" s="75">
        <v>45712</v>
      </c>
      <c r="O538" s="75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1977</v>
      </c>
      <c r="B539" s="73" t="str">
        <f>IFERROR(VLOOKUP(Proc[[#This Row],[App]],Table2[],3,0),"open")</f>
        <v>ok</v>
      </c>
      <c r="C539" s="72" t="s">
        <v>369</v>
      </c>
      <c r="D539" t="s">
        <v>2003</v>
      </c>
      <c r="E539" t="s">
        <v>2086</v>
      </c>
      <c r="F539" s="73" t="s">
        <v>2116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75">
        <v>45702.63349537037</v>
      </c>
      <c r="N539" s="75">
        <v>45712</v>
      </c>
      <c r="O539" s="75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1977</v>
      </c>
      <c r="B540" s="73" t="str">
        <f>IFERROR(VLOOKUP(Proc[[#This Row],[App]],Table2[],3,0),"open")</f>
        <v>ok</v>
      </c>
      <c r="C540" s="72" t="s">
        <v>377</v>
      </c>
      <c r="D540" t="s">
        <v>2004</v>
      </c>
      <c r="E540" t="s">
        <v>2086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2142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75">
        <v>45702.63349537037</v>
      </c>
      <c r="N540" s="75">
        <v>45712</v>
      </c>
      <c r="O540" s="75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1977</v>
      </c>
      <c r="B541" s="73" t="str">
        <f>IFERROR(VLOOKUP(Proc[[#This Row],[App]],Table2[],3,0),"open")</f>
        <v>ok</v>
      </c>
      <c r="C541" s="72" t="s">
        <v>369</v>
      </c>
      <c r="D541" t="s">
        <v>2005</v>
      </c>
      <c r="E541" t="s">
        <v>2086</v>
      </c>
      <c r="F541" s="73" t="s">
        <v>2116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75">
        <v>45702.63349537037</v>
      </c>
      <c r="N541" s="75">
        <v>45712</v>
      </c>
      <c r="O541" s="75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1977</v>
      </c>
      <c r="B542" s="73" t="str">
        <f>IFERROR(VLOOKUP(Proc[[#This Row],[App]],Table2[],3,0),"open")</f>
        <v>ok</v>
      </c>
      <c r="C542" s="72" t="s">
        <v>369</v>
      </c>
      <c r="D542" t="s">
        <v>2006</v>
      </c>
      <c r="E542" t="s">
        <v>2087</v>
      </c>
      <c r="F542" s="73" t="s">
        <v>2117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75">
        <v>45702.63349537037</v>
      </c>
      <c r="N542" s="75">
        <v>45712</v>
      </c>
      <c r="O542" s="75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1977</v>
      </c>
      <c r="B543" s="73" t="str">
        <f>IFERROR(VLOOKUP(Proc[[#This Row],[App]],Table2[],3,0),"open")</f>
        <v>ok</v>
      </c>
      <c r="C543" s="72" t="s">
        <v>369</v>
      </c>
      <c r="D543" t="s">
        <v>2007</v>
      </c>
      <c r="E543" t="s">
        <v>2087</v>
      </c>
      <c r="F543" s="73" t="s">
        <v>2117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75">
        <v>45702.63349537037</v>
      </c>
      <c r="N543" s="75">
        <v>45712</v>
      </c>
      <c r="O543" s="75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1977</v>
      </c>
      <c r="B544" s="73" t="str">
        <f>IFERROR(VLOOKUP(Proc[[#This Row],[App]],Table2[],3,0),"open")</f>
        <v>ok</v>
      </c>
      <c r="C544" s="72" t="s">
        <v>369</v>
      </c>
      <c r="D544" t="s">
        <v>2008</v>
      </c>
      <c r="E544" t="s">
        <v>2087</v>
      </c>
      <c r="F544" s="73" t="s">
        <v>2117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75">
        <v>45702.63349537037</v>
      </c>
      <c r="N544" s="75">
        <v>45712</v>
      </c>
      <c r="O544" s="75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1977</v>
      </c>
      <c r="B545" s="73" t="str">
        <f>IFERROR(VLOOKUP(Proc[[#This Row],[App]],Table2[],3,0),"open")</f>
        <v>ok</v>
      </c>
      <c r="C545" s="72" t="s">
        <v>369</v>
      </c>
      <c r="D545" t="s">
        <v>2009</v>
      </c>
      <c r="E545" t="s">
        <v>2087</v>
      </c>
      <c r="F545" s="73" t="s">
        <v>2117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75">
        <v>45702.63349537037</v>
      </c>
      <c r="N545" s="75">
        <v>45712</v>
      </c>
      <c r="O545" s="75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1977</v>
      </c>
      <c r="B546" s="73" t="str">
        <f>IFERROR(VLOOKUP(Proc[[#This Row],[App]],Table2[],3,0),"open")</f>
        <v>ok</v>
      </c>
      <c r="C546" s="72" t="s">
        <v>369</v>
      </c>
      <c r="D546" t="s">
        <v>2010</v>
      </c>
      <c r="E546" t="s">
        <v>2087</v>
      </c>
      <c r="F546" s="73" t="s">
        <v>2117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75">
        <v>45702.63349537037</v>
      </c>
      <c r="N546" s="75">
        <v>45712</v>
      </c>
      <c r="O546" s="75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1977</v>
      </c>
      <c r="B547" s="73" t="str">
        <f>IFERROR(VLOOKUP(Proc[[#This Row],[App]],Table2[],3,0),"open")</f>
        <v>ok</v>
      </c>
      <c r="C547" s="72" t="s">
        <v>369</v>
      </c>
      <c r="D547" t="s">
        <v>2011</v>
      </c>
      <c r="E547" t="s">
        <v>2087</v>
      </c>
      <c r="F547" s="73" t="s">
        <v>2117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75">
        <v>45702.63349537037</v>
      </c>
      <c r="N547" s="75">
        <v>45712</v>
      </c>
      <c r="O547" s="75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1977</v>
      </c>
      <c r="B548" s="73" t="str">
        <f>IFERROR(VLOOKUP(Proc[[#This Row],[App]],Table2[],3,0),"open")</f>
        <v>ok</v>
      </c>
      <c r="C548" s="72" t="s">
        <v>369</v>
      </c>
      <c r="D548" t="s">
        <v>2012</v>
      </c>
      <c r="E548" t="s">
        <v>2087</v>
      </c>
      <c r="F548" s="73" t="s">
        <v>2117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75">
        <v>45702.63349537037</v>
      </c>
      <c r="N548" s="75">
        <v>45712</v>
      </c>
      <c r="O548" s="75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1977</v>
      </c>
      <c r="B549" s="73" t="str">
        <f>IFERROR(VLOOKUP(Proc[[#This Row],[App]],Table2[],3,0),"open")</f>
        <v>ok</v>
      </c>
      <c r="C549" s="72" t="s">
        <v>369</v>
      </c>
      <c r="D549" t="s">
        <v>2013</v>
      </c>
      <c r="E549" t="s">
        <v>2088</v>
      </c>
      <c r="F549" s="73" t="s">
        <v>2118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75">
        <v>45702.63349537037</v>
      </c>
      <c r="N549" s="75">
        <v>45712</v>
      </c>
      <c r="O549" s="75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1977</v>
      </c>
      <c r="B550" s="73" t="str">
        <f>IFERROR(VLOOKUP(Proc[[#This Row],[App]],Table2[],3,0),"open")</f>
        <v>ok</v>
      </c>
      <c r="C550" s="72" t="s">
        <v>369</v>
      </c>
      <c r="D550" t="s">
        <v>2014</v>
      </c>
      <c r="E550" t="s">
        <v>2088</v>
      </c>
      <c r="F550" s="73" t="s">
        <v>2118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75">
        <v>45702.63349537037</v>
      </c>
      <c r="N550" s="75">
        <v>45712</v>
      </c>
      <c r="O550" s="75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1977</v>
      </c>
      <c r="B551" s="73" t="str">
        <f>IFERROR(VLOOKUP(Proc[[#This Row],[App]],Table2[],3,0),"open")</f>
        <v>ok</v>
      </c>
      <c r="C551" s="72" t="s">
        <v>369</v>
      </c>
      <c r="D551" t="s">
        <v>2015</v>
      </c>
      <c r="E551" t="s">
        <v>2088</v>
      </c>
      <c r="F551" s="73" t="s">
        <v>2118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75">
        <v>45702.63349537037</v>
      </c>
      <c r="N551" s="75">
        <v>45712</v>
      </c>
      <c r="O551" s="75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1977</v>
      </c>
      <c r="B552" s="73" t="str">
        <f>IFERROR(VLOOKUP(Proc[[#This Row],[App]],Table2[],3,0),"open")</f>
        <v>ok</v>
      </c>
      <c r="C552" s="72" t="s">
        <v>369</v>
      </c>
      <c r="D552" t="s">
        <v>2016</v>
      </c>
      <c r="E552" t="s">
        <v>2088</v>
      </c>
      <c r="F552" s="73" t="s">
        <v>2118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75">
        <v>45702.63349537037</v>
      </c>
      <c r="N552" s="75">
        <v>45712</v>
      </c>
      <c r="O552" s="75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1977</v>
      </c>
      <c r="B553" s="73" t="str">
        <f>IFERROR(VLOOKUP(Proc[[#This Row],[App]],Table2[],3,0),"open")</f>
        <v>ok</v>
      </c>
      <c r="C553" s="72" t="s">
        <v>369</v>
      </c>
      <c r="D553" t="s">
        <v>2017</v>
      </c>
      <c r="E553" t="s">
        <v>2088</v>
      </c>
      <c r="F553" s="73" t="s">
        <v>2118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75">
        <v>45702.63349537037</v>
      </c>
      <c r="N553" s="75">
        <v>45712</v>
      </c>
      <c r="O553" s="75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1977</v>
      </c>
      <c r="B554" s="73" t="str">
        <f>IFERROR(VLOOKUP(Proc[[#This Row],[App]],Table2[],3,0),"open")</f>
        <v>ok</v>
      </c>
      <c r="C554" s="72" t="s">
        <v>369</v>
      </c>
      <c r="D554" t="s">
        <v>2018</v>
      </c>
      <c r="E554" t="s">
        <v>2088</v>
      </c>
      <c r="F554" s="73" t="s">
        <v>2118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75">
        <v>45702.63349537037</v>
      </c>
      <c r="N554" s="75">
        <v>45712</v>
      </c>
      <c r="O554" s="75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1977</v>
      </c>
      <c r="B555" s="73" t="str">
        <f>IFERROR(VLOOKUP(Proc[[#This Row],[App]],Table2[],3,0),"open")</f>
        <v>ok</v>
      </c>
      <c r="C555" s="72" t="s">
        <v>369</v>
      </c>
      <c r="D555" t="s">
        <v>2019</v>
      </c>
      <c r="E555" t="s">
        <v>2088</v>
      </c>
      <c r="F555" s="73" t="s">
        <v>2118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75">
        <v>45702.63349537037</v>
      </c>
      <c r="N555" s="75">
        <v>45712</v>
      </c>
      <c r="O555" s="75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1977</v>
      </c>
      <c r="B556" s="73" t="str">
        <f>IFERROR(VLOOKUP(Proc[[#This Row],[App]],Table2[],3,0),"open")</f>
        <v>ok</v>
      </c>
      <c r="C556" s="72" t="s">
        <v>369</v>
      </c>
      <c r="D556" t="s">
        <v>2020</v>
      </c>
      <c r="E556" t="s">
        <v>2088</v>
      </c>
      <c r="F556" s="73" t="s">
        <v>2118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75">
        <v>45702.63349537037</v>
      </c>
      <c r="N556" s="75">
        <v>45712</v>
      </c>
      <c r="O556" s="75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1977</v>
      </c>
      <c r="B557" s="73" t="str">
        <f>IFERROR(VLOOKUP(Proc[[#This Row],[App]],Table2[],3,0),"open")</f>
        <v>ok</v>
      </c>
      <c r="C557" s="72" t="s">
        <v>369</v>
      </c>
      <c r="D557" t="s">
        <v>2021</v>
      </c>
      <c r="E557" t="s">
        <v>2088</v>
      </c>
      <c r="F557" s="73" t="s">
        <v>2118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75">
        <v>45702.63349537037</v>
      </c>
      <c r="N557" s="75">
        <v>45712</v>
      </c>
      <c r="O557" s="75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1977</v>
      </c>
      <c r="B558" s="73" t="str">
        <f>IFERROR(VLOOKUP(Proc[[#This Row],[App]],Table2[],3,0),"open")</f>
        <v>ok</v>
      </c>
      <c r="C558" s="72" t="s">
        <v>369</v>
      </c>
      <c r="D558" t="s">
        <v>2022</v>
      </c>
      <c r="E558" t="s">
        <v>2088</v>
      </c>
      <c r="F558" s="73" t="s">
        <v>2118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75">
        <v>45702.63349537037</v>
      </c>
      <c r="N558" s="75">
        <v>45712</v>
      </c>
      <c r="O558" s="75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1977</v>
      </c>
      <c r="B559" s="73" t="str">
        <f>IFERROR(VLOOKUP(Proc[[#This Row],[App]],Table2[],3,0),"open")</f>
        <v>ok</v>
      </c>
      <c r="C559" s="72" t="s">
        <v>369</v>
      </c>
      <c r="D559" t="s">
        <v>2023</v>
      </c>
      <c r="E559" t="s">
        <v>2088</v>
      </c>
      <c r="F559" s="73" t="s">
        <v>2118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75">
        <v>45702.63349537037</v>
      </c>
      <c r="N559" s="75">
        <v>45712</v>
      </c>
      <c r="O559" s="75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1977</v>
      </c>
      <c r="B560" s="73" t="str">
        <f>IFERROR(VLOOKUP(Proc[[#This Row],[App]],Table2[],3,0),"open")</f>
        <v>ok</v>
      </c>
      <c r="C560" s="72" t="s">
        <v>369</v>
      </c>
      <c r="D560" t="s">
        <v>2024</v>
      </c>
      <c r="E560" t="s">
        <v>2089</v>
      </c>
      <c r="F560" s="73" t="s">
        <v>2119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75">
        <v>45702.63349537037</v>
      </c>
      <c r="N560" s="75">
        <v>45712</v>
      </c>
      <c r="O560" s="75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1977</v>
      </c>
      <c r="B561" s="73" t="str">
        <f>IFERROR(VLOOKUP(Proc[[#This Row],[App]],Table2[],3,0),"open")</f>
        <v>ok</v>
      </c>
      <c r="C561" s="72" t="s">
        <v>369</v>
      </c>
      <c r="D561" t="s">
        <v>2025</v>
      </c>
      <c r="E561" t="s">
        <v>2089</v>
      </c>
      <c r="F561" s="73" t="s">
        <v>2119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75">
        <v>45702.63349537037</v>
      </c>
      <c r="N561" s="75">
        <v>45712</v>
      </c>
      <c r="O561" s="75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1977</v>
      </c>
      <c r="B562" s="73" t="str">
        <f>IFERROR(VLOOKUP(Proc[[#This Row],[App]],Table2[],3,0),"open")</f>
        <v>ok</v>
      </c>
      <c r="C562" s="72" t="s">
        <v>369</v>
      </c>
      <c r="D562" t="s">
        <v>2026</v>
      </c>
      <c r="E562" t="s">
        <v>2089</v>
      </c>
      <c r="F562" s="73" t="s">
        <v>2119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75">
        <v>45702.63349537037</v>
      </c>
      <c r="N562" s="75">
        <v>45712</v>
      </c>
      <c r="O562" s="75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1977</v>
      </c>
      <c r="B563" s="73" t="str">
        <f>IFERROR(VLOOKUP(Proc[[#This Row],[App]],Table2[],3,0),"open")</f>
        <v>ok</v>
      </c>
      <c r="C563" s="72" t="s">
        <v>369</v>
      </c>
      <c r="D563" t="s">
        <v>2027</v>
      </c>
      <c r="E563" t="s">
        <v>2089</v>
      </c>
      <c r="F563" s="73" t="s">
        <v>2119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75">
        <v>45702.63349537037</v>
      </c>
      <c r="N563" s="75">
        <v>45712</v>
      </c>
      <c r="O563" s="75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1977</v>
      </c>
      <c r="B564" s="73" t="str">
        <f>IFERROR(VLOOKUP(Proc[[#This Row],[App]],Table2[],3,0),"open")</f>
        <v>ok</v>
      </c>
      <c r="C564" s="72" t="s">
        <v>369</v>
      </c>
      <c r="D564" t="s">
        <v>2028</v>
      </c>
      <c r="E564" t="s">
        <v>2089</v>
      </c>
      <c r="F564" s="73" t="s">
        <v>2119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75">
        <v>45702.63349537037</v>
      </c>
      <c r="N564" s="75">
        <v>45712</v>
      </c>
      <c r="O564" s="75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1977</v>
      </c>
      <c r="B565" s="73" t="str">
        <f>IFERROR(VLOOKUP(Proc[[#This Row],[App]],Table2[],3,0),"open")</f>
        <v>ok</v>
      </c>
      <c r="C565" s="72" t="s">
        <v>369</v>
      </c>
      <c r="D565" t="s">
        <v>2029</v>
      </c>
      <c r="E565" t="s">
        <v>2090</v>
      </c>
      <c r="F565" s="73" t="s">
        <v>2120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75">
        <v>45702.63349537037</v>
      </c>
      <c r="N565" s="75">
        <v>45712</v>
      </c>
      <c r="O565" s="75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1977</v>
      </c>
      <c r="B566" s="73" t="str">
        <f>IFERROR(VLOOKUP(Proc[[#This Row],[App]],Table2[],3,0),"open")</f>
        <v>ok</v>
      </c>
      <c r="C566" s="72" t="s">
        <v>369</v>
      </c>
      <c r="D566" t="s">
        <v>2030</v>
      </c>
      <c r="E566" t="s">
        <v>2090</v>
      </c>
      <c r="F566" s="73" t="s">
        <v>2120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75">
        <v>45702.63349537037</v>
      </c>
      <c r="N566" s="75">
        <v>45712</v>
      </c>
      <c r="O566" s="75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1977</v>
      </c>
      <c r="B567" s="73" t="str">
        <f>IFERROR(VLOOKUP(Proc[[#This Row],[App]],Table2[],3,0),"open")</f>
        <v>ok</v>
      </c>
      <c r="C567" s="72" t="s">
        <v>369</v>
      </c>
      <c r="D567" t="s">
        <v>2031</v>
      </c>
      <c r="E567" t="s">
        <v>2090</v>
      </c>
      <c r="F567" s="73" t="s">
        <v>2120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75">
        <v>45702.63349537037</v>
      </c>
      <c r="N567" s="75">
        <v>45712</v>
      </c>
      <c r="O567" s="75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1977</v>
      </c>
      <c r="B568" s="73" t="str">
        <f>IFERROR(VLOOKUP(Proc[[#This Row],[App]],Table2[],3,0),"open")</f>
        <v>ok</v>
      </c>
      <c r="C568" s="72" t="s">
        <v>369</v>
      </c>
      <c r="D568" t="s">
        <v>2032</v>
      </c>
      <c r="E568" t="s">
        <v>2090</v>
      </c>
      <c r="F568" s="73" t="s">
        <v>2120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75">
        <v>45702.63349537037</v>
      </c>
      <c r="N568" s="75">
        <v>45712</v>
      </c>
      <c r="O568" s="75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1977</v>
      </c>
      <c r="B569" s="73" t="str">
        <f>IFERROR(VLOOKUP(Proc[[#This Row],[App]],Table2[],3,0),"open")</f>
        <v>ok</v>
      </c>
      <c r="C569" s="72" t="s">
        <v>369</v>
      </c>
      <c r="D569" t="s">
        <v>2033</v>
      </c>
      <c r="E569" t="s">
        <v>2090</v>
      </c>
      <c r="F569" s="73" t="s">
        <v>2120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75">
        <v>45702.63349537037</v>
      </c>
      <c r="N569" s="75">
        <v>45712</v>
      </c>
      <c r="O569" s="75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1977</v>
      </c>
      <c r="B570" s="73" t="str">
        <f>IFERROR(VLOOKUP(Proc[[#This Row],[App]],Table2[],3,0),"open")</f>
        <v>ok</v>
      </c>
      <c r="C570" s="72" t="s">
        <v>369</v>
      </c>
      <c r="D570" t="s">
        <v>2034</v>
      </c>
      <c r="E570" t="s">
        <v>2090</v>
      </c>
      <c r="F570" s="73" t="s">
        <v>2120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75">
        <v>45702.63349537037</v>
      </c>
      <c r="N570" s="75">
        <v>45712</v>
      </c>
      <c r="O570" s="75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1977</v>
      </c>
      <c r="B571" s="73" t="str">
        <f>IFERROR(VLOOKUP(Proc[[#This Row],[App]],Table2[],3,0),"open")</f>
        <v>ok</v>
      </c>
      <c r="C571" s="72" t="s">
        <v>369</v>
      </c>
      <c r="D571" t="s">
        <v>2035</v>
      </c>
      <c r="E571" t="s">
        <v>2090</v>
      </c>
      <c r="F571" s="73" t="s">
        <v>2120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75">
        <v>45702.63349537037</v>
      </c>
      <c r="N571" s="75">
        <v>45712</v>
      </c>
      <c r="O571" s="75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1977</v>
      </c>
      <c r="B572" s="73" t="str">
        <f>IFERROR(VLOOKUP(Proc[[#This Row],[App]],Table2[],3,0),"open")</f>
        <v>ok</v>
      </c>
      <c r="C572" s="72" t="s">
        <v>369</v>
      </c>
      <c r="D572" t="s">
        <v>2036</v>
      </c>
      <c r="E572" t="s">
        <v>2090</v>
      </c>
      <c r="F572" s="73" t="s">
        <v>2120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75">
        <v>45702.63349537037</v>
      </c>
      <c r="N572" s="75">
        <v>45712</v>
      </c>
      <c r="O572" s="75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1977</v>
      </c>
      <c r="B573" s="73" t="str">
        <f>IFERROR(VLOOKUP(Proc[[#This Row],[App]],Table2[],3,0),"open")</f>
        <v>ok</v>
      </c>
      <c r="C573" s="72" t="s">
        <v>369</v>
      </c>
      <c r="D573" t="s">
        <v>2037</v>
      </c>
      <c r="E573" t="s">
        <v>2090</v>
      </c>
      <c r="F573" s="73" t="s">
        <v>2120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75">
        <v>45702.63349537037</v>
      </c>
      <c r="N573" s="75">
        <v>45712</v>
      </c>
      <c r="O573" s="75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1977</v>
      </c>
      <c r="B574" s="73" t="str">
        <f>IFERROR(VLOOKUP(Proc[[#This Row],[App]],Table2[],3,0),"open")</f>
        <v>ok</v>
      </c>
      <c r="C574" s="72" t="s">
        <v>369</v>
      </c>
      <c r="D574" t="s">
        <v>2038</v>
      </c>
      <c r="E574" t="s">
        <v>2090</v>
      </c>
      <c r="F574" s="73" t="s">
        <v>2120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75">
        <v>45702.63349537037</v>
      </c>
      <c r="N574" s="75">
        <v>45712</v>
      </c>
      <c r="O574" s="75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1977</v>
      </c>
      <c r="B575" s="73" t="str">
        <f>IFERROR(VLOOKUP(Proc[[#This Row],[App]],Table2[],3,0),"open")</f>
        <v>ok</v>
      </c>
      <c r="C575" s="72" t="s">
        <v>369</v>
      </c>
      <c r="D575" t="s">
        <v>2039</v>
      </c>
      <c r="E575" t="s">
        <v>2090</v>
      </c>
      <c r="F575" s="73" t="s">
        <v>2120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75">
        <v>45702.63349537037</v>
      </c>
      <c r="N575" s="75">
        <v>45712</v>
      </c>
      <c r="O575" s="75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1977</v>
      </c>
      <c r="B576" s="73" t="str">
        <f>IFERROR(VLOOKUP(Proc[[#This Row],[App]],Table2[],3,0),"open")</f>
        <v>ok</v>
      </c>
      <c r="C576" s="72" t="s">
        <v>369</v>
      </c>
      <c r="D576" t="s">
        <v>2040</v>
      </c>
      <c r="E576" t="s">
        <v>2090</v>
      </c>
      <c r="F576" s="73" t="s">
        <v>2120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75">
        <v>45702.63349537037</v>
      </c>
      <c r="N576" s="75">
        <v>45712</v>
      </c>
      <c r="O576" s="75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1977</v>
      </c>
      <c r="B577" s="73" t="str">
        <f>IFERROR(VLOOKUP(Proc[[#This Row],[App]],Table2[],3,0),"open")</f>
        <v>ok</v>
      </c>
      <c r="C577" s="72" t="s">
        <v>369</v>
      </c>
      <c r="D577" t="s">
        <v>2041</v>
      </c>
      <c r="E577" t="s">
        <v>2090</v>
      </c>
      <c r="F577" s="73" t="s">
        <v>2120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75">
        <v>45702.63349537037</v>
      </c>
      <c r="N577" s="75">
        <v>45712</v>
      </c>
      <c r="O577" s="75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1977</v>
      </c>
      <c r="B578" s="73" t="str">
        <f>IFERROR(VLOOKUP(Proc[[#This Row],[App]],Table2[],3,0),"open")</f>
        <v>ok</v>
      </c>
      <c r="C578" s="72" t="s">
        <v>377</v>
      </c>
      <c r="D578" t="s">
        <v>2042</v>
      </c>
      <c r="E578" t="s">
        <v>2090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2142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75">
        <v>45702.63349537037</v>
      </c>
      <c r="N578" s="75">
        <v>45712</v>
      </c>
      <c r="O578" s="75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1977</v>
      </c>
      <c r="B579" s="73" t="str">
        <f>IFERROR(VLOOKUP(Proc[[#This Row],[App]],Table2[],3,0),"open")</f>
        <v>ok</v>
      </c>
      <c r="C579" s="72" t="s">
        <v>369</v>
      </c>
      <c r="D579" t="s">
        <v>2043</v>
      </c>
      <c r="E579" t="s">
        <v>2090</v>
      </c>
      <c r="F579" s="73" t="s">
        <v>2120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75">
        <v>45702.63349537037</v>
      </c>
      <c r="N579" s="75">
        <v>45712</v>
      </c>
      <c r="O579" s="75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1977</v>
      </c>
      <c r="B580" s="73" t="str">
        <f>IFERROR(VLOOKUP(Proc[[#This Row],[App]],Table2[],3,0),"open")</f>
        <v>ok</v>
      </c>
      <c r="C580" s="72" t="s">
        <v>369</v>
      </c>
      <c r="D580" t="s">
        <v>2044</v>
      </c>
      <c r="E580" t="s">
        <v>2091</v>
      </c>
      <c r="F580" s="73" t="s">
        <v>2121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75">
        <v>45702.63349537037</v>
      </c>
      <c r="N580" s="75">
        <v>45712</v>
      </c>
      <c r="O580" s="75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1977</v>
      </c>
      <c r="B581" s="73" t="str">
        <f>IFERROR(VLOOKUP(Proc[[#This Row],[App]],Table2[],3,0),"open")</f>
        <v>ok</v>
      </c>
      <c r="C581" s="72" t="s">
        <v>369</v>
      </c>
      <c r="D581" t="s">
        <v>2045</v>
      </c>
      <c r="E581" t="s">
        <v>2091</v>
      </c>
      <c r="F581" s="73" t="s">
        <v>2121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75">
        <v>45702.63349537037</v>
      </c>
      <c r="N581" s="75">
        <v>45712</v>
      </c>
      <c r="O581" s="75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1977</v>
      </c>
      <c r="B582" s="73" t="str">
        <f>IFERROR(VLOOKUP(Proc[[#This Row],[App]],Table2[],3,0),"open")</f>
        <v>ok</v>
      </c>
      <c r="C582" s="72" t="s">
        <v>369</v>
      </c>
      <c r="D582" t="s">
        <v>2046</v>
      </c>
      <c r="E582" t="s">
        <v>2091</v>
      </c>
      <c r="F582" s="73" t="s">
        <v>2121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75">
        <v>45702.63349537037</v>
      </c>
      <c r="N582" s="75">
        <v>45712</v>
      </c>
      <c r="O582" s="75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1977</v>
      </c>
      <c r="B583" s="73" t="str">
        <f>IFERROR(VLOOKUP(Proc[[#This Row],[App]],Table2[],3,0),"open")</f>
        <v>ok</v>
      </c>
      <c r="C583" s="72" t="s">
        <v>369</v>
      </c>
      <c r="D583" t="s">
        <v>2047</v>
      </c>
      <c r="E583" t="s">
        <v>2092</v>
      </c>
      <c r="F583" s="73" t="s">
        <v>2122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75">
        <v>45702.63349537037</v>
      </c>
      <c r="N583" s="75">
        <v>45712</v>
      </c>
      <c r="O583" s="75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1977</v>
      </c>
      <c r="B584" s="73" t="str">
        <f>IFERROR(VLOOKUP(Proc[[#This Row],[App]],Table2[],3,0),"open")</f>
        <v>ok</v>
      </c>
      <c r="C584" s="72" t="s">
        <v>369</v>
      </c>
      <c r="D584" t="s">
        <v>2048</v>
      </c>
      <c r="E584" t="s">
        <v>2093</v>
      </c>
      <c r="F584" s="73" t="s">
        <v>2122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75">
        <v>45702.63349537037</v>
      </c>
      <c r="N584" s="75">
        <v>45712</v>
      </c>
      <c r="O584" s="75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1977</v>
      </c>
      <c r="B585" s="73" t="str">
        <f>IFERROR(VLOOKUP(Proc[[#This Row],[App]],Table2[],3,0),"open")</f>
        <v>ok</v>
      </c>
      <c r="C585" s="72" t="s">
        <v>369</v>
      </c>
      <c r="D585" t="s">
        <v>2049</v>
      </c>
      <c r="E585" t="s">
        <v>2094</v>
      </c>
      <c r="F585" s="73" t="s">
        <v>2123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75">
        <v>45702.63349537037</v>
      </c>
      <c r="N585" s="75">
        <v>45712</v>
      </c>
      <c r="O585" s="75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1977</v>
      </c>
      <c r="B586" s="73" t="str">
        <f>IFERROR(VLOOKUP(Proc[[#This Row],[App]],Table2[],3,0),"open")</f>
        <v>ok</v>
      </c>
      <c r="C586" s="72" t="s">
        <v>369</v>
      </c>
      <c r="D586" t="s">
        <v>2050</v>
      </c>
      <c r="E586" t="s">
        <v>2095</v>
      </c>
      <c r="F586" s="73" t="s">
        <v>2123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75">
        <v>45702.63349537037</v>
      </c>
      <c r="N586" s="75">
        <v>45712</v>
      </c>
      <c r="O586" s="75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1977</v>
      </c>
      <c r="B587" s="73" t="str">
        <f>IFERROR(VLOOKUP(Proc[[#This Row],[App]],Table2[],3,0),"open")</f>
        <v>ok</v>
      </c>
      <c r="C587" s="72" t="s">
        <v>369</v>
      </c>
      <c r="D587" t="s">
        <v>2051</v>
      </c>
      <c r="E587" t="s">
        <v>2095</v>
      </c>
      <c r="F587" s="73" t="s">
        <v>2123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75">
        <v>45702.63349537037</v>
      </c>
      <c r="N587" s="75">
        <v>45712</v>
      </c>
      <c r="O587" s="75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1977</v>
      </c>
      <c r="B588" s="73" t="str">
        <f>IFERROR(VLOOKUP(Proc[[#This Row],[App]],Table2[],3,0),"open")</f>
        <v>ok</v>
      </c>
      <c r="C588" s="72" t="s">
        <v>369</v>
      </c>
      <c r="D588" t="s">
        <v>2052</v>
      </c>
      <c r="E588" t="s">
        <v>2094</v>
      </c>
      <c r="F588" s="73" t="s">
        <v>2123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75">
        <v>45702.63349537037</v>
      </c>
      <c r="N588" s="75">
        <v>45712</v>
      </c>
      <c r="O588" s="75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1977</v>
      </c>
      <c r="B589" s="73" t="str">
        <f>IFERROR(VLOOKUP(Proc[[#This Row],[App]],Table2[],3,0),"open")</f>
        <v>ok</v>
      </c>
      <c r="C589" s="72" t="s">
        <v>369</v>
      </c>
      <c r="D589" t="s">
        <v>2053</v>
      </c>
      <c r="E589" t="s">
        <v>2079</v>
      </c>
      <c r="F589" s="73" t="s">
        <v>2124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75">
        <v>45702.63349537037</v>
      </c>
      <c r="N589" s="75">
        <v>45712</v>
      </c>
      <c r="O589" s="75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1977</v>
      </c>
      <c r="B590" s="73" t="str">
        <f>IFERROR(VLOOKUP(Proc[[#This Row],[App]],Table2[],3,0),"open")</f>
        <v>ok</v>
      </c>
      <c r="C590" s="72" t="s">
        <v>369</v>
      </c>
      <c r="D590" t="s">
        <v>2054</v>
      </c>
      <c r="E590" t="s">
        <v>2079</v>
      </c>
      <c r="F590" s="73" t="s">
        <v>2124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75">
        <v>45702.63349537037</v>
      </c>
      <c r="N590" s="75">
        <v>45712</v>
      </c>
      <c r="O590" s="75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1977</v>
      </c>
      <c r="B591" s="73" t="str">
        <f>IFERROR(VLOOKUP(Proc[[#This Row],[App]],Table2[],3,0),"open")</f>
        <v>ok</v>
      </c>
      <c r="C591" s="72" t="s">
        <v>369</v>
      </c>
      <c r="D591" t="s">
        <v>2055</v>
      </c>
      <c r="E591" t="s">
        <v>2096</v>
      </c>
      <c r="F591" s="73" t="s">
        <v>2125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75">
        <v>45702.63349537037</v>
      </c>
      <c r="N591" s="75">
        <v>45712</v>
      </c>
      <c r="O591" s="75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1977</v>
      </c>
      <c r="B592" s="73" t="str">
        <f>IFERROR(VLOOKUP(Proc[[#This Row],[App]],Table2[],3,0),"open")</f>
        <v>ok</v>
      </c>
      <c r="C592" s="72" t="s">
        <v>369</v>
      </c>
      <c r="D592" t="s">
        <v>2056</v>
      </c>
      <c r="E592" t="s">
        <v>2097</v>
      </c>
      <c r="F592" s="73" t="s">
        <v>2125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75">
        <v>45702.63349537037</v>
      </c>
      <c r="N592" s="75">
        <v>45712</v>
      </c>
      <c r="O592" s="75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1977</v>
      </c>
      <c r="B593" s="73" t="str">
        <f>IFERROR(VLOOKUP(Proc[[#This Row],[App]],Table2[],3,0),"open")</f>
        <v>ok</v>
      </c>
      <c r="C593" s="72" t="s">
        <v>369</v>
      </c>
      <c r="D593" t="s">
        <v>2057</v>
      </c>
      <c r="E593" t="s">
        <v>2098</v>
      </c>
      <c r="F593" s="73" t="s">
        <v>2126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75">
        <v>45702.63349537037</v>
      </c>
      <c r="N593" s="75">
        <v>45712</v>
      </c>
      <c r="O593" s="75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1977</v>
      </c>
      <c r="B594" s="73" t="str">
        <f>IFERROR(VLOOKUP(Proc[[#This Row],[App]],Table2[],3,0),"open")</f>
        <v>ok</v>
      </c>
      <c r="C594" s="72" t="s">
        <v>369</v>
      </c>
      <c r="D594" t="s">
        <v>2058</v>
      </c>
      <c r="E594" t="s">
        <v>2098</v>
      </c>
      <c r="F594" s="73" t="s">
        <v>2126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75">
        <v>45702.63349537037</v>
      </c>
      <c r="N594" s="75">
        <v>45712</v>
      </c>
      <c r="O594" s="75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1977</v>
      </c>
      <c r="B595" s="73" t="str">
        <f>IFERROR(VLOOKUP(Proc[[#This Row],[App]],Table2[],3,0),"open")</f>
        <v>ok</v>
      </c>
      <c r="C595" s="72" t="s">
        <v>369</v>
      </c>
      <c r="D595" t="s">
        <v>2059</v>
      </c>
      <c r="E595" t="s">
        <v>2099</v>
      </c>
      <c r="F595" s="73" t="s">
        <v>2127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75">
        <v>45702.63349537037</v>
      </c>
      <c r="N595" s="75">
        <v>45712</v>
      </c>
      <c r="O595" s="75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1977</v>
      </c>
      <c r="B596" s="73" t="str">
        <f>IFERROR(VLOOKUP(Proc[[#This Row],[App]],Table2[],3,0),"open")</f>
        <v>ok</v>
      </c>
      <c r="C596" s="72" t="s">
        <v>369</v>
      </c>
      <c r="D596" t="s">
        <v>2060</v>
      </c>
      <c r="E596" t="s">
        <v>2100</v>
      </c>
      <c r="F596" s="73" t="s">
        <v>2128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75">
        <v>45702.63349537037</v>
      </c>
      <c r="N596" s="75">
        <v>45712</v>
      </c>
      <c r="O596" s="75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1977</v>
      </c>
      <c r="B597" s="73" t="str">
        <f>IFERROR(VLOOKUP(Proc[[#This Row],[App]],Table2[],3,0),"open")</f>
        <v>ok</v>
      </c>
      <c r="C597" s="72" t="s">
        <v>369</v>
      </c>
      <c r="D597" t="s">
        <v>2061</v>
      </c>
      <c r="E597" t="s">
        <v>2101</v>
      </c>
      <c r="F597" s="73" t="s">
        <v>2129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75">
        <v>45702.63349537037</v>
      </c>
      <c r="N597" s="75">
        <v>45712</v>
      </c>
      <c r="O597" s="75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1977</v>
      </c>
      <c r="B598" s="73" t="str">
        <f>IFERROR(VLOOKUP(Proc[[#This Row],[App]],Table2[],3,0),"open")</f>
        <v>ok</v>
      </c>
      <c r="C598" s="72" t="s">
        <v>369</v>
      </c>
      <c r="D598" t="s">
        <v>2062</v>
      </c>
      <c r="E598" t="s">
        <v>2101</v>
      </c>
      <c r="F598" s="73" t="s">
        <v>2130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75">
        <v>45702.63349537037</v>
      </c>
      <c r="N598" s="75">
        <v>45712</v>
      </c>
      <c r="O598" s="75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1977</v>
      </c>
      <c r="B599" s="73" t="str">
        <f>IFERROR(VLOOKUP(Proc[[#This Row],[App]],Table2[],3,0),"open")</f>
        <v>ok</v>
      </c>
      <c r="C599" s="72" t="s">
        <v>369</v>
      </c>
      <c r="D599" t="s">
        <v>2063</v>
      </c>
      <c r="E599" t="s">
        <v>2101</v>
      </c>
      <c r="F599" s="73" t="s">
        <v>2130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75">
        <v>45702.63349537037</v>
      </c>
      <c r="N599" s="75">
        <v>45712</v>
      </c>
      <c r="O599" s="75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1977</v>
      </c>
      <c r="B600" s="73" t="str">
        <f>IFERROR(VLOOKUP(Proc[[#This Row],[App]],Table2[],3,0),"open")</f>
        <v>ok</v>
      </c>
      <c r="C600" s="72" t="s">
        <v>369</v>
      </c>
      <c r="D600" t="s">
        <v>2064</v>
      </c>
      <c r="E600" t="s">
        <v>2102</v>
      </c>
      <c r="F600" s="73" t="s">
        <v>2130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75">
        <v>45702.63349537037</v>
      </c>
      <c r="N600" s="75">
        <v>45712</v>
      </c>
      <c r="O600" s="75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1977</v>
      </c>
      <c r="B601" s="73" t="str">
        <f>IFERROR(VLOOKUP(Proc[[#This Row],[App]],Table2[],3,0),"open")</f>
        <v>ok</v>
      </c>
      <c r="C601" s="72" t="s">
        <v>369</v>
      </c>
      <c r="D601" t="s">
        <v>2065</v>
      </c>
      <c r="E601" t="s">
        <v>2101</v>
      </c>
      <c r="F601" s="73" t="s">
        <v>2131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75">
        <v>45702.63349537037</v>
      </c>
      <c r="N601" s="75">
        <v>45712</v>
      </c>
      <c r="O601" s="75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1977</v>
      </c>
      <c r="B602" s="73" t="str">
        <f>IFERROR(VLOOKUP(Proc[[#This Row],[App]],Table2[],3,0),"open")</f>
        <v>ok</v>
      </c>
      <c r="C602" s="72" t="s">
        <v>369</v>
      </c>
      <c r="D602" t="s">
        <v>2066</v>
      </c>
      <c r="E602" t="s">
        <v>2101</v>
      </c>
      <c r="F602" s="73" t="s">
        <v>2132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75">
        <v>45702.63349537037</v>
      </c>
      <c r="N602" s="75">
        <v>45712</v>
      </c>
      <c r="O602" s="75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1977</v>
      </c>
      <c r="B603" s="73" t="str">
        <f>IFERROR(VLOOKUP(Proc[[#This Row],[App]],Table2[],3,0),"open")</f>
        <v>ok</v>
      </c>
      <c r="C603" s="72" t="s">
        <v>369</v>
      </c>
      <c r="D603" t="s">
        <v>2067</v>
      </c>
      <c r="E603" t="s">
        <v>2103</v>
      </c>
      <c r="F603" s="73" t="s">
        <v>2133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75">
        <v>45702.63349537037</v>
      </c>
      <c r="N603" s="75">
        <v>45712</v>
      </c>
      <c r="O603" s="75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1977</v>
      </c>
      <c r="B604" s="73" t="str">
        <f>IFERROR(VLOOKUP(Proc[[#This Row],[App]],Table2[],3,0),"open")</f>
        <v>ok</v>
      </c>
      <c r="C604" s="72" t="s">
        <v>369</v>
      </c>
      <c r="D604" t="s">
        <v>2068</v>
      </c>
      <c r="E604" t="s">
        <v>2104</v>
      </c>
      <c r="F604" s="73" t="s">
        <v>2134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75">
        <v>45702.63349537037</v>
      </c>
      <c r="N604" s="75">
        <v>45712</v>
      </c>
      <c r="O604" s="75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1977</v>
      </c>
      <c r="B605" s="73" t="str">
        <f>IFERROR(VLOOKUP(Proc[[#This Row],[App]],Table2[],3,0),"open")</f>
        <v>ok</v>
      </c>
      <c r="C605" s="72" t="s">
        <v>369</v>
      </c>
      <c r="D605" t="s">
        <v>2069</v>
      </c>
      <c r="E605" t="s">
        <v>2105</v>
      </c>
      <c r="F605" s="73" t="s">
        <v>2135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75">
        <v>45702.63349537037</v>
      </c>
      <c r="N605" s="75">
        <v>45712</v>
      </c>
      <c r="O605" s="75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1977</v>
      </c>
      <c r="B606" s="73" t="str">
        <f>IFERROR(VLOOKUP(Proc[[#This Row],[App]],Table2[],3,0),"open")</f>
        <v>ok</v>
      </c>
      <c r="C606" s="72" t="s">
        <v>369</v>
      </c>
      <c r="D606" t="s">
        <v>2070</v>
      </c>
      <c r="E606" t="s">
        <v>2106</v>
      </c>
      <c r="F606" s="73" t="s">
        <v>2136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75">
        <v>45702.63349537037</v>
      </c>
      <c r="N606" s="75">
        <v>45712</v>
      </c>
      <c r="O606" s="75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1977</v>
      </c>
      <c r="B607" s="73" t="str">
        <f>IFERROR(VLOOKUP(Proc[[#This Row],[App]],Table2[],3,0),"open")</f>
        <v>ok</v>
      </c>
      <c r="C607" s="72" t="s">
        <v>369</v>
      </c>
      <c r="D607" t="s">
        <v>2071</v>
      </c>
      <c r="E607" t="s">
        <v>2107</v>
      </c>
      <c r="F607" s="73" t="s">
        <v>2137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75">
        <v>45702.63349537037</v>
      </c>
      <c r="N607" s="75">
        <v>45712</v>
      </c>
      <c r="O607" s="75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1977</v>
      </c>
      <c r="B608" s="73" t="str">
        <f>IFERROR(VLOOKUP(Proc[[#This Row],[App]],Table2[],3,0),"open")</f>
        <v>ok</v>
      </c>
      <c r="C608" s="72" t="s">
        <v>369</v>
      </c>
      <c r="D608" t="s">
        <v>2072</v>
      </c>
      <c r="E608" t="s">
        <v>2107</v>
      </c>
      <c r="F608" s="73" t="s">
        <v>2138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75">
        <v>45702.63349537037</v>
      </c>
      <c r="N608" s="75">
        <v>45712</v>
      </c>
      <c r="O608" s="75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1977</v>
      </c>
      <c r="B609" s="73" t="str">
        <f>IFERROR(VLOOKUP(Proc[[#This Row],[App]],Table2[],3,0),"open")</f>
        <v>ok</v>
      </c>
      <c r="C609" s="72" t="s">
        <v>369</v>
      </c>
      <c r="D609" t="s">
        <v>2073</v>
      </c>
      <c r="E609" t="s">
        <v>2107</v>
      </c>
      <c r="F609" s="73" t="s">
        <v>2139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75">
        <v>45702.63349537037</v>
      </c>
      <c r="N609" s="75">
        <v>45712</v>
      </c>
      <c r="O609" s="75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1977</v>
      </c>
      <c r="B610" s="73" t="str">
        <f>IFERROR(VLOOKUP(Proc[[#This Row],[App]],Table2[],3,0),"open")</f>
        <v>ok</v>
      </c>
      <c r="C610" s="72" t="s">
        <v>369</v>
      </c>
      <c r="D610" t="s">
        <v>2074</v>
      </c>
      <c r="E610" t="s">
        <v>2107</v>
      </c>
      <c r="F610" s="73" t="s">
        <v>2140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75">
        <v>45702.63349537037</v>
      </c>
      <c r="N610" s="75">
        <v>45712</v>
      </c>
      <c r="O610" s="75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1977</v>
      </c>
      <c r="B611" s="73" t="str">
        <f>IFERROR(VLOOKUP(Proc[[#This Row],[App]],Table2[],3,0),"open")</f>
        <v>ok</v>
      </c>
      <c r="C611" s="72" t="s">
        <v>369</v>
      </c>
      <c r="D611" t="s">
        <v>2075</v>
      </c>
      <c r="E611" t="s">
        <v>2107</v>
      </c>
      <c r="F611" s="73" t="s">
        <v>2141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75">
        <v>45702.63349537037</v>
      </c>
      <c r="N611" s="75">
        <v>45712</v>
      </c>
      <c r="O611" s="75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2165</v>
      </c>
      <c r="B612" s="73" t="str">
        <f>IFERROR(VLOOKUP(Proc[[#This Row],[App]],Table2[],3,0),"open")</f>
        <v>ok</v>
      </c>
      <c r="C612" s="72" t="s">
        <v>377</v>
      </c>
      <c r="D612" t="s">
        <v>2154</v>
      </c>
      <c r="E612" t="s">
        <v>763</v>
      </c>
      <c r="F612" s="73" t="s">
        <v>1098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75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33</v>
      </c>
      <c r="R612" s="74" t="s">
        <v>1112</v>
      </c>
      <c r="S612" s="73"/>
    </row>
    <row r="613" spans="1:19" hidden="1">
      <c r="A613" s="72" t="s">
        <v>2165</v>
      </c>
      <c r="B613" s="73" t="str">
        <f>IFERROR(VLOOKUP(Proc[[#This Row],[App]],Table2[],3,0),"open")</f>
        <v>ok</v>
      </c>
      <c r="C613" s="72" t="s">
        <v>377</v>
      </c>
      <c r="D613" t="s">
        <v>2155</v>
      </c>
      <c r="E613" t="s">
        <v>763</v>
      </c>
      <c r="F613" s="73" t="s">
        <v>1098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75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33</v>
      </c>
      <c r="R613" s="74" t="s">
        <v>1112</v>
      </c>
      <c r="S613" s="73"/>
    </row>
    <row r="614" spans="1:19" hidden="1">
      <c r="A614" s="72" t="s">
        <v>2165</v>
      </c>
      <c r="B614" s="73" t="str">
        <f>IFERROR(VLOOKUP(Proc[[#This Row],[App]],Table2[],3,0),"open")</f>
        <v>ok</v>
      </c>
      <c r="C614" s="72" t="s">
        <v>377</v>
      </c>
      <c r="D614" t="s">
        <v>2156</v>
      </c>
      <c r="E614" t="s">
        <v>763</v>
      </c>
      <c r="F614" s="73" t="s">
        <v>1098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75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33</v>
      </c>
      <c r="R614" s="74" t="s">
        <v>1112</v>
      </c>
      <c r="S614" s="73"/>
    </row>
    <row r="615" spans="1:19" hidden="1">
      <c r="A615" s="72" t="s">
        <v>2165</v>
      </c>
      <c r="B615" s="73" t="str">
        <f>IFERROR(VLOOKUP(Proc[[#This Row],[App]],Table2[],3,0),"open")</f>
        <v>ok</v>
      </c>
      <c r="C615" s="72" t="s">
        <v>377</v>
      </c>
      <c r="D615" t="s">
        <v>2157</v>
      </c>
      <c r="E615" t="s">
        <v>763</v>
      </c>
      <c r="F615" s="73" t="s">
        <v>1098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75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33</v>
      </c>
      <c r="R615" s="74" t="s">
        <v>1112</v>
      </c>
      <c r="S615" s="73"/>
    </row>
    <row r="616" spans="1:19" hidden="1">
      <c r="A616" s="72" t="s">
        <v>2165</v>
      </c>
      <c r="B616" s="73" t="str">
        <f>IFERROR(VLOOKUP(Proc[[#This Row],[App]],Table2[],3,0),"open")</f>
        <v>ok</v>
      </c>
      <c r="C616" s="72" t="s">
        <v>377</v>
      </c>
      <c r="D616" t="s">
        <v>2158</v>
      </c>
      <c r="E616" t="s">
        <v>2166</v>
      </c>
      <c r="F616" s="73" t="s">
        <v>1098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2446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75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33</v>
      </c>
      <c r="R616" s="74" t="s">
        <v>1112</v>
      </c>
      <c r="S616" s="73"/>
    </row>
    <row r="617" spans="1:19" hidden="1">
      <c r="A617" s="72" t="s">
        <v>2165</v>
      </c>
      <c r="B617" s="73" t="str">
        <f>IFERROR(VLOOKUP(Proc[[#This Row],[App]],Table2[],3,0),"open")</f>
        <v>ok</v>
      </c>
      <c r="C617" s="72" t="s">
        <v>377</v>
      </c>
      <c r="D617" t="s">
        <v>2159</v>
      </c>
      <c r="E617" t="s">
        <v>2166</v>
      </c>
      <c r="F617" s="73" t="s">
        <v>1098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2446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75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33</v>
      </c>
      <c r="R617" s="74" t="s">
        <v>1112</v>
      </c>
      <c r="S617" s="73"/>
    </row>
    <row r="618" spans="1:19" hidden="1">
      <c r="A618" s="72" t="s">
        <v>2165</v>
      </c>
      <c r="B618" s="73" t="str">
        <f>IFERROR(VLOOKUP(Proc[[#This Row],[App]],Table2[],3,0),"open")</f>
        <v>ok</v>
      </c>
      <c r="C618" s="72" t="s">
        <v>377</v>
      </c>
      <c r="D618" t="s">
        <v>2160</v>
      </c>
      <c r="E618" t="s">
        <v>1049</v>
      </c>
      <c r="F618" s="73" t="s">
        <v>1098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2446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75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33</v>
      </c>
      <c r="R618" s="74" t="s">
        <v>1112</v>
      </c>
      <c r="S618" s="73"/>
    </row>
    <row r="619" spans="1:19" hidden="1">
      <c r="A619" s="72" t="s">
        <v>2165</v>
      </c>
      <c r="B619" s="73" t="str">
        <f>IFERROR(VLOOKUP(Proc[[#This Row],[App]],Table2[],3,0),"open")</f>
        <v>ok</v>
      </c>
      <c r="C619" s="72" t="s">
        <v>369</v>
      </c>
      <c r="D619" t="s">
        <v>2161</v>
      </c>
      <c r="E619" t="s">
        <v>2167</v>
      </c>
      <c r="F619" s="73" t="s">
        <v>2170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75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33</v>
      </c>
      <c r="R619" s="74" t="s">
        <v>1112</v>
      </c>
      <c r="S619" s="73"/>
    </row>
    <row r="620" spans="1:19" hidden="1">
      <c r="A620" s="72" t="s">
        <v>2165</v>
      </c>
      <c r="B620" s="73" t="str">
        <f>IFERROR(VLOOKUP(Proc[[#This Row],[App]],Table2[],3,0),"open")</f>
        <v>ok</v>
      </c>
      <c r="C620" s="72" t="s">
        <v>369</v>
      </c>
      <c r="D620" t="s">
        <v>2162</v>
      </c>
      <c r="E620" t="s">
        <v>2167</v>
      </c>
      <c r="F620" s="73" t="s">
        <v>2170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75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33</v>
      </c>
      <c r="R620" s="74" t="s">
        <v>1112</v>
      </c>
      <c r="S620" s="73"/>
    </row>
    <row r="621" spans="1:19" hidden="1">
      <c r="A621" s="72" t="s">
        <v>2165</v>
      </c>
      <c r="B621" s="73" t="str">
        <f>IFERROR(VLOOKUP(Proc[[#This Row],[App]],Table2[],3,0),"open")</f>
        <v>ok</v>
      </c>
      <c r="C621" s="72" t="s">
        <v>369</v>
      </c>
      <c r="D621" t="s">
        <v>2163</v>
      </c>
      <c r="E621" t="s">
        <v>2168</v>
      </c>
      <c r="F621" s="73" t="s">
        <v>2171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75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33</v>
      </c>
      <c r="R621" s="74" t="s">
        <v>1112</v>
      </c>
      <c r="S621" s="73"/>
    </row>
    <row r="622" spans="1:19" hidden="1">
      <c r="A622" s="72" t="s">
        <v>2165</v>
      </c>
      <c r="B622" s="73" t="str">
        <f>IFERROR(VLOOKUP(Proc[[#This Row],[App]],Table2[],3,0),"open")</f>
        <v>ok</v>
      </c>
      <c r="C622" s="72" t="s">
        <v>369</v>
      </c>
      <c r="D622" t="s">
        <v>2164</v>
      </c>
      <c r="E622" t="s">
        <v>2169</v>
      </c>
      <c r="F622" s="73" t="s">
        <v>2172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75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33</v>
      </c>
      <c r="R622" s="74" t="s">
        <v>1112</v>
      </c>
      <c r="S622" s="73"/>
    </row>
    <row r="623" spans="1:19" hidden="1">
      <c r="A623" t="s">
        <v>2173</v>
      </c>
      <c r="B623" s="73" t="str">
        <f>IFERROR(VLOOKUP(Proc[[#This Row],[App]],Table2[],3,0),"open")</f>
        <v>ok</v>
      </c>
      <c r="C623" s="72" t="s">
        <v>369</v>
      </c>
      <c r="D623" t="s">
        <v>2174</v>
      </c>
      <c r="E623" t="s">
        <v>1593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75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32</v>
      </c>
      <c r="R623" s="74" t="s">
        <v>858</v>
      </c>
      <c r="S623" s="73"/>
    </row>
    <row r="624" spans="1:19" hidden="1">
      <c r="A624" s="72" t="s">
        <v>2173</v>
      </c>
      <c r="B624" s="73" t="str">
        <f>IFERROR(VLOOKUP(Proc[[#This Row],[App]],Table2[],3,0),"open")</f>
        <v>ok</v>
      </c>
      <c r="C624" s="72" t="s">
        <v>369</v>
      </c>
      <c r="D624" t="s">
        <v>2175</v>
      </c>
      <c r="E624" t="s">
        <v>1593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75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32</v>
      </c>
      <c r="R624" s="74" t="s">
        <v>858</v>
      </c>
      <c r="S624" s="73"/>
    </row>
    <row r="625" spans="1:19" hidden="1">
      <c r="A625" s="72" t="s">
        <v>2173</v>
      </c>
      <c r="B625" s="73" t="str">
        <f>IFERROR(VLOOKUP(Proc[[#This Row],[App]],Table2[],3,0),"open")</f>
        <v>ok</v>
      </c>
      <c r="C625" s="72" t="s">
        <v>369</v>
      </c>
      <c r="D625" t="s">
        <v>2176</v>
      </c>
      <c r="E625" t="s">
        <v>1593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75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32</v>
      </c>
      <c r="R625" s="74" t="s">
        <v>858</v>
      </c>
      <c r="S625" s="73"/>
    </row>
    <row r="626" spans="1:19" hidden="1">
      <c r="A626" s="72" t="s">
        <v>2173</v>
      </c>
      <c r="B626" s="73" t="str">
        <f>IFERROR(VLOOKUP(Proc[[#This Row],[App]],Table2[],3,0),"open")</f>
        <v>ok</v>
      </c>
      <c r="C626" s="72" t="s">
        <v>369</v>
      </c>
      <c r="D626" t="s">
        <v>2177</v>
      </c>
      <c r="E626" t="s">
        <v>1593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75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32</v>
      </c>
      <c r="R626" s="74" t="s">
        <v>858</v>
      </c>
      <c r="S626" s="73"/>
    </row>
    <row r="627" spans="1:19" hidden="1">
      <c r="A627" s="72" t="s">
        <v>2173</v>
      </c>
      <c r="B627" s="73" t="str">
        <f>IFERROR(VLOOKUP(Proc[[#This Row],[App]],Table2[],3,0),"open")</f>
        <v>ok</v>
      </c>
      <c r="C627" s="72" t="s">
        <v>369</v>
      </c>
      <c r="D627" t="s">
        <v>2178</v>
      </c>
      <c r="E627" t="s">
        <v>1593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75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32</v>
      </c>
      <c r="R627" s="74" t="s">
        <v>858</v>
      </c>
      <c r="S627" s="73"/>
    </row>
    <row r="628" spans="1:19" hidden="1">
      <c r="A628" t="s">
        <v>2179</v>
      </c>
      <c r="B628" s="73" t="str">
        <f>IFERROR(VLOOKUP(Proc[[#This Row],[App]],Table2[],3,0),"open")</f>
        <v>ok</v>
      </c>
      <c r="C628" s="72" t="s">
        <v>369</v>
      </c>
      <c r="D628" t="s">
        <v>2180</v>
      </c>
      <c r="E628" t="s">
        <v>2186</v>
      </c>
      <c r="F628" s="73" t="s">
        <v>1757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75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33</v>
      </c>
      <c r="R628" s="74" t="s">
        <v>1032</v>
      </c>
      <c r="S628" s="73"/>
    </row>
    <row r="629" spans="1:19" hidden="1">
      <c r="A629" s="72" t="s">
        <v>2179</v>
      </c>
      <c r="B629" s="73" t="str">
        <f>IFERROR(VLOOKUP(Proc[[#This Row],[App]],Table2[],3,0),"open")</f>
        <v>ok</v>
      </c>
      <c r="C629" s="72" t="s">
        <v>369</v>
      </c>
      <c r="D629" t="s">
        <v>2181</v>
      </c>
      <c r="E629" t="s">
        <v>1684</v>
      </c>
      <c r="F629" s="73" t="s">
        <v>1757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75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33</v>
      </c>
      <c r="R629" s="74" t="s">
        <v>1032</v>
      </c>
      <c r="S629" s="73"/>
    </row>
    <row r="630" spans="1:19" hidden="1">
      <c r="A630" s="72" t="s">
        <v>2179</v>
      </c>
      <c r="B630" s="73" t="str">
        <f>IFERROR(VLOOKUP(Proc[[#This Row],[App]],Table2[],3,0),"open")</f>
        <v>ok</v>
      </c>
      <c r="C630" s="72" t="s">
        <v>369</v>
      </c>
      <c r="D630" t="s">
        <v>2182</v>
      </c>
      <c r="E630" t="s">
        <v>2187</v>
      </c>
      <c r="F630" s="73" t="s">
        <v>1757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75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33</v>
      </c>
      <c r="R630" s="74" t="s">
        <v>1032</v>
      </c>
      <c r="S630" s="73"/>
    </row>
    <row r="631" spans="1:19" hidden="1">
      <c r="A631" s="72" t="s">
        <v>2179</v>
      </c>
      <c r="B631" s="73" t="str">
        <f>IFERROR(VLOOKUP(Proc[[#This Row],[App]],Table2[],3,0),"open")</f>
        <v>ok</v>
      </c>
      <c r="C631" s="72" t="s">
        <v>369</v>
      </c>
      <c r="D631" t="s">
        <v>2183</v>
      </c>
      <c r="E631" t="s">
        <v>2188</v>
      </c>
      <c r="F631" s="73" t="s">
        <v>1757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75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33</v>
      </c>
      <c r="R631" s="74" t="s">
        <v>1032</v>
      </c>
      <c r="S631" s="73"/>
    </row>
    <row r="632" spans="1:19" hidden="1">
      <c r="A632" s="72" t="s">
        <v>2179</v>
      </c>
      <c r="B632" s="73" t="str">
        <f>IFERROR(VLOOKUP(Proc[[#This Row],[App]],Table2[],3,0),"open")</f>
        <v>ok</v>
      </c>
      <c r="C632" s="72" t="s">
        <v>369</v>
      </c>
      <c r="D632" t="s">
        <v>2184</v>
      </c>
      <c r="E632" t="s">
        <v>2188</v>
      </c>
      <c r="F632" s="73" t="s">
        <v>1757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75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33</v>
      </c>
      <c r="R632" s="74" t="s">
        <v>1032</v>
      </c>
      <c r="S632" s="73"/>
    </row>
    <row r="633" spans="1:19" hidden="1">
      <c r="A633" s="72" t="s">
        <v>2179</v>
      </c>
      <c r="B633" s="73" t="str">
        <f>IFERROR(VLOOKUP(Proc[[#This Row],[App]],Table2[],3,0),"open")</f>
        <v>ok</v>
      </c>
      <c r="C633" s="72" t="s">
        <v>369</v>
      </c>
      <c r="D633" t="s">
        <v>2185</v>
      </c>
      <c r="E633" t="s">
        <v>2188</v>
      </c>
      <c r="F633" s="73" t="s">
        <v>2191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75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33</v>
      </c>
      <c r="R633" s="74" t="s">
        <v>1032</v>
      </c>
      <c r="S633" s="73"/>
    </row>
    <row r="634" spans="1:19" hidden="1">
      <c r="A634" s="72" t="s">
        <v>2179</v>
      </c>
      <c r="B634" s="73" t="str">
        <f>IFERROR(VLOOKUP(Proc[[#This Row],[App]],Table2[],3,0),"open")</f>
        <v>ok</v>
      </c>
      <c r="C634" s="72" t="s">
        <v>369</v>
      </c>
      <c r="D634" t="s">
        <v>1672</v>
      </c>
      <c r="E634" t="s">
        <v>2189</v>
      </c>
      <c r="F634" s="73" t="s">
        <v>1684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75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33</v>
      </c>
      <c r="R634" s="74" t="s">
        <v>1032</v>
      </c>
      <c r="S634" s="73"/>
    </row>
    <row r="635" spans="1:19" hidden="1">
      <c r="A635" s="72" t="s">
        <v>2179</v>
      </c>
      <c r="B635" s="73" t="str">
        <f>IFERROR(VLOOKUP(Proc[[#This Row],[App]],Table2[],3,0),"open")</f>
        <v>ok</v>
      </c>
      <c r="C635" s="72" t="s">
        <v>369</v>
      </c>
      <c r="D635" t="s">
        <v>1678</v>
      </c>
      <c r="E635" t="s">
        <v>2189</v>
      </c>
      <c r="F635" s="73" t="s">
        <v>1684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75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33</v>
      </c>
      <c r="R635" s="74" t="s">
        <v>1032</v>
      </c>
      <c r="S635" s="73"/>
    </row>
    <row r="636" spans="1:19" hidden="1">
      <c r="A636" s="72" t="s">
        <v>2179</v>
      </c>
      <c r="B636" s="73" t="str">
        <f>IFERROR(VLOOKUP(Proc[[#This Row],[App]],Table2[],3,0),"open")</f>
        <v>ok</v>
      </c>
      <c r="C636" s="72" t="s">
        <v>369</v>
      </c>
      <c r="D636" t="s">
        <v>1673</v>
      </c>
      <c r="E636" t="s">
        <v>2190</v>
      </c>
      <c r="F636" s="73" t="s">
        <v>1685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75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33</v>
      </c>
      <c r="R636" s="74" t="s">
        <v>1032</v>
      </c>
      <c r="S636" s="73"/>
    </row>
    <row r="637" spans="1:19" hidden="1">
      <c r="A637" s="72" t="s">
        <v>2179</v>
      </c>
      <c r="B637" s="73" t="str">
        <f>IFERROR(VLOOKUP(Proc[[#This Row],[App]],Table2[],3,0),"open")</f>
        <v>ok</v>
      </c>
      <c r="C637" s="72" t="s">
        <v>369</v>
      </c>
      <c r="D637" t="s">
        <v>1679</v>
      </c>
      <c r="E637" t="s">
        <v>2190</v>
      </c>
      <c r="F637" s="73" t="s">
        <v>1685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75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33</v>
      </c>
      <c r="R637" s="74" t="s">
        <v>1032</v>
      </c>
      <c r="S637" s="73"/>
    </row>
    <row r="638" spans="1:19" hidden="1">
      <c r="A638" t="s">
        <v>2198</v>
      </c>
      <c r="B638" s="73" t="str">
        <f>IFERROR(VLOOKUP(Proc[[#This Row],[App]],Table2[],3,0),"open")</f>
        <v>ok</v>
      </c>
      <c r="C638" s="72" t="s">
        <v>369</v>
      </c>
      <c r="D638" t="s">
        <v>2192</v>
      </c>
      <c r="E638" t="s">
        <v>2194</v>
      </c>
      <c r="F638" s="73" t="s">
        <v>2196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75">
        <v>45705.71533564815</v>
      </c>
      <c r="N638" s="75">
        <v>45706</v>
      </c>
      <c r="O638" s="75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2198</v>
      </c>
      <c r="B639" s="73" t="str">
        <f>IFERROR(VLOOKUP(Proc[[#This Row],[App]],Table2[],3,0),"open")</f>
        <v>ok</v>
      </c>
      <c r="C639" s="72" t="s">
        <v>369</v>
      </c>
      <c r="D639" t="s">
        <v>2193</v>
      </c>
      <c r="E639" t="s">
        <v>2195</v>
      </c>
      <c r="F639" s="73" t="s">
        <v>2197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75">
        <v>45705.71533564815</v>
      </c>
      <c r="N639" s="75">
        <v>45706</v>
      </c>
      <c r="O639" s="75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2199</v>
      </c>
      <c r="B640" s="73" t="str">
        <f>IFERROR(VLOOKUP(Proc[[#This Row],[App]],Table2[],3,0),"open")</f>
        <v>ok</v>
      </c>
      <c r="C640" t="s">
        <v>369</v>
      </c>
      <c r="D640" t="s">
        <v>2200</v>
      </c>
      <c r="E640" t="s">
        <v>2203</v>
      </c>
      <c r="F640" s="73" t="s">
        <v>2202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75">
        <v>45706.507418981484</v>
      </c>
      <c r="N640" s="75">
        <v>45709</v>
      </c>
      <c r="O640" s="75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2199</v>
      </c>
      <c r="B641" s="73" t="str">
        <f>IFERROR(VLOOKUP(Proc[[#This Row],[App]],Table2[],3,0),"open")</f>
        <v>ok</v>
      </c>
      <c r="C641" s="72" t="s">
        <v>369</v>
      </c>
      <c r="D641" t="s">
        <v>2201</v>
      </c>
      <c r="E641" t="s">
        <v>2204</v>
      </c>
      <c r="F641" s="73" t="s">
        <v>2202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75">
        <v>45706.507418981484</v>
      </c>
      <c r="N641" s="75">
        <v>45709</v>
      </c>
      <c r="O641" s="75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2205</v>
      </c>
      <c r="B642" s="73" t="str">
        <f>IFERROR(VLOOKUP(Proc[[#This Row],[App]],Table2[],3,0),"open")</f>
        <v>ok</v>
      </c>
      <c r="C642" t="s">
        <v>369</v>
      </c>
      <c r="D642" s="72" t="s">
        <v>1931</v>
      </c>
      <c r="E642" s="72" t="s">
        <v>2224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75">
        <v>45707.167048611111</v>
      </c>
      <c r="N642" s="75">
        <v>45709</v>
      </c>
      <c r="O642" s="75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2208</v>
      </c>
      <c r="B643" s="73" t="str">
        <f>IFERROR(VLOOKUP(Proc[[#This Row],[App]],Table2[],3,0),"open")</f>
        <v>ok</v>
      </c>
      <c r="C643" t="s">
        <v>369</v>
      </c>
      <c r="D643" t="s">
        <v>2206</v>
      </c>
      <c r="E643" t="s">
        <v>2207</v>
      </c>
      <c r="F643" s="73" t="s">
        <v>1959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75">
        <v>45708.640300925923</v>
      </c>
      <c r="N643" s="75">
        <v>45712</v>
      </c>
      <c r="O643" s="75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1962</v>
      </c>
      <c r="S643" s="73"/>
    </row>
    <row r="644" spans="1:19" hidden="1">
      <c r="A644" t="s">
        <v>2223</v>
      </c>
      <c r="B644" s="73" t="str">
        <f>IFERROR(VLOOKUP(Proc[[#This Row],[App]],Table2[],3,0),"open")</f>
        <v>ok</v>
      </c>
      <c r="C644" s="72" t="s">
        <v>369</v>
      </c>
      <c r="D644" t="s">
        <v>2209</v>
      </c>
      <c r="E644" t="s">
        <v>2215</v>
      </c>
      <c r="F644" s="73" t="s">
        <v>1098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75">
        <v>45708.624907407408</v>
      </c>
      <c r="N644" s="75">
        <v>45712</v>
      </c>
      <c r="O644" s="75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1112</v>
      </c>
      <c r="S644" s="73"/>
    </row>
    <row r="645" spans="1:19" hidden="1">
      <c r="A645" s="72" t="s">
        <v>2223</v>
      </c>
      <c r="B645" s="73" t="str">
        <f>IFERROR(VLOOKUP(Proc[[#This Row],[App]],Table2[],3,0),"open")</f>
        <v>ok</v>
      </c>
      <c r="C645" s="72" t="s">
        <v>369</v>
      </c>
      <c r="D645" t="s">
        <v>1622</v>
      </c>
      <c r="E645" t="s">
        <v>419</v>
      </c>
      <c r="F645" s="73" t="s">
        <v>2219</v>
      </c>
      <c r="G645" s="72" t="s">
        <v>400</v>
      </c>
      <c r="H645" s="73" t="str">
        <f>IF(Proc[[#This Row],[type]]="LFF (MDG-F)",MID(Proc[[#This Row],[Obj]],13,10),"")</f>
        <v/>
      </c>
      <c r="I645" t="s">
        <v>2228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75">
        <v>45708.624907407408</v>
      </c>
      <c r="N645" s="75">
        <v>45712</v>
      </c>
      <c r="O645" s="75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1112</v>
      </c>
      <c r="S645" s="73"/>
    </row>
    <row r="646" spans="1:19" hidden="1">
      <c r="A646" s="72" t="s">
        <v>2223</v>
      </c>
      <c r="B646" s="73" t="str">
        <f>IFERROR(VLOOKUP(Proc[[#This Row],[App]],Table2[],3,0),"open")</f>
        <v>ok</v>
      </c>
      <c r="C646" s="72" t="s">
        <v>369</v>
      </c>
      <c r="D646" t="s">
        <v>2210</v>
      </c>
      <c r="E646" t="s">
        <v>2216</v>
      </c>
      <c r="F646" s="73" t="s">
        <v>2220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75">
        <v>45708.624907407408</v>
      </c>
      <c r="N646" s="75">
        <v>45712</v>
      </c>
      <c r="O646" s="75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1112</v>
      </c>
      <c r="S646" s="73"/>
    </row>
    <row r="647" spans="1:19" hidden="1">
      <c r="A647" s="72" t="s">
        <v>2223</v>
      </c>
      <c r="B647" s="73" t="str">
        <f>IFERROR(VLOOKUP(Proc[[#This Row],[App]],Table2[],3,0),"open")</f>
        <v>ok</v>
      </c>
      <c r="C647" s="72" t="s">
        <v>369</v>
      </c>
      <c r="D647" t="s">
        <v>2211</v>
      </c>
      <c r="E647" t="s">
        <v>2216</v>
      </c>
      <c r="F647" s="73" t="s">
        <v>2221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75">
        <v>45708.624907407408</v>
      </c>
      <c r="N647" s="75">
        <v>45712</v>
      </c>
      <c r="O647" s="75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1112</v>
      </c>
      <c r="S647" s="73"/>
    </row>
    <row r="648" spans="1:19" hidden="1">
      <c r="A648" s="72" t="s">
        <v>2223</v>
      </c>
      <c r="B648" s="73" t="str">
        <f>IFERROR(VLOOKUP(Proc[[#This Row],[App]],Table2[],3,0),"open")</f>
        <v>ok</v>
      </c>
      <c r="C648" s="72" t="s">
        <v>369</v>
      </c>
      <c r="D648" t="s">
        <v>2212</v>
      </c>
      <c r="E648" t="s">
        <v>2217</v>
      </c>
      <c r="F648" s="73" t="s">
        <v>2222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75">
        <v>45708.624907407408</v>
      </c>
      <c r="N648" s="75">
        <v>45712</v>
      </c>
      <c r="O648" s="75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1112</v>
      </c>
      <c r="S648" s="73"/>
    </row>
    <row r="649" spans="1:19" hidden="1">
      <c r="A649" s="72" t="s">
        <v>2223</v>
      </c>
      <c r="B649" s="73" t="str">
        <f>IFERROR(VLOOKUP(Proc[[#This Row],[App]],Table2[],3,0),"open")</f>
        <v>ok</v>
      </c>
      <c r="C649" s="72" t="s">
        <v>369</v>
      </c>
      <c r="D649" t="s">
        <v>2213</v>
      </c>
      <c r="E649" t="s">
        <v>2217</v>
      </c>
      <c r="F649" s="73" t="s">
        <v>2222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75">
        <v>45708.624907407408</v>
      </c>
      <c r="N649" s="75">
        <v>45712</v>
      </c>
      <c r="O649" s="75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1112</v>
      </c>
      <c r="S649" s="73"/>
    </row>
    <row r="650" spans="1:19" hidden="1">
      <c r="A650" s="72" t="s">
        <v>2223</v>
      </c>
      <c r="B650" s="73" t="str">
        <f>IFERROR(VLOOKUP(Proc[[#This Row],[App]],Table2[],3,0),"open")</f>
        <v>ok</v>
      </c>
      <c r="C650" s="72" t="s">
        <v>369</v>
      </c>
      <c r="D650" t="s">
        <v>2214</v>
      </c>
      <c r="E650" t="s">
        <v>2218</v>
      </c>
      <c r="F650" s="73" t="s">
        <v>2222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75">
        <v>45708.624907407408</v>
      </c>
      <c r="N650" s="75">
        <v>45712</v>
      </c>
      <c r="O650" s="75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1112</v>
      </c>
      <c r="S650" s="73"/>
    </row>
    <row r="651" spans="1:19" hidden="1">
      <c r="A651" t="s">
        <v>2226</v>
      </c>
      <c r="B651" s="73" t="str">
        <f>IFERROR(VLOOKUP(Proc[[#This Row],[App]],Table2[],3,0),"open")</f>
        <v>ok</v>
      </c>
      <c r="C651" s="72" t="s">
        <v>369</v>
      </c>
      <c r="D651" t="s">
        <v>2225</v>
      </c>
      <c r="E651" t="s">
        <v>2227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75">
        <v>45708.455127314817</v>
      </c>
      <c r="N651" s="75">
        <v>45712</v>
      </c>
      <c r="O651" s="75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2230</v>
      </c>
      <c r="B652" s="73" t="str">
        <f>IFERROR(VLOOKUP(Proc[[#This Row],[App]],Table2[],3,0),"open")</f>
        <v>ok</v>
      </c>
      <c r="C652" t="s">
        <v>369</v>
      </c>
      <c r="D652" t="s">
        <v>2231</v>
      </c>
      <c r="E652" t="s">
        <v>484</v>
      </c>
      <c r="F652" s="73" t="s">
        <v>2229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75">
        <v>45709.554386574076</v>
      </c>
      <c r="N652" s="75">
        <v>45713</v>
      </c>
      <c r="O652" s="75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2241</v>
      </c>
      <c r="B653" s="73" t="str">
        <f>IFERROR(VLOOKUP(Proc[[#This Row],[App]],Table2[],3,0),"open")</f>
        <v>ok</v>
      </c>
      <c r="C653" s="72" t="s">
        <v>369</v>
      </c>
      <c r="D653" t="s">
        <v>2232</v>
      </c>
      <c r="E653" t="s">
        <v>2689</v>
      </c>
      <c r="F653" s="73" t="s">
        <v>2243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5">
        <v>45712.326793981483</v>
      </c>
      <c r="N653" s="75">
        <v>45713</v>
      </c>
      <c r="O653" s="75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2241</v>
      </c>
      <c r="B654" s="73" t="str">
        <f>IFERROR(VLOOKUP(Proc[[#This Row],[App]],Table2[],3,0),"open")</f>
        <v>ok</v>
      </c>
      <c r="C654" s="72" t="s">
        <v>369</v>
      </c>
      <c r="D654" t="s">
        <v>2233</v>
      </c>
      <c r="E654" t="s">
        <v>2689</v>
      </c>
      <c r="F654" s="73" t="s">
        <v>2243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5">
        <v>45712.326793981483</v>
      </c>
      <c r="N654" s="75">
        <v>45713</v>
      </c>
      <c r="O654" s="75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2241</v>
      </c>
      <c r="B655" s="73" t="str">
        <f>IFERROR(VLOOKUP(Proc[[#This Row],[App]],Table2[],3,0),"open")</f>
        <v>ok</v>
      </c>
      <c r="C655" s="72" t="s">
        <v>369</v>
      </c>
      <c r="D655" t="s">
        <v>2234</v>
      </c>
      <c r="E655" t="s">
        <v>1286</v>
      </c>
      <c r="F655" s="73" t="s">
        <v>1287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5">
        <v>45712.326793981483</v>
      </c>
      <c r="N655" s="75">
        <v>45713</v>
      </c>
      <c r="O655" s="75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2241</v>
      </c>
      <c r="B656" s="73" t="str">
        <f>IFERROR(VLOOKUP(Proc[[#This Row],[App]],Table2[],3,0),"open")</f>
        <v>ok</v>
      </c>
      <c r="C656" s="72" t="s">
        <v>369</v>
      </c>
      <c r="D656" t="s">
        <v>2235</v>
      </c>
      <c r="E656" t="s">
        <v>2242</v>
      </c>
      <c r="F656" s="73" t="s">
        <v>2243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5">
        <v>45712.326793981483</v>
      </c>
      <c r="N656" s="75">
        <v>45713</v>
      </c>
      <c r="O656" s="75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2241</v>
      </c>
      <c r="B657" s="73" t="str">
        <f>IFERROR(VLOOKUP(Proc[[#This Row],[App]],Table2[],3,0),"open")</f>
        <v>ok</v>
      </c>
      <c r="C657" s="72" t="s">
        <v>369</v>
      </c>
      <c r="D657" t="s">
        <v>2236</v>
      </c>
      <c r="E657" t="s">
        <v>2242</v>
      </c>
      <c r="F657" s="73" t="s">
        <v>2243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5">
        <v>45712.326793981483</v>
      </c>
      <c r="N657" s="75">
        <v>45713</v>
      </c>
      <c r="O657" s="75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2241</v>
      </c>
      <c r="B658" s="73" t="str">
        <f>IFERROR(VLOOKUP(Proc[[#This Row],[App]],Table2[],3,0),"open")</f>
        <v>ok</v>
      </c>
      <c r="C658" s="72" t="s">
        <v>369</v>
      </c>
      <c r="D658" t="s">
        <v>2237</v>
      </c>
      <c r="E658" t="s">
        <v>2242</v>
      </c>
      <c r="F658" s="73" t="s">
        <v>2243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5">
        <v>45712.326793981483</v>
      </c>
      <c r="N658" s="75">
        <v>45713</v>
      </c>
      <c r="O658" s="75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2241</v>
      </c>
      <c r="B659" s="73" t="str">
        <f>IFERROR(VLOOKUP(Proc[[#This Row],[App]],Table2[],3,0),"open")</f>
        <v>ok</v>
      </c>
      <c r="C659" s="72" t="s">
        <v>369</v>
      </c>
      <c r="D659" t="s">
        <v>2238</v>
      </c>
      <c r="E659" t="s">
        <v>2242</v>
      </c>
      <c r="F659" s="73" t="s">
        <v>2243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5">
        <v>45712.326793981483</v>
      </c>
      <c r="N659" s="75">
        <v>45713</v>
      </c>
      <c r="O659" s="75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2241</v>
      </c>
      <c r="B660" s="73" t="str">
        <f>IFERROR(VLOOKUP(Proc[[#This Row],[App]],Table2[],3,0),"open")</f>
        <v>ok</v>
      </c>
      <c r="C660" s="72" t="s">
        <v>369</v>
      </c>
      <c r="D660" t="s">
        <v>2239</v>
      </c>
      <c r="E660" t="s">
        <v>2242</v>
      </c>
      <c r="F660" s="73" t="s">
        <v>2243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5">
        <v>45712.326793981483</v>
      </c>
      <c r="N660" s="75">
        <v>45713</v>
      </c>
      <c r="O660" s="75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2241</v>
      </c>
      <c r="B661" s="73" t="str">
        <f>IFERROR(VLOOKUP(Proc[[#This Row],[App]],Table2[],3,0),"open")</f>
        <v>ok</v>
      </c>
      <c r="C661" s="72" t="s">
        <v>369</v>
      </c>
      <c r="D661" t="s">
        <v>2240</v>
      </c>
      <c r="E661" t="s">
        <v>2242</v>
      </c>
      <c r="F661" s="73" t="s">
        <v>2243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5">
        <v>45712.326793981483</v>
      </c>
      <c r="N661" s="75">
        <v>45713</v>
      </c>
      <c r="O661" s="75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2244</v>
      </c>
      <c r="B662" s="73" t="str">
        <f>IFERROR(VLOOKUP(Proc[[#This Row],[App]],Table2[],3,0),"open")</f>
        <v>ok</v>
      </c>
      <c r="C662" s="72" t="s">
        <v>369</v>
      </c>
      <c r="D662" t="s">
        <v>2245</v>
      </c>
      <c r="E662" t="s">
        <v>2256</v>
      </c>
      <c r="F662" s="73" t="s">
        <v>2255</v>
      </c>
      <c r="G662" t="s">
        <v>406</v>
      </c>
      <c r="H662" s="73" t="str">
        <f>IF(Proc[[#This Row],[type]]="LFF (MDG-F)",MID(Proc[[#This Row],[Obj]],13,10),"")</f>
        <v>DE10GIN006</v>
      </c>
      <c r="I662" t="s">
        <v>2257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75">
        <v>45712.411909722221</v>
      </c>
      <c r="N662" s="75">
        <v>45715</v>
      </c>
      <c r="O662" s="75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2244</v>
      </c>
      <c r="B663" s="73" t="str">
        <f>IFERROR(VLOOKUP(Proc[[#This Row],[App]],Table2[],3,0),"open")</f>
        <v>ok</v>
      </c>
      <c r="C663" s="72" t="s">
        <v>369</v>
      </c>
      <c r="D663" t="s">
        <v>2246</v>
      </c>
      <c r="E663" t="s">
        <v>2256</v>
      </c>
      <c r="F663" s="73" t="s">
        <v>2255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2258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75">
        <v>45712.411909722221</v>
      </c>
      <c r="N663" s="75">
        <v>45715</v>
      </c>
      <c r="O663" s="75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2244</v>
      </c>
      <c r="B664" s="73" t="str">
        <f>IFERROR(VLOOKUP(Proc[[#This Row],[App]],Table2[],3,0),"open")</f>
        <v>ok</v>
      </c>
      <c r="C664" s="72" t="s">
        <v>369</v>
      </c>
      <c r="D664" t="s">
        <v>2247</v>
      </c>
      <c r="E664" t="s">
        <v>2256</v>
      </c>
      <c r="F664" s="73" t="s">
        <v>2255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2270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75">
        <v>45712.411909722221</v>
      </c>
      <c r="N664" s="75">
        <v>45716</v>
      </c>
      <c r="O664" s="75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2244</v>
      </c>
      <c r="B665" s="73" t="str">
        <f>IFERROR(VLOOKUP(Proc[[#This Row],[App]],Table2[],3,0),"open")</f>
        <v>ok</v>
      </c>
      <c r="C665" s="72" t="s">
        <v>369</v>
      </c>
      <c r="D665" t="s">
        <v>2248</v>
      </c>
      <c r="E665" t="s">
        <v>2256</v>
      </c>
      <c r="F665" s="73" t="s">
        <v>2255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2259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75">
        <v>45712.411909722221</v>
      </c>
      <c r="N665" s="75">
        <v>45715</v>
      </c>
      <c r="O665" s="75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2244</v>
      </c>
      <c r="B666" s="73" t="str">
        <f>IFERROR(VLOOKUP(Proc[[#This Row],[App]],Table2[],3,0),"open")</f>
        <v>ok</v>
      </c>
      <c r="C666" s="72" t="s">
        <v>369</v>
      </c>
      <c r="D666" t="s">
        <v>2249</v>
      </c>
      <c r="E666" t="s">
        <v>2256</v>
      </c>
      <c r="F666" s="73" t="s">
        <v>2255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2260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5">
        <v>45712.411909722221</v>
      </c>
      <c r="N666" s="75">
        <v>45715</v>
      </c>
      <c r="O666" s="75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2244</v>
      </c>
      <c r="B667" s="73" t="str">
        <f>IFERROR(VLOOKUP(Proc[[#This Row],[App]],Table2[],3,0),"open")</f>
        <v>ok</v>
      </c>
      <c r="C667" s="72" t="s">
        <v>369</v>
      </c>
      <c r="D667" t="s">
        <v>2250</v>
      </c>
      <c r="E667" t="s">
        <v>2256</v>
      </c>
      <c r="F667" s="73" t="s">
        <v>2255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5">
        <v>45712.411909722221</v>
      </c>
      <c r="N667" s="75">
        <v>45715</v>
      </c>
      <c r="O667" s="75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2244</v>
      </c>
      <c r="B668" s="73" t="str">
        <f>IFERROR(VLOOKUP(Proc[[#This Row],[App]],Table2[],3,0),"open")</f>
        <v>ok</v>
      </c>
      <c r="C668" s="72" t="s">
        <v>369</v>
      </c>
      <c r="D668" t="s">
        <v>2251</v>
      </c>
      <c r="E668" t="s">
        <v>2256</v>
      </c>
      <c r="F668" s="73" t="s">
        <v>2255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5">
        <v>45712.411909722221</v>
      </c>
      <c r="N668" s="75">
        <v>45715</v>
      </c>
      <c r="O668" s="75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2244</v>
      </c>
      <c r="B669" s="73" t="str">
        <f>IFERROR(VLOOKUP(Proc[[#This Row],[App]],Table2[],3,0),"open")</f>
        <v>ok</v>
      </c>
      <c r="C669" s="72" t="s">
        <v>369</v>
      </c>
      <c r="D669" t="s">
        <v>2252</v>
      </c>
      <c r="E669" t="s">
        <v>2256</v>
      </c>
      <c r="F669" s="73" t="s">
        <v>2255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5">
        <v>45712.411909722221</v>
      </c>
      <c r="N669" s="75">
        <v>45715</v>
      </c>
      <c r="O669" s="75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2244</v>
      </c>
      <c r="B670" s="73" t="str">
        <f>IFERROR(VLOOKUP(Proc[[#This Row],[App]],Table2[],3,0),"open")</f>
        <v>ok</v>
      </c>
      <c r="C670" s="72" t="s">
        <v>369</v>
      </c>
      <c r="D670" t="s">
        <v>2253</v>
      </c>
      <c r="E670" t="s">
        <v>2256</v>
      </c>
      <c r="F670" s="73" t="s">
        <v>2255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5">
        <v>45712.411909722221</v>
      </c>
      <c r="N670" s="75">
        <v>45715</v>
      </c>
      <c r="O670" s="75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2244</v>
      </c>
      <c r="B671" s="73" t="str">
        <f>IFERROR(VLOOKUP(Proc[[#This Row],[App]],Table2[],3,0),"open")</f>
        <v>ok</v>
      </c>
      <c r="C671" s="72" t="s">
        <v>369</v>
      </c>
      <c r="D671" t="s">
        <v>2254</v>
      </c>
      <c r="E671" t="s">
        <v>2256</v>
      </c>
      <c r="F671" s="73" t="s">
        <v>2255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5">
        <v>45712.411909722221</v>
      </c>
      <c r="N671" s="75">
        <v>45715</v>
      </c>
      <c r="O671" s="75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2261</v>
      </c>
      <c r="B672" s="73" t="str">
        <f>IFERROR(VLOOKUP(Proc[[#This Row],[App]],Table2[],3,0),"open")</f>
        <v>ok</v>
      </c>
      <c r="C672" s="72" t="s">
        <v>369</v>
      </c>
      <c r="D672" t="s">
        <v>2262</v>
      </c>
      <c r="E672" t="s">
        <v>2266</v>
      </c>
      <c r="F672" s="73" t="s">
        <v>2268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75">
        <v>45712.395381944443</v>
      </c>
      <c r="N672" s="75">
        <v>45713</v>
      </c>
      <c r="O672" s="75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2261</v>
      </c>
      <c r="B673" s="73" t="str">
        <f>IFERROR(VLOOKUP(Proc[[#This Row],[App]],Table2[],3,0),"open")</f>
        <v>ok</v>
      </c>
      <c r="C673" s="72" t="s">
        <v>369</v>
      </c>
      <c r="D673" t="s">
        <v>2263</v>
      </c>
      <c r="E673" t="s">
        <v>2267</v>
      </c>
      <c r="F673" s="73" t="s">
        <v>2269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75">
        <v>45712.395381944443</v>
      </c>
      <c r="N673" s="75">
        <v>45713</v>
      </c>
      <c r="O673" s="75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2261</v>
      </c>
      <c r="B674" s="73" t="str">
        <f>IFERROR(VLOOKUP(Proc[[#This Row],[App]],Table2[],3,0),"open")</f>
        <v>ok</v>
      </c>
      <c r="C674" s="72" t="s">
        <v>369</v>
      </c>
      <c r="D674" t="s">
        <v>2264</v>
      </c>
      <c r="E674" t="s">
        <v>2267</v>
      </c>
      <c r="F674" s="73" t="s">
        <v>2269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75">
        <v>45712.395381944443</v>
      </c>
      <c r="N674" s="75">
        <v>45713</v>
      </c>
      <c r="O674" s="75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2261</v>
      </c>
      <c r="B675" s="73" t="str">
        <f>IFERROR(VLOOKUP(Proc[[#This Row],[App]],Table2[],3,0),"open")</f>
        <v>ok</v>
      </c>
      <c r="C675" s="72" t="s">
        <v>369</v>
      </c>
      <c r="D675" t="s">
        <v>2265</v>
      </c>
      <c r="E675" t="s">
        <v>2267</v>
      </c>
      <c r="F675" s="73" t="s">
        <v>2269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75">
        <v>45712.395381944443</v>
      </c>
      <c r="N675" s="75">
        <v>45713</v>
      </c>
      <c r="O675" s="75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2271</v>
      </c>
      <c r="B676" s="73" t="str">
        <f>IFERROR(VLOOKUP(Proc[[#This Row],[App]],Table2[],3,0),"open")</f>
        <v>ok</v>
      </c>
      <c r="C676" t="s">
        <v>369</v>
      </c>
      <c r="D676" t="s">
        <v>2272</v>
      </c>
      <c r="E676" t="s">
        <v>2275</v>
      </c>
      <c r="F676" s="73" t="s">
        <v>2278</v>
      </c>
      <c r="G676" t="s">
        <v>400</v>
      </c>
      <c r="H676" s="73" t="str">
        <f>IF(Proc[[#This Row],[type]]="LFF (MDG-F)",MID(Proc[[#This Row],[Obj]],13,10),"")</f>
        <v/>
      </c>
      <c r="I676" t="s">
        <v>2281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5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27</v>
      </c>
      <c r="R676" s="74" t="s">
        <v>502</v>
      </c>
      <c r="S676" s="73"/>
    </row>
    <row r="677" spans="1:19" hidden="1">
      <c r="A677" s="72" t="s">
        <v>2271</v>
      </c>
      <c r="B677" s="73" t="str">
        <f>IFERROR(VLOOKUP(Proc[[#This Row],[App]],Table2[],3,0),"open")</f>
        <v>ok</v>
      </c>
      <c r="C677" s="72" t="s">
        <v>369</v>
      </c>
      <c r="D677" t="s">
        <v>2273</v>
      </c>
      <c r="E677" t="s">
        <v>2276</v>
      </c>
      <c r="F677" s="73" t="s">
        <v>2279</v>
      </c>
      <c r="G677" s="72" t="s">
        <v>400</v>
      </c>
      <c r="H677" s="73" t="str">
        <f>IF(Proc[[#This Row],[type]]="LFF (MDG-F)",MID(Proc[[#This Row],[Obj]],13,10),"")</f>
        <v/>
      </c>
      <c r="I677" s="72" t="s">
        <v>2281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5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27</v>
      </c>
      <c r="R677" s="74" t="s">
        <v>502</v>
      </c>
      <c r="S677" s="73"/>
    </row>
    <row r="678" spans="1:19" hidden="1">
      <c r="A678" s="72" t="s">
        <v>2271</v>
      </c>
      <c r="B678" s="73" t="str">
        <f>IFERROR(VLOOKUP(Proc[[#This Row],[App]],Table2[],3,0),"open")</f>
        <v>ok</v>
      </c>
      <c r="C678" s="72" t="s">
        <v>369</v>
      </c>
      <c r="D678" t="s">
        <v>2274</v>
      </c>
      <c r="E678" t="s">
        <v>2277</v>
      </c>
      <c r="F678" s="73" t="s">
        <v>2280</v>
      </c>
      <c r="G678" s="72" t="s">
        <v>400</v>
      </c>
      <c r="H678" s="73" t="str">
        <f>IF(Proc[[#This Row],[type]]="LFF (MDG-F)",MID(Proc[[#This Row],[Obj]],13,10),"")</f>
        <v/>
      </c>
      <c r="I678" s="72" t="s">
        <v>2281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5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27</v>
      </c>
      <c r="R678" s="74" t="s">
        <v>502</v>
      </c>
      <c r="S678" s="73"/>
    </row>
    <row r="679" spans="1:19" hidden="1">
      <c r="A679" t="s">
        <v>2282</v>
      </c>
      <c r="B679" s="73" t="str">
        <f>IFERROR(VLOOKUP(Proc[[#This Row],[App]],Table2[],3,0),"open")</f>
        <v>ok</v>
      </c>
      <c r="C679" t="s">
        <v>369</v>
      </c>
      <c r="D679" t="s">
        <v>2283</v>
      </c>
      <c r="E679" t="s">
        <v>2284</v>
      </c>
      <c r="F679" s="73" t="s">
        <v>2285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5">
        <v>45713.229062500002</v>
      </c>
      <c r="N679" s="75">
        <v>45715</v>
      </c>
      <c r="O679" s="75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2282</v>
      </c>
      <c r="B680" s="73" t="str">
        <f>IFERROR(VLOOKUP(Proc[[#This Row],[App]],Table2[],3,0),"open")</f>
        <v>ok</v>
      </c>
      <c r="C680" s="72" t="s">
        <v>369</v>
      </c>
      <c r="D680" t="s">
        <v>2286</v>
      </c>
      <c r="E680" t="s">
        <v>2287</v>
      </c>
      <c r="F680" s="73" t="s">
        <v>2288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5">
        <v>45713.229062500002</v>
      </c>
      <c r="N680" s="75">
        <v>45715</v>
      </c>
      <c r="O680" s="75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2282</v>
      </c>
      <c r="B681" s="73" t="str">
        <f>IFERROR(VLOOKUP(Proc[[#This Row],[App]],Table2[],3,0),"open")</f>
        <v>ok</v>
      </c>
      <c r="C681" s="72" t="s">
        <v>369</v>
      </c>
      <c r="D681" t="s">
        <v>2289</v>
      </c>
      <c r="E681" t="s">
        <v>2287</v>
      </c>
      <c r="F681" s="73" t="s">
        <v>2288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5">
        <v>45713.229062500002</v>
      </c>
      <c r="N681" s="75">
        <v>45715</v>
      </c>
      <c r="O681" s="75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2282</v>
      </c>
      <c r="B682" s="73" t="str">
        <f>IFERROR(VLOOKUP(Proc[[#This Row],[App]],Table2[],3,0),"open")</f>
        <v>ok</v>
      </c>
      <c r="C682" s="72" t="s">
        <v>369</v>
      </c>
      <c r="D682" t="s">
        <v>2290</v>
      </c>
      <c r="E682" t="s">
        <v>2291</v>
      </c>
      <c r="F682" s="73" t="s">
        <v>2292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5">
        <v>45713.229062500002</v>
      </c>
      <c r="N682" s="75">
        <v>45715</v>
      </c>
      <c r="O682" s="75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2282</v>
      </c>
      <c r="B683" s="73" t="str">
        <f>IFERROR(VLOOKUP(Proc[[#This Row],[App]],Table2[],3,0),"open")</f>
        <v>ok</v>
      </c>
      <c r="C683" s="72" t="s">
        <v>369</v>
      </c>
      <c r="D683" t="s">
        <v>2293</v>
      </c>
      <c r="E683" t="s">
        <v>2294</v>
      </c>
      <c r="F683" s="73" t="s">
        <v>2295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5">
        <v>45713.229062500002</v>
      </c>
      <c r="N683" s="75">
        <v>45715</v>
      </c>
      <c r="O683" s="75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2282</v>
      </c>
      <c r="B684" s="73" t="str">
        <f>IFERROR(VLOOKUP(Proc[[#This Row],[App]],Table2[],3,0),"open")</f>
        <v>ok</v>
      </c>
      <c r="C684" s="72" t="s">
        <v>369</v>
      </c>
      <c r="D684" t="s">
        <v>2296</v>
      </c>
      <c r="E684" t="s">
        <v>2294</v>
      </c>
      <c r="F684" s="73" t="s">
        <v>2295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5">
        <v>45713.229062500002</v>
      </c>
      <c r="N684" s="75">
        <v>45715</v>
      </c>
      <c r="O684" s="75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2282</v>
      </c>
      <c r="B685" s="73" t="str">
        <f>IFERROR(VLOOKUP(Proc[[#This Row],[App]],Table2[],3,0),"open")</f>
        <v>ok</v>
      </c>
      <c r="C685" s="72" t="s">
        <v>369</v>
      </c>
      <c r="D685" t="s">
        <v>2297</v>
      </c>
      <c r="E685" t="s">
        <v>2291</v>
      </c>
      <c r="F685" s="73" t="s">
        <v>2292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5">
        <v>45713.229062500002</v>
      </c>
      <c r="N685" s="75">
        <v>45715</v>
      </c>
      <c r="O685" s="75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2282</v>
      </c>
      <c r="B686" s="73" t="str">
        <f>IFERROR(VLOOKUP(Proc[[#This Row],[App]],Table2[],3,0),"open")</f>
        <v>ok</v>
      </c>
      <c r="C686" s="72" t="s">
        <v>369</v>
      </c>
      <c r="D686" t="s">
        <v>2298</v>
      </c>
      <c r="E686" t="s">
        <v>2299</v>
      </c>
      <c r="F686" s="73" t="s">
        <v>2300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5">
        <v>45713.229062500002</v>
      </c>
      <c r="N686" s="75">
        <v>45715</v>
      </c>
      <c r="O686" s="75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2282</v>
      </c>
      <c r="B687" s="73" t="str">
        <f>IFERROR(VLOOKUP(Proc[[#This Row],[App]],Table2[],3,0),"open")</f>
        <v>ok</v>
      </c>
      <c r="C687" s="72" t="s">
        <v>369</v>
      </c>
      <c r="D687" t="s">
        <v>2301</v>
      </c>
      <c r="E687" t="s">
        <v>2299</v>
      </c>
      <c r="F687" s="73" t="s">
        <v>2300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5">
        <v>45713.229062500002</v>
      </c>
      <c r="N687" s="75">
        <v>45715</v>
      </c>
      <c r="O687" s="75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2282</v>
      </c>
      <c r="B688" s="73" t="str">
        <f>IFERROR(VLOOKUP(Proc[[#This Row],[App]],Table2[],3,0),"open")</f>
        <v>ok</v>
      </c>
      <c r="C688" s="72" t="s">
        <v>369</v>
      </c>
      <c r="D688" t="s">
        <v>2302</v>
      </c>
      <c r="E688" t="s">
        <v>2299</v>
      </c>
      <c r="F688" s="73" t="s">
        <v>2300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5">
        <v>45713.229062500002</v>
      </c>
      <c r="N688" s="75">
        <v>45715</v>
      </c>
      <c r="O688" s="75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2282</v>
      </c>
      <c r="B689" s="73" t="str">
        <f>IFERROR(VLOOKUP(Proc[[#This Row],[App]],Table2[],3,0),"open")</f>
        <v>ok</v>
      </c>
      <c r="C689" s="72" t="s">
        <v>369</v>
      </c>
      <c r="D689" t="s">
        <v>2303</v>
      </c>
      <c r="E689" t="s">
        <v>2299</v>
      </c>
      <c r="F689" s="73" t="s">
        <v>2300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5">
        <v>45713.229062500002</v>
      </c>
      <c r="N689" s="75">
        <v>45715</v>
      </c>
      <c r="O689" s="75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2282</v>
      </c>
      <c r="B690" s="73" t="str">
        <f>IFERROR(VLOOKUP(Proc[[#This Row],[App]],Table2[],3,0),"open")</f>
        <v>ok</v>
      </c>
      <c r="C690" s="72" t="s">
        <v>369</v>
      </c>
      <c r="D690" t="s">
        <v>2304</v>
      </c>
      <c r="E690" t="s">
        <v>2299</v>
      </c>
      <c r="F690" s="73" t="s">
        <v>2300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5">
        <v>45713.229062500002</v>
      </c>
      <c r="N690" s="75">
        <v>45715</v>
      </c>
      <c r="O690" s="75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2282</v>
      </c>
      <c r="B691" s="73" t="str">
        <f>IFERROR(VLOOKUP(Proc[[#This Row],[App]],Table2[],3,0),"open")</f>
        <v>ok</v>
      </c>
      <c r="C691" s="72" t="s">
        <v>369</v>
      </c>
      <c r="D691" t="s">
        <v>2305</v>
      </c>
      <c r="E691" t="s">
        <v>2299</v>
      </c>
      <c r="F691" s="73" t="s">
        <v>2300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5">
        <v>45713.229062500002</v>
      </c>
      <c r="N691" s="75">
        <v>45715</v>
      </c>
      <c r="O691" s="75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2282</v>
      </c>
      <c r="B692" s="73" t="str">
        <f>IFERROR(VLOOKUP(Proc[[#This Row],[App]],Table2[],3,0),"open")</f>
        <v>ok</v>
      </c>
      <c r="C692" s="72" t="s">
        <v>369</v>
      </c>
      <c r="D692" t="s">
        <v>2306</v>
      </c>
      <c r="E692" t="s">
        <v>2299</v>
      </c>
      <c r="F692" s="73" t="s">
        <v>2300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5">
        <v>45713.229062500002</v>
      </c>
      <c r="N692" s="75">
        <v>45715</v>
      </c>
      <c r="O692" s="75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2282</v>
      </c>
      <c r="B693" s="73" t="str">
        <f>IFERROR(VLOOKUP(Proc[[#This Row],[App]],Table2[],3,0),"open")</f>
        <v>ok</v>
      </c>
      <c r="C693" s="72" t="s">
        <v>369</v>
      </c>
      <c r="D693" t="s">
        <v>2307</v>
      </c>
      <c r="E693" t="s">
        <v>2308</v>
      </c>
      <c r="F693" s="73" t="s">
        <v>2309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5">
        <v>45713.229062500002</v>
      </c>
      <c r="N693" s="75">
        <v>45715</v>
      </c>
      <c r="O693" s="75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2282</v>
      </c>
      <c r="B694" s="73" t="str">
        <f>IFERROR(VLOOKUP(Proc[[#This Row],[App]],Table2[],3,0),"open")</f>
        <v>ok</v>
      </c>
      <c r="C694" s="72" t="s">
        <v>369</v>
      </c>
      <c r="D694" t="s">
        <v>2310</v>
      </c>
      <c r="E694" t="s">
        <v>2311</v>
      </c>
      <c r="F694" s="73" t="s">
        <v>2312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5">
        <v>45713.229062500002</v>
      </c>
      <c r="N694" s="75">
        <v>45715</v>
      </c>
      <c r="O694" s="75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2282</v>
      </c>
      <c r="B695" s="73" t="str">
        <f>IFERROR(VLOOKUP(Proc[[#This Row],[App]],Table2[],3,0),"open")</f>
        <v>ok</v>
      </c>
      <c r="C695" s="72" t="s">
        <v>369</v>
      </c>
      <c r="D695" t="s">
        <v>2313</v>
      </c>
      <c r="E695" t="s">
        <v>2314</v>
      </c>
      <c r="F695" s="73" t="s">
        <v>2315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5">
        <v>45713.229062500002</v>
      </c>
      <c r="N695" s="75">
        <v>45715</v>
      </c>
      <c r="O695" s="75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2282</v>
      </c>
      <c r="B696" s="73" t="str">
        <f>IFERROR(VLOOKUP(Proc[[#This Row],[App]],Table2[],3,0),"open")</f>
        <v>ok</v>
      </c>
      <c r="C696" s="72" t="s">
        <v>369</v>
      </c>
      <c r="D696" t="s">
        <v>2316</v>
      </c>
      <c r="E696" t="s">
        <v>2317</v>
      </c>
      <c r="F696" s="73" t="s">
        <v>2318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5">
        <v>45713.229062500002</v>
      </c>
      <c r="N696" s="75">
        <v>45715</v>
      </c>
      <c r="O696" s="75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2282</v>
      </c>
      <c r="B697" s="73" t="str">
        <f>IFERROR(VLOOKUP(Proc[[#This Row],[App]],Table2[],3,0),"open")</f>
        <v>ok</v>
      </c>
      <c r="C697" s="72" t="s">
        <v>369</v>
      </c>
      <c r="D697" t="s">
        <v>2319</v>
      </c>
      <c r="E697" t="s">
        <v>2317</v>
      </c>
      <c r="F697" s="73" t="s">
        <v>2318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5">
        <v>45713.229062500002</v>
      </c>
      <c r="N697" s="75">
        <v>45715</v>
      </c>
      <c r="O697" s="75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2282</v>
      </c>
      <c r="B698" s="73" t="str">
        <f>IFERROR(VLOOKUP(Proc[[#This Row],[App]],Table2[],3,0),"open")</f>
        <v>ok</v>
      </c>
      <c r="C698" s="72" t="s">
        <v>369</v>
      </c>
      <c r="D698" t="s">
        <v>2320</v>
      </c>
      <c r="E698" t="s">
        <v>2311</v>
      </c>
      <c r="F698" s="73" t="s">
        <v>2318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5">
        <v>45713.229062500002</v>
      </c>
      <c r="N698" s="75">
        <v>45715</v>
      </c>
      <c r="O698" s="75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2282</v>
      </c>
      <c r="B699" s="73" t="str">
        <f>IFERROR(VLOOKUP(Proc[[#This Row],[App]],Table2[],3,0),"open")</f>
        <v>ok</v>
      </c>
      <c r="C699" s="72" t="s">
        <v>369</v>
      </c>
      <c r="D699" t="s">
        <v>2321</v>
      </c>
      <c r="E699" t="s">
        <v>2311</v>
      </c>
      <c r="F699" s="73" t="s">
        <v>2318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5">
        <v>45713.229062500002</v>
      </c>
      <c r="N699" s="75">
        <v>45715</v>
      </c>
      <c r="O699" s="75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2282</v>
      </c>
      <c r="B700" s="73" t="str">
        <f>IFERROR(VLOOKUP(Proc[[#This Row],[App]],Table2[],3,0),"open")</f>
        <v>ok</v>
      </c>
      <c r="C700" s="72" t="s">
        <v>369</v>
      </c>
      <c r="D700" t="s">
        <v>2322</v>
      </c>
      <c r="E700" t="s">
        <v>2311</v>
      </c>
      <c r="F700" s="73" t="s">
        <v>2318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5">
        <v>45713.229062500002</v>
      </c>
      <c r="N700" s="75">
        <v>45715</v>
      </c>
      <c r="O700" s="75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2282</v>
      </c>
      <c r="B701" s="73" t="str">
        <f>IFERROR(VLOOKUP(Proc[[#This Row],[App]],Table2[],3,0),"open")</f>
        <v>ok</v>
      </c>
      <c r="C701" s="72" t="s">
        <v>369</v>
      </c>
      <c r="D701" t="s">
        <v>2323</v>
      </c>
      <c r="E701" t="s">
        <v>2291</v>
      </c>
      <c r="F701" s="73" t="s">
        <v>2292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5">
        <v>45713.229062500002</v>
      </c>
      <c r="N701" s="75">
        <v>45715</v>
      </c>
      <c r="O701" s="75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2282</v>
      </c>
      <c r="B702" s="73" t="str">
        <f>IFERROR(VLOOKUP(Proc[[#This Row],[App]],Table2[],3,0),"open")</f>
        <v>ok</v>
      </c>
      <c r="C702" s="72" t="s">
        <v>369</v>
      </c>
      <c r="D702" t="s">
        <v>2324</v>
      </c>
      <c r="E702" t="s">
        <v>2325</v>
      </c>
      <c r="F702" s="73" t="s">
        <v>2326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5">
        <v>45713.229062500002</v>
      </c>
      <c r="N702" s="75">
        <v>45715</v>
      </c>
      <c r="O702" s="75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2282</v>
      </c>
      <c r="B703" s="73" t="str">
        <f>IFERROR(VLOOKUP(Proc[[#This Row],[App]],Table2[],3,0),"open")</f>
        <v>ok</v>
      </c>
      <c r="C703" s="72" t="s">
        <v>369</v>
      </c>
      <c r="D703" t="s">
        <v>2327</v>
      </c>
      <c r="E703" t="s">
        <v>2328</v>
      </c>
      <c r="F703" s="73" t="s">
        <v>2326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5">
        <v>45713.229062500002</v>
      </c>
      <c r="N703" s="75">
        <v>45715</v>
      </c>
      <c r="O703" s="75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2282</v>
      </c>
      <c r="B704" s="73" t="str">
        <f>IFERROR(VLOOKUP(Proc[[#This Row],[App]],Table2[],3,0),"open")</f>
        <v>ok</v>
      </c>
      <c r="C704" s="72" t="s">
        <v>369</v>
      </c>
      <c r="D704" t="s">
        <v>2329</v>
      </c>
      <c r="E704" t="s">
        <v>2328</v>
      </c>
      <c r="F704" s="73" t="s">
        <v>2326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5">
        <v>45713.229062500002</v>
      </c>
      <c r="N704" s="75">
        <v>45715</v>
      </c>
      <c r="O704" s="75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2282</v>
      </c>
      <c r="B705" s="73" t="str">
        <f>IFERROR(VLOOKUP(Proc[[#This Row],[App]],Table2[],3,0),"open")</f>
        <v>ok</v>
      </c>
      <c r="C705" s="72" t="s">
        <v>369</v>
      </c>
      <c r="D705" t="s">
        <v>2330</v>
      </c>
      <c r="E705" t="s">
        <v>2328</v>
      </c>
      <c r="F705" s="73" t="s">
        <v>2326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5">
        <v>45713.229062500002</v>
      </c>
      <c r="N705" s="75">
        <v>45715</v>
      </c>
      <c r="O705" s="75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2282</v>
      </c>
      <c r="B706" s="73" t="str">
        <f>IFERROR(VLOOKUP(Proc[[#This Row],[App]],Table2[],3,0),"open")</f>
        <v>ok</v>
      </c>
      <c r="C706" s="72" t="s">
        <v>369</v>
      </c>
      <c r="D706" t="s">
        <v>2331</v>
      </c>
      <c r="E706" t="s">
        <v>2328</v>
      </c>
      <c r="F706" s="73" t="s">
        <v>2326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5">
        <v>45713.229062500002</v>
      </c>
      <c r="N706" s="75">
        <v>45715</v>
      </c>
      <c r="O706" s="75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2282</v>
      </c>
      <c r="B707" s="73" t="str">
        <f>IFERROR(VLOOKUP(Proc[[#This Row],[App]],Table2[],3,0),"open")</f>
        <v>ok</v>
      </c>
      <c r="C707" s="72" t="s">
        <v>369</v>
      </c>
      <c r="D707" t="s">
        <v>2332</v>
      </c>
      <c r="E707" t="s">
        <v>2328</v>
      </c>
      <c r="F707" s="73" t="s">
        <v>2326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5">
        <v>45713.229062500002</v>
      </c>
      <c r="N707" s="75">
        <v>45715</v>
      </c>
      <c r="O707" s="75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2282</v>
      </c>
      <c r="B708" s="73" t="str">
        <f>IFERROR(VLOOKUP(Proc[[#This Row],[App]],Table2[],3,0),"open")</f>
        <v>ok</v>
      </c>
      <c r="C708" s="72" t="s">
        <v>369</v>
      </c>
      <c r="D708" t="s">
        <v>2333</v>
      </c>
      <c r="E708" t="s">
        <v>2328</v>
      </c>
      <c r="F708" s="73" t="s">
        <v>2326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5">
        <v>45713.229062500002</v>
      </c>
      <c r="N708" s="75">
        <v>45715</v>
      </c>
      <c r="O708" s="75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2282</v>
      </c>
      <c r="B709" s="73" t="str">
        <f>IFERROR(VLOOKUP(Proc[[#This Row],[App]],Table2[],3,0),"open")</f>
        <v>ok</v>
      </c>
      <c r="C709" s="72" t="s">
        <v>369</v>
      </c>
      <c r="D709" t="s">
        <v>2334</v>
      </c>
      <c r="E709" t="s">
        <v>2335</v>
      </c>
      <c r="F709" s="73" t="s">
        <v>2336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5">
        <v>45713.229062500002</v>
      </c>
      <c r="N709" s="75">
        <v>45715</v>
      </c>
      <c r="O709" s="75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2282</v>
      </c>
      <c r="B710" s="73" t="str">
        <f>IFERROR(VLOOKUP(Proc[[#This Row],[App]],Table2[],3,0),"open")</f>
        <v>ok</v>
      </c>
      <c r="C710" s="72" t="s">
        <v>369</v>
      </c>
      <c r="D710" t="s">
        <v>2337</v>
      </c>
      <c r="E710" t="s">
        <v>2335</v>
      </c>
      <c r="F710" s="73" t="s">
        <v>2336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5">
        <v>45713.229062500002</v>
      </c>
      <c r="N710" s="75">
        <v>45715</v>
      </c>
      <c r="O710" s="75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2282</v>
      </c>
      <c r="B711" s="73" t="str">
        <f>IFERROR(VLOOKUP(Proc[[#This Row],[App]],Table2[],3,0),"open")</f>
        <v>ok</v>
      </c>
      <c r="C711" s="72" t="s">
        <v>369</v>
      </c>
      <c r="D711" t="s">
        <v>2338</v>
      </c>
      <c r="E711" t="s">
        <v>2339</v>
      </c>
      <c r="F711" s="73" t="s">
        <v>2340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5">
        <v>45713.229062500002</v>
      </c>
      <c r="N711" s="75">
        <v>45715</v>
      </c>
      <c r="O711" s="75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2282</v>
      </c>
      <c r="B712" s="73" t="str">
        <f>IFERROR(VLOOKUP(Proc[[#This Row],[App]],Table2[],3,0),"open")</f>
        <v>ok</v>
      </c>
      <c r="C712" s="72" t="s">
        <v>369</v>
      </c>
      <c r="D712" t="s">
        <v>2341</v>
      </c>
      <c r="E712" t="s">
        <v>2342</v>
      </c>
      <c r="F712" s="73" t="s">
        <v>2343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5">
        <v>45713.229062500002</v>
      </c>
      <c r="N712" s="75">
        <v>45715</v>
      </c>
      <c r="O712" s="75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2282</v>
      </c>
      <c r="B713" s="73" t="str">
        <f>IFERROR(VLOOKUP(Proc[[#This Row],[App]],Table2[],3,0),"open")</f>
        <v>ok</v>
      </c>
      <c r="C713" s="72" t="s">
        <v>369</v>
      </c>
      <c r="D713" t="s">
        <v>2344</v>
      </c>
      <c r="E713" t="s">
        <v>2342</v>
      </c>
      <c r="F713" s="73" t="s">
        <v>2343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5">
        <v>45713.229062500002</v>
      </c>
      <c r="N713" s="75">
        <v>45715</v>
      </c>
      <c r="O713" s="75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2282</v>
      </c>
      <c r="B714" s="73" t="str">
        <f>IFERROR(VLOOKUP(Proc[[#This Row],[App]],Table2[],3,0),"open")</f>
        <v>ok</v>
      </c>
      <c r="C714" s="72" t="s">
        <v>369</v>
      </c>
      <c r="D714" t="s">
        <v>2345</v>
      </c>
      <c r="E714" t="s">
        <v>2342</v>
      </c>
      <c r="F714" s="73" t="s">
        <v>2343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5">
        <v>45713.229062500002</v>
      </c>
      <c r="N714" s="75">
        <v>45715</v>
      </c>
      <c r="O714" s="75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2282</v>
      </c>
      <c r="B715" s="73" t="str">
        <f>IFERROR(VLOOKUP(Proc[[#This Row],[App]],Table2[],3,0),"open")</f>
        <v>ok</v>
      </c>
      <c r="C715" s="72" t="s">
        <v>369</v>
      </c>
      <c r="D715" t="s">
        <v>2346</v>
      </c>
      <c r="E715" t="s">
        <v>2342</v>
      </c>
      <c r="F715" s="73" t="s">
        <v>2343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5">
        <v>45713.229062500002</v>
      </c>
      <c r="N715" s="75">
        <v>45715</v>
      </c>
      <c r="O715" s="75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2282</v>
      </c>
      <c r="B716" s="73" t="str">
        <f>IFERROR(VLOOKUP(Proc[[#This Row],[App]],Table2[],3,0),"open")</f>
        <v>ok</v>
      </c>
      <c r="C716" s="72" t="s">
        <v>369</v>
      </c>
      <c r="D716" t="s">
        <v>2347</v>
      </c>
      <c r="E716" t="s">
        <v>2348</v>
      </c>
      <c r="F716" s="73" t="s">
        <v>2349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5">
        <v>45713.229062500002</v>
      </c>
      <c r="N716" s="75">
        <v>45715</v>
      </c>
      <c r="O716" s="75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2282</v>
      </c>
      <c r="B717" s="73" t="str">
        <f>IFERROR(VLOOKUP(Proc[[#This Row],[App]],Table2[],3,0),"open")</f>
        <v>ok</v>
      </c>
      <c r="C717" s="72" t="s">
        <v>369</v>
      </c>
      <c r="D717" t="s">
        <v>2350</v>
      </c>
      <c r="E717" t="s">
        <v>2342</v>
      </c>
      <c r="F717" s="73" t="s">
        <v>2351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5">
        <v>45713.229062500002</v>
      </c>
      <c r="N717" s="75">
        <v>45715</v>
      </c>
      <c r="O717" s="75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2282</v>
      </c>
      <c r="B718" s="73" t="str">
        <f>IFERROR(VLOOKUP(Proc[[#This Row],[App]],Table2[],3,0),"open")</f>
        <v>ok</v>
      </c>
      <c r="C718" s="72" t="s">
        <v>369</v>
      </c>
      <c r="D718" t="s">
        <v>2352</v>
      </c>
      <c r="E718" t="s">
        <v>2342</v>
      </c>
      <c r="F718" s="73" t="s">
        <v>2351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5">
        <v>45713.229062500002</v>
      </c>
      <c r="N718" s="75">
        <v>45715</v>
      </c>
      <c r="O718" s="75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2282</v>
      </c>
      <c r="B719" s="73" t="str">
        <f>IFERROR(VLOOKUP(Proc[[#This Row],[App]],Table2[],3,0),"open")</f>
        <v>ok</v>
      </c>
      <c r="C719" s="72" t="s">
        <v>369</v>
      </c>
      <c r="D719" t="s">
        <v>2353</v>
      </c>
      <c r="E719" t="s">
        <v>2342</v>
      </c>
      <c r="F719" s="73" t="s">
        <v>2351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5">
        <v>45713.229062500002</v>
      </c>
      <c r="N719" s="75">
        <v>45715</v>
      </c>
      <c r="O719" s="75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2282</v>
      </c>
      <c r="B720" s="73" t="str">
        <f>IFERROR(VLOOKUP(Proc[[#This Row],[App]],Table2[],3,0),"open")</f>
        <v>ok</v>
      </c>
      <c r="C720" s="72" t="s">
        <v>369</v>
      </c>
      <c r="D720" t="s">
        <v>2354</v>
      </c>
      <c r="E720" t="s">
        <v>2291</v>
      </c>
      <c r="F720" s="73" t="s">
        <v>2292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5">
        <v>45713.229062500002</v>
      </c>
      <c r="N720" s="75">
        <v>45715</v>
      </c>
      <c r="O720" s="75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2282</v>
      </c>
      <c r="B721" s="73" t="str">
        <f>IFERROR(VLOOKUP(Proc[[#This Row],[App]],Table2[],3,0),"open")</f>
        <v>ok</v>
      </c>
      <c r="C721" s="72" t="s">
        <v>369</v>
      </c>
      <c r="D721" t="s">
        <v>2355</v>
      </c>
      <c r="E721" t="s">
        <v>2356</v>
      </c>
      <c r="F721" s="73" t="s">
        <v>2357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5">
        <v>45713.229062500002</v>
      </c>
      <c r="N721" s="75">
        <v>45715</v>
      </c>
      <c r="O721" s="75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2282</v>
      </c>
      <c r="B722" s="73" t="str">
        <f>IFERROR(VLOOKUP(Proc[[#This Row],[App]],Table2[],3,0),"open")</f>
        <v>ok</v>
      </c>
      <c r="C722" s="72" t="s">
        <v>369</v>
      </c>
      <c r="D722" t="s">
        <v>2358</v>
      </c>
      <c r="E722" t="s">
        <v>2342</v>
      </c>
      <c r="F722" s="73" t="s">
        <v>2359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5">
        <v>45713.229062500002</v>
      </c>
      <c r="N722" s="75">
        <v>45715</v>
      </c>
      <c r="O722" s="75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2282</v>
      </c>
      <c r="B723" s="73" t="str">
        <f>IFERROR(VLOOKUP(Proc[[#This Row],[App]],Table2[],3,0),"open")</f>
        <v>ok</v>
      </c>
      <c r="C723" s="72" t="s">
        <v>369</v>
      </c>
      <c r="D723" t="s">
        <v>2360</v>
      </c>
      <c r="E723" t="s">
        <v>2342</v>
      </c>
      <c r="F723" s="73" t="s">
        <v>2359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5">
        <v>45713.229062500002</v>
      </c>
      <c r="N723" s="75">
        <v>45715</v>
      </c>
      <c r="O723" s="75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2282</v>
      </c>
      <c r="B724" s="73" t="str">
        <f>IFERROR(VLOOKUP(Proc[[#This Row],[App]],Table2[],3,0),"open")</f>
        <v>ok</v>
      </c>
      <c r="C724" s="72" t="s">
        <v>369</v>
      </c>
      <c r="D724" t="s">
        <v>2361</v>
      </c>
      <c r="E724" t="s">
        <v>2362</v>
      </c>
      <c r="F724" s="73" t="s">
        <v>2363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5">
        <v>45713.229062500002</v>
      </c>
      <c r="N724" s="75">
        <v>45715</v>
      </c>
      <c r="O724" s="75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2390</v>
      </c>
      <c r="B725" s="73" t="str">
        <f>IFERROR(VLOOKUP(Proc[[#This Row],[App]],Table2[],3,0),"open")</f>
        <v>ok</v>
      </c>
      <c r="C725" s="72" t="s">
        <v>369</v>
      </c>
      <c r="D725" t="s">
        <v>2364</v>
      </c>
      <c r="E725" t="s">
        <v>2365</v>
      </c>
      <c r="F725" s="73" t="s">
        <v>2366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5">
        <v>45713.21603009259</v>
      </c>
      <c r="N725" s="75">
        <v>45715</v>
      </c>
      <c r="O725" s="75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2390</v>
      </c>
      <c r="B726" s="73" t="str">
        <f>IFERROR(VLOOKUP(Proc[[#This Row],[App]],Table2[],3,0),"open")</f>
        <v>ok</v>
      </c>
      <c r="C726" s="72" t="s">
        <v>369</v>
      </c>
      <c r="D726" t="s">
        <v>2367</v>
      </c>
      <c r="E726" t="s">
        <v>2365</v>
      </c>
      <c r="F726" s="73" t="s">
        <v>2366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5">
        <v>45713.21603009259</v>
      </c>
      <c r="N726" s="75">
        <v>45715</v>
      </c>
      <c r="O726" s="75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2390</v>
      </c>
      <c r="B727" s="73" t="str">
        <f>IFERROR(VLOOKUP(Proc[[#This Row],[App]],Table2[],3,0),"open")</f>
        <v>ok</v>
      </c>
      <c r="C727" s="72" t="s">
        <v>369</v>
      </c>
      <c r="D727" t="s">
        <v>2368</v>
      </c>
      <c r="E727" t="s">
        <v>2365</v>
      </c>
      <c r="F727" s="73" t="s">
        <v>2369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5">
        <v>45713.21603009259</v>
      </c>
      <c r="N727" s="75">
        <v>45715</v>
      </c>
      <c r="O727" s="75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2390</v>
      </c>
      <c r="B728" s="73" t="str">
        <f>IFERROR(VLOOKUP(Proc[[#This Row],[App]],Table2[],3,0),"open")</f>
        <v>ok</v>
      </c>
      <c r="C728" s="72" t="s">
        <v>369</v>
      </c>
      <c r="D728" t="s">
        <v>2370</v>
      </c>
      <c r="E728" t="s">
        <v>2365</v>
      </c>
      <c r="F728" s="73" t="s">
        <v>2371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5">
        <v>45713.21603009259</v>
      </c>
      <c r="N728" s="75">
        <v>45715</v>
      </c>
      <c r="O728" s="75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2390</v>
      </c>
      <c r="B729" s="73" t="str">
        <f>IFERROR(VLOOKUP(Proc[[#This Row],[App]],Table2[],3,0),"open")</f>
        <v>ok</v>
      </c>
      <c r="C729" s="72" t="s">
        <v>369</v>
      </c>
      <c r="D729" t="s">
        <v>2372</v>
      </c>
      <c r="E729" t="s">
        <v>2365</v>
      </c>
      <c r="F729" s="73" t="s">
        <v>2373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5">
        <v>45713.21603009259</v>
      </c>
      <c r="N729" s="75">
        <v>45715</v>
      </c>
      <c r="O729" s="75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2390</v>
      </c>
      <c r="B730" s="73" t="str">
        <f>IFERROR(VLOOKUP(Proc[[#This Row],[App]],Table2[],3,0),"open")</f>
        <v>ok</v>
      </c>
      <c r="C730" s="72" t="s">
        <v>369</v>
      </c>
      <c r="D730" t="s">
        <v>2374</v>
      </c>
      <c r="E730" t="s">
        <v>2365</v>
      </c>
      <c r="F730" s="73" t="s">
        <v>2375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5">
        <v>45713.21603009259</v>
      </c>
      <c r="N730" s="75">
        <v>45715</v>
      </c>
      <c r="O730" s="75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2390</v>
      </c>
      <c r="B731" s="73" t="str">
        <f>IFERROR(VLOOKUP(Proc[[#This Row],[App]],Table2[],3,0),"open")</f>
        <v>ok</v>
      </c>
      <c r="C731" s="72" t="s">
        <v>369</v>
      </c>
      <c r="D731" t="s">
        <v>2376</v>
      </c>
      <c r="E731" t="s">
        <v>2365</v>
      </c>
      <c r="F731" s="73" t="s">
        <v>2377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5">
        <v>45713.21603009259</v>
      </c>
      <c r="N731" s="75">
        <v>45715</v>
      </c>
      <c r="O731" s="75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2390</v>
      </c>
      <c r="B732" s="73" t="str">
        <f>IFERROR(VLOOKUP(Proc[[#This Row],[App]],Table2[],3,0),"open")</f>
        <v>ok</v>
      </c>
      <c r="C732" s="72" t="s">
        <v>369</v>
      </c>
      <c r="D732" t="s">
        <v>2378</v>
      </c>
      <c r="E732" t="s">
        <v>2365</v>
      </c>
      <c r="F732" s="73" t="s">
        <v>2379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5">
        <v>45713.21603009259</v>
      </c>
      <c r="N732" s="75">
        <v>45715</v>
      </c>
      <c r="O732" s="75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2390</v>
      </c>
      <c r="B733" s="73" t="str">
        <f>IFERROR(VLOOKUP(Proc[[#This Row],[App]],Table2[],3,0),"open")</f>
        <v>ok</v>
      </c>
      <c r="C733" s="72" t="s">
        <v>369</v>
      </c>
      <c r="D733" t="s">
        <v>2380</v>
      </c>
      <c r="E733" t="s">
        <v>2365</v>
      </c>
      <c r="F733" s="73" t="s">
        <v>2381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5">
        <v>45713.21603009259</v>
      </c>
      <c r="N733" s="75">
        <v>45715</v>
      </c>
      <c r="O733" s="75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2390</v>
      </c>
      <c r="B734" s="73" t="str">
        <f>IFERROR(VLOOKUP(Proc[[#This Row],[App]],Table2[],3,0),"open")</f>
        <v>ok</v>
      </c>
      <c r="C734" s="72" t="s">
        <v>369</v>
      </c>
      <c r="D734" t="s">
        <v>2382</v>
      </c>
      <c r="E734" t="s">
        <v>2365</v>
      </c>
      <c r="F734" s="73" t="s">
        <v>2383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5">
        <v>45713.21603009259</v>
      </c>
      <c r="N734" s="75">
        <v>45715</v>
      </c>
      <c r="O734" s="75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2390</v>
      </c>
      <c r="B735" s="73" t="str">
        <f>IFERROR(VLOOKUP(Proc[[#This Row],[App]],Table2[],3,0),"open")</f>
        <v>ok</v>
      </c>
      <c r="C735" s="72" t="s">
        <v>369</v>
      </c>
      <c r="D735" t="s">
        <v>2384</v>
      </c>
      <c r="E735" t="s">
        <v>2365</v>
      </c>
      <c r="F735" s="73" t="s">
        <v>2375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5">
        <v>45713.21603009259</v>
      </c>
      <c r="N735" s="75">
        <v>45715</v>
      </c>
      <c r="O735" s="75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2390</v>
      </c>
      <c r="B736" s="73" t="str">
        <f>IFERROR(VLOOKUP(Proc[[#This Row],[App]],Table2[],3,0),"open")</f>
        <v>ok</v>
      </c>
      <c r="C736" s="72" t="s">
        <v>369</v>
      </c>
      <c r="D736" t="s">
        <v>2385</v>
      </c>
      <c r="E736" t="s">
        <v>2365</v>
      </c>
      <c r="F736" s="73" t="s">
        <v>2375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5">
        <v>45713.21603009259</v>
      </c>
      <c r="N736" s="75">
        <v>45715</v>
      </c>
      <c r="O736" s="75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2390</v>
      </c>
      <c r="B737" s="73" t="str">
        <f>IFERROR(VLOOKUP(Proc[[#This Row],[App]],Table2[],3,0),"open")</f>
        <v>ok</v>
      </c>
      <c r="C737" s="72" t="s">
        <v>369</v>
      </c>
      <c r="D737" t="s">
        <v>2386</v>
      </c>
      <c r="E737" t="s">
        <v>2387</v>
      </c>
      <c r="F737" s="73" t="s">
        <v>2388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5">
        <v>45713.21603009259</v>
      </c>
      <c r="N737" s="75">
        <v>45715</v>
      </c>
      <c r="O737" s="75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2390</v>
      </c>
      <c r="B738" s="73" t="str">
        <f>IFERROR(VLOOKUP(Proc[[#This Row],[App]],Table2[],3,0),"open")</f>
        <v>ok</v>
      </c>
      <c r="C738" s="72" t="s">
        <v>369</v>
      </c>
      <c r="D738" t="s">
        <v>2389</v>
      </c>
      <c r="E738" t="s">
        <v>2387</v>
      </c>
      <c r="F738" s="73" t="s">
        <v>2388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5">
        <v>45713.21603009259</v>
      </c>
      <c r="N738" s="75">
        <v>45715</v>
      </c>
      <c r="O738" s="75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2411</v>
      </c>
      <c r="B739" s="73" t="str">
        <f>IFERROR(VLOOKUP(Proc[[#This Row],[App]],Table2[],3,0),"open")</f>
        <v>ok</v>
      </c>
      <c r="C739" t="s">
        <v>369</v>
      </c>
      <c r="D739" t="s">
        <v>2391</v>
      </c>
      <c r="E739" t="s">
        <v>2392</v>
      </c>
      <c r="F739" s="73" t="s">
        <v>2412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5">
        <v>45713.460798611108</v>
      </c>
      <c r="N739" s="75">
        <v>45715</v>
      </c>
      <c r="O739" s="75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1003</v>
      </c>
      <c r="S739" s="73"/>
    </row>
    <row r="740" spans="1:19" hidden="1">
      <c r="A740" s="72" t="s">
        <v>2411</v>
      </c>
      <c r="B740" s="73" t="str">
        <f>IFERROR(VLOOKUP(Proc[[#This Row],[App]],Table2[],3,0),"open")</f>
        <v>ok</v>
      </c>
      <c r="C740" s="72" t="s">
        <v>369</v>
      </c>
      <c r="D740" t="s">
        <v>2393</v>
      </c>
      <c r="E740" t="s">
        <v>2392</v>
      </c>
      <c r="F740" s="73" t="s">
        <v>2412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5">
        <v>45713.460798611108</v>
      </c>
      <c r="N740" s="75">
        <v>45715</v>
      </c>
      <c r="O740" s="75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1003</v>
      </c>
      <c r="S740" s="73"/>
    </row>
    <row r="741" spans="1:19" hidden="1">
      <c r="A741" s="72" t="s">
        <v>2411</v>
      </c>
      <c r="B741" s="73" t="str">
        <f>IFERROR(VLOOKUP(Proc[[#This Row],[App]],Table2[],3,0),"open")</f>
        <v>ok</v>
      </c>
      <c r="C741" s="72" t="s">
        <v>369</v>
      </c>
      <c r="D741" t="s">
        <v>2393</v>
      </c>
      <c r="E741" t="s">
        <v>2392</v>
      </c>
      <c r="F741" s="73" t="s">
        <v>2412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5">
        <v>45713.460798611108</v>
      </c>
      <c r="N741" s="75">
        <v>45715</v>
      </c>
      <c r="O741" s="75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1003</v>
      </c>
      <c r="S741" s="73"/>
    </row>
    <row r="742" spans="1:19" hidden="1">
      <c r="A742" s="72" t="s">
        <v>2411</v>
      </c>
      <c r="B742" s="73" t="str">
        <f>IFERROR(VLOOKUP(Proc[[#This Row],[App]],Table2[],3,0),"open")</f>
        <v>ok</v>
      </c>
      <c r="C742" t="s">
        <v>369</v>
      </c>
      <c r="D742" t="s">
        <v>2394</v>
      </c>
      <c r="E742" t="s">
        <v>1285</v>
      </c>
      <c r="F742" s="73" t="s">
        <v>1087</v>
      </c>
      <c r="G742" s="72" t="s">
        <v>400</v>
      </c>
      <c r="H742" s="73" t="str">
        <f>IF(Proc[[#This Row],[type]]="LFF (MDG-F)",MID(Proc[[#This Row],[Obj]],13,10),"")</f>
        <v/>
      </c>
      <c r="I742" t="s">
        <v>1250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5">
        <v>45713.460798611108</v>
      </c>
      <c r="N742" s="75">
        <v>45715</v>
      </c>
      <c r="O742" s="75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1003</v>
      </c>
      <c r="S742" s="73"/>
    </row>
    <row r="743" spans="1:19" hidden="1">
      <c r="A743" s="72" t="s">
        <v>2411</v>
      </c>
      <c r="B743" s="73" t="str">
        <f>IFERROR(VLOOKUP(Proc[[#This Row],[App]],Table2[],3,0),"open")</f>
        <v>ok</v>
      </c>
      <c r="C743" s="72" t="s">
        <v>369</v>
      </c>
      <c r="D743" t="s">
        <v>2395</v>
      </c>
      <c r="E743" t="s">
        <v>1285</v>
      </c>
      <c r="F743" s="73" t="s">
        <v>1316</v>
      </c>
      <c r="G743" s="72" t="s">
        <v>400</v>
      </c>
      <c r="H743" s="73" t="str">
        <f>IF(Proc[[#This Row],[type]]="LFF (MDG-F)",MID(Proc[[#This Row],[Obj]],13,10),"")</f>
        <v/>
      </c>
      <c r="I743" s="72" t="s">
        <v>1250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5">
        <v>45713.460798611108</v>
      </c>
      <c r="N743" s="75">
        <v>45715</v>
      </c>
      <c r="O743" s="75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1003</v>
      </c>
      <c r="S743" s="73"/>
    </row>
    <row r="744" spans="1:19" hidden="1">
      <c r="A744" s="72" t="s">
        <v>2411</v>
      </c>
      <c r="B744" s="73" t="str">
        <f>IFERROR(VLOOKUP(Proc[[#This Row],[App]],Table2[],3,0),"open")</f>
        <v>ok</v>
      </c>
      <c r="C744" s="72" t="s">
        <v>369</v>
      </c>
      <c r="D744" t="s">
        <v>2396</v>
      </c>
      <c r="E744" t="s">
        <v>1285</v>
      </c>
      <c r="F744" s="73" t="s">
        <v>2413</v>
      </c>
      <c r="G744" s="72" t="s">
        <v>400</v>
      </c>
      <c r="H744" s="73" t="str">
        <f>IF(Proc[[#This Row],[type]]="LFF (MDG-F)",MID(Proc[[#This Row],[Obj]],13,10),"")</f>
        <v/>
      </c>
      <c r="I744" s="72" t="s">
        <v>1250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5">
        <v>45713.460798611108</v>
      </c>
      <c r="N744" s="75">
        <v>45715</v>
      </c>
      <c r="O744" s="75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1003</v>
      </c>
      <c r="S744" s="73"/>
    </row>
    <row r="745" spans="1:19" hidden="1">
      <c r="A745" s="72" t="s">
        <v>2411</v>
      </c>
      <c r="B745" s="73" t="str">
        <f>IFERROR(VLOOKUP(Proc[[#This Row],[App]],Table2[],3,0),"open")</f>
        <v>ok</v>
      </c>
      <c r="C745" t="s">
        <v>369</v>
      </c>
      <c r="D745" t="s">
        <v>2397</v>
      </c>
      <c r="E745" t="s">
        <v>2398</v>
      </c>
      <c r="F745" s="73" t="s">
        <v>1316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5">
        <v>45713.460798611108</v>
      </c>
      <c r="N745" s="75">
        <v>45715</v>
      </c>
      <c r="O745" s="75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1003</v>
      </c>
      <c r="S745" s="73"/>
    </row>
    <row r="746" spans="1:19" hidden="1">
      <c r="A746" s="72" t="s">
        <v>2411</v>
      </c>
      <c r="B746" s="73" t="str">
        <f>IFERROR(VLOOKUP(Proc[[#This Row],[App]],Table2[],3,0),"open")</f>
        <v>ok</v>
      </c>
      <c r="C746" s="72" t="s">
        <v>369</v>
      </c>
      <c r="D746" t="s">
        <v>2399</v>
      </c>
      <c r="E746" t="s">
        <v>2400</v>
      </c>
      <c r="F746" s="73" t="s">
        <v>2414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5">
        <v>45713.460798611108</v>
      </c>
      <c r="N746" s="75">
        <v>45715</v>
      </c>
      <c r="O746" s="75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1003</v>
      </c>
      <c r="S746" s="73"/>
    </row>
    <row r="747" spans="1:19" hidden="1">
      <c r="A747" s="72" t="s">
        <v>2411</v>
      </c>
      <c r="B747" s="73" t="str">
        <f>IFERROR(VLOOKUP(Proc[[#This Row],[App]],Table2[],3,0),"open")</f>
        <v>ok</v>
      </c>
      <c r="C747" s="72" t="s">
        <v>369</v>
      </c>
      <c r="D747" t="s">
        <v>2401</v>
      </c>
      <c r="E747" t="s">
        <v>680</v>
      </c>
      <c r="F747" s="73" t="s">
        <v>1316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5">
        <v>45713.460798611108</v>
      </c>
      <c r="N747" s="75">
        <v>45715</v>
      </c>
      <c r="O747" s="75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1003</v>
      </c>
      <c r="S747" s="73"/>
    </row>
    <row r="748" spans="1:19" hidden="1">
      <c r="A748" s="72" t="s">
        <v>2411</v>
      </c>
      <c r="B748" s="73" t="str">
        <f>IFERROR(VLOOKUP(Proc[[#This Row],[App]],Table2[],3,0),"open")</f>
        <v>ok</v>
      </c>
      <c r="C748" s="72" t="s">
        <v>369</v>
      </c>
      <c r="D748" t="s">
        <v>2402</v>
      </c>
      <c r="E748" t="s">
        <v>680</v>
      </c>
      <c r="F748" s="73" t="s">
        <v>2415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5">
        <v>45713.460798611108</v>
      </c>
      <c r="N748" s="75">
        <v>45715</v>
      </c>
      <c r="O748" s="75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1003</v>
      </c>
      <c r="S748" s="73"/>
    </row>
    <row r="749" spans="1:19" hidden="1">
      <c r="A749" s="72" t="s">
        <v>2411</v>
      </c>
      <c r="B749" s="73" t="str">
        <f>IFERROR(VLOOKUP(Proc[[#This Row],[App]],Table2[],3,0),"open")</f>
        <v>ok</v>
      </c>
      <c r="C749" s="72" t="s">
        <v>369</v>
      </c>
      <c r="D749" t="s">
        <v>2403</v>
      </c>
      <c r="E749" t="s">
        <v>680</v>
      </c>
      <c r="F749" s="73" t="s">
        <v>1316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5">
        <v>45713.460798611108</v>
      </c>
      <c r="N749" s="75">
        <v>45715</v>
      </c>
      <c r="O749" s="75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1003</v>
      </c>
      <c r="S749" s="73"/>
    </row>
    <row r="750" spans="1:19" hidden="1">
      <c r="A750" s="72" t="s">
        <v>2411</v>
      </c>
      <c r="B750" s="73" t="str">
        <f>IFERROR(VLOOKUP(Proc[[#This Row],[App]],Table2[],3,0),"open")</f>
        <v>ok</v>
      </c>
      <c r="C750" s="72" t="s">
        <v>369</v>
      </c>
      <c r="D750" t="s">
        <v>2404</v>
      </c>
      <c r="E750" t="s">
        <v>2405</v>
      </c>
      <c r="F750" s="73" t="s">
        <v>2416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5">
        <v>45713.460798611108</v>
      </c>
      <c r="N750" s="75">
        <v>45715</v>
      </c>
      <c r="O750" s="75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1003</v>
      </c>
      <c r="S750" s="73"/>
    </row>
    <row r="751" spans="1:19" hidden="1">
      <c r="A751" s="72" t="s">
        <v>2411</v>
      </c>
      <c r="B751" s="73" t="str">
        <f>IFERROR(VLOOKUP(Proc[[#This Row],[App]],Table2[],3,0),"open")</f>
        <v>ok</v>
      </c>
      <c r="C751" s="72" t="s">
        <v>369</v>
      </c>
      <c r="D751" t="s">
        <v>2406</v>
      </c>
      <c r="E751" t="s">
        <v>2407</v>
      </c>
      <c r="F751" s="73" t="s">
        <v>1316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5">
        <v>45713.460798611108</v>
      </c>
      <c r="N751" s="75">
        <v>45715</v>
      </c>
      <c r="O751" s="75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1003</v>
      </c>
      <c r="S751" s="73"/>
    </row>
    <row r="752" spans="1:19" hidden="1">
      <c r="A752" s="72" t="s">
        <v>2411</v>
      </c>
      <c r="B752" s="73" t="str">
        <f>IFERROR(VLOOKUP(Proc[[#This Row],[App]],Table2[],3,0),"open")</f>
        <v>ok</v>
      </c>
      <c r="C752" s="72" t="s">
        <v>369</v>
      </c>
      <c r="D752" t="s">
        <v>2408</v>
      </c>
      <c r="E752" t="s">
        <v>2407</v>
      </c>
      <c r="F752" s="73" t="s">
        <v>2417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5">
        <v>45713.460798611108</v>
      </c>
      <c r="N752" s="75">
        <v>45715</v>
      </c>
      <c r="O752" s="75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1003</v>
      </c>
      <c r="S752" s="73"/>
    </row>
    <row r="753" spans="1:19" hidden="1">
      <c r="A753" s="72" t="s">
        <v>2411</v>
      </c>
      <c r="B753" s="73" t="str">
        <f>IFERROR(VLOOKUP(Proc[[#This Row],[App]],Table2[],3,0),"open")</f>
        <v>ok</v>
      </c>
      <c r="C753" s="72" t="s">
        <v>369</v>
      </c>
      <c r="D753" t="s">
        <v>2409</v>
      </c>
      <c r="E753" t="s">
        <v>2410</v>
      </c>
      <c r="F753" s="73" t="s">
        <v>1316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5">
        <v>45713.460798611108</v>
      </c>
      <c r="N753" s="75">
        <v>45715</v>
      </c>
      <c r="O753" s="75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1003</v>
      </c>
      <c r="S753" s="73"/>
    </row>
    <row r="754" spans="1:19" hidden="1">
      <c r="A754" t="s">
        <v>2418</v>
      </c>
      <c r="B754" s="73" t="str">
        <f>IFERROR(VLOOKUP(Proc[[#This Row],[App]],Table2[],3,0),"open")</f>
        <v>ok</v>
      </c>
      <c r="C754" t="s">
        <v>369</v>
      </c>
      <c r="D754" t="s">
        <v>2419</v>
      </c>
      <c r="E754" t="s">
        <v>2420</v>
      </c>
      <c r="F754" s="73" t="s">
        <v>2412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5">
        <v>45714.601423611108</v>
      </c>
      <c r="N754" s="75">
        <v>45716</v>
      </c>
      <c r="O754" s="75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1003</v>
      </c>
      <c r="S754" s="73"/>
    </row>
    <row r="755" spans="1:19" hidden="1">
      <c r="A755" t="s">
        <v>2421</v>
      </c>
      <c r="B755" s="73" t="str">
        <f>IFERROR(VLOOKUP(Proc[[#This Row],[App]],Table2[],3,0),"open")</f>
        <v>ok</v>
      </c>
      <c r="C755" s="72" t="s">
        <v>369</v>
      </c>
      <c r="D755" t="s">
        <v>2437</v>
      </c>
      <c r="E755" t="s">
        <v>547</v>
      </c>
      <c r="F755" s="73" t="s">
        <v>1757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75">
        <v>45714.490324074075</v>
      </c>
      <c r="N755" s="75">
        <v>45716</v>
      </c>
      <c r="O755" s="75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1003</v>
      </c>
      <c r="S755" s="73"/>
    </row>
    <row r="756" spans="1:19" hidden="1">
      <c r="A756" s="72" t="s">
        <v>2421</v>
      </c>
      <c r="B756" s="73" t="str">
        <f>IFERROR(VLOOKUP(Proc[[#This Row],[App]],Table2[],3,0),"open")</f>
        <v>ok</v>
      </c>
      <c r="C756" s="72" t="s">
        <v>369</v>
      </c>
      <c r="D756" t="s">
        <v>2423</v>
      </c>
      <c r="E756" t="s">
        <v>2425</v>
      </c>
      <c r="F756" s="73" t="s">
        <v>2427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5">
        <v>45714.490324074075</v>
      </c>
      <c r="N756" s="75">
        <v>45716</v>
      </c>
      <c r="O756" s="75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1003</v>
      </c>
      <c r="S756" s="73"/>
    </row>
    <row r="757" spans="1:19" hidden="1">
      <c r="A757" s="72" t="s">
        <v>2421</v>
      </c>
      <c r="B757" s="73" t="str">
        <f>IFERROR(VLOOKUP(Proc[[#This Row],[App]],Table2[],3,0),"open")</f>
        <v>ok</v>
      </c>
      <c r="C757" s="72" t="s">
        <v>369</v>
      </c>
      <c r="D757" t="s">
        <v>2424</v>
      </c>
      <c r="E757" t="s">
        <v>2426</v>
      </c>
      <c r="F757" s="73" t="s">
        <v>2427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5">
        <v>45714.490324074075</v>
      </c>
      <c r="N757" s="75">
        <v>45716</v>
      </c>
      <c r="O757" s="75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1003</v>
      </c>
      <c r="S757" s="73"/>
    </row>
    <row r="758" spans="1:19" hidden="1">
      <c r="A758" s="72" t="s">
        <v>2421</v>
      </c>
      <c r="B758" s="73" t="str">
        <f>IFERROR(VLOOKUP(Proc[[#This Row],[App]],Table2[],3,0),"open")</f>
        <v>ok</v>
      </c>
      <c r="C758" s="72" t="s">
        <v>369</v>
      </c>
      <c r="D758" t="s">
        <v>2422</v>
      </c>
      <c r="E758" t="s">
        <v>2425</v>
      </c>
      <c r="F758" s="73" t="s">
        <v>2428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5">
        <v>45714.490324074075</v>
      </c>
      <c r="N758" s="75">
        <v>45716</v>
      </c>
      <c r="O758" s="75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1003</v>
      </c>
      <c r="S758" s="73"/>
    </row>
    <row r="759" spans="1:19" hidden="1">
      <c r="A759" t="s">
        <v>2432</v>
      </c>
      <c r="B759" s="73" t="str">
        <f>IFERROR(VLOOKUP(Proc[[#This Row],[App]],Table2[],3,0),"open")</f>
        <v>ok</v>
      </c>
      <c r="C759" s="72" t="s">
        <v>369</v>
      </c>
      <c r="D759" s="72" t="s">
        <v>2429</v>
      </c>
      <c r="E759" t="s">
        <v>2430</v>
      </c>
      <c r="F759" s="73" t="s">
        <v>2431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5">
        <v>45714.355810185189</v>
      </c>
      <c r="N759" s="75">
        <v>45716</v>
      </c>
      <c r="O759" s="75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2433</v>
      </c>
      <c r="B760" s="73" t="str">
        <f>IFERROR(VLOOKUP(Proc[[#This Row],[App]],Table2[],3,0),"open")</f>
        <v>ok</v>
      </c>
      <c r="C760" s="72" t="s">
        <v>369</v>
      </c>
      <c r="D760" t="s">
        <v>2434</v>
      </c>
      <c r="E760" t="s">
        <v>2436</v>
      </c>
      <c r="F760" s="73" t="s">
        <v>2435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75">
        <v>45714.387881944444</v>
      </c>
      <c r="N760" s="75">
        <v>45716</v>
      </c>
      <c r="O760" s="75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1112</v>
      </c>
      <c r="S760" s="73"/>
    </row>
    <row r="761" spans="1:19" hidden="1">
      <c r="A761" t="s">
        <v>2441</v>
      </c>
      <c r="B761" s="73" t="str">
        <f>IFERROR(VLOOKUP(Proc[[#This Row],[App]],Table2[],3,0),"open")</f>
        <v>ok</v>
      </c>
      <c r="C761" s="72" t="s">
        <v>369</v>
      </c>
      <c r="D761" t="s">
        <v>2438</v>
      </c>
      <c r="E761" t="s">
        <v>414</v>
      </c>
      <c r="F761" s="73" t="s">
        <v>2440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5">
        <v>45715.634722222225</v>
      </c>
      <c r="N761" s="75">
        <v>45716</v>
      </c>
      <c r="O761" s="75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2441</v>
      </c>
      <c r="B762" s="73" t="str">
        <f>IFERROR(VLOOKUP(Proc[[#This Row],[App]],Table2[],3,0),"open")</f>
        <v>ok</v>
      </c>
      <c r="C762" s="72" t="s">
        <v>369</v>
      </c>
      <c r="D762" t="s">
        <v>2439</v>
      </c>
      <c r="E762" t="s">
        <v>414</v>
      </c>
      <c r="F762" s="73" t="s">
        <v>2440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5">
        <v>45715.634722222225</v>
      </c>
      <c r="N762" s="75">
        <v>45716</v>
      </c>
      <c r="O762" s="75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2442</v>
      </c>
      <c r="B763" s="73" t="str">
        <f>IFERROR(VLOOKUP(Proc[[#This Row],[App]],Table2[],3,0),"open")</f>
        <v>ok</v>
      </c>
      <c r="C763" t="s">
        <v>369</v>
      </c>
      <c r="D763" t="s">
        <v>2443</v>
      </c>
      <c r="E763" t="s">
        <v>2445</v>
      </c>
      <c r="F763" s="73" t="s">
        <v>2444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75">
        <v>45715.620972222219</v>
      </c>
      <c r="N763" s="75">
        <v>45719</v>
      </c>
      <c r="O763" s="75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1112</v>
      </c>
      <c r="S763" s="73"/>
    </row>
    <row r="764" spans="1:19" hidden="1">
      <c r="A764" t="s">
        <v>2470</v>
      </c>
      <c r="B764" s="73" t="str">
        <f>IFERROR(VLOOKUP(Proc[[#This Row],[App]],Table2[],3,0),"open")</f>
        <v>ok</v>
      </c>
      <c r="C764" t="s">
        <v>369</v>
      </c>
      <c r="D764" t="s">
        <v>2447</v>
      </c>
      <c r="E764" t="s">
        <v>2448</v>
      </c>
      <c r="F764" s="73" t="s">
        <v>2471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5">
        <v>45716.734988425924</v>
      </c>
      <c r="N764" s="75">
        <v>45721</v>
      </c>
      <c r="O764" s="75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1044</v>
      </c>
      <c r="S764" s="73"/>
    </row>
    <row r="765" spans="1:19" hidden="1">
      <c r="A765" s="72" t="s">
        <v>2470</v>
      </c>
      <c r="B765" s="73" t="str">
        <f>IFERROR(VLOOKUP(Proc[[#This Row],[App]],Table2[],3,0),"open")</f>
        <v>ok</v>
      </c>
      <c r="C765" s="72" t="s">
        <v>369</v>
      </c>
      <c r="D765" t="s">
        <v>2449</v>
      </c>
      <c r="E765" t="s">
        <v>2450</v>
      </c>
      <c r="F765" s="73" t="s">
        <v>2472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5">
        <v>45716.734988425924</v>
      </c>
      <c r="N765" s="75">
        <v>45721</v>
      </c>
      <c r="O765" s="75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1044</v>
      </c>
      <c r="S765" s="73"/>
    </row>
    <row r="766" spans="1:19" hidden="1">
      <c r="A766" s="72" t="s">
        <v>2470</v>
      </c>
      <c r="B766" s="73" t="str">
        <f>IFERROR(VLOOKUP(Proc[[#This Row],[App]],Table2[],3,0),"open")</f>
        <v>ok</v>
      </c>
      <c r="C766" s="72" t="s">
        <v>369</v>
      </c>
      <c r="D766" t="s">
        <v>2451</v>
      </c>
      <c r="E766" t="s">
        <v>2450</v>
      </c>
      <c r="F766" s="73" t="s">
        <v>2472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5">
        <v>45716.734988425924</v>
      </c>
      <c r="N766" s="75">
        <v>45721</v>
      </c>
      <c r="O766" s="75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1044</v>
      </c>
      <c r="S766" s="73"/>
    </row>
    <row r="767" spans="1:19" hidden="1">
      <c r="A767" s="72" t="s">
        <v>2470</v>
      </c>
      <c r="B767" s="73" t="str">
        <f>IFERROR(VLOOKUP(Proc[[#This Row],[App]],Table2[],3,0),"open")</f>
        <v>ok</v>
      </c>
      <c r="C767" s="72" t="s">
        <v>369</v>
      </c>
      <c r="D767" t="s">
        <v>2452</v>
      </c>
      <c r="E767" t="s">
        <v>2450</v>
      </c>
      <c r="F767" s="73" t="s">
        <v>2472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5">
        <v>45716.734988425924</v>
      </c>
      <c r="N767" s="75">
        <v>45721</v>
      </c>
      <c r="O767" s="75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1044</v>
      </c>
      <c r="S767" s="73"/>
    </row>
    <row r="768" spans="1:19" hidden="1">
      <c r="A768" s="72" t="s">
        <v>2470</v>
      </c>
      <c r="B768" s="73" t="str">
        <f>IFERROR(VLOOKUP(Proc[[#This Row],[App]],Table2[],3,0),"open")</f>
        <v>ok</v>
      </c>
      <c r="C768" s="72" t="s">
        <v>369</v>
      </c>
      <c r="D768" t="s">
        <v>2453</v>
      </c>
      <c r="E768" t="s">
        <v>2450</v>
      </c>
      <c r="F768" s="73" t="s">
        <v>2472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5">
        <v>45716.734988425924</v>
      </c>
      <c r="N768" s="75">
        <v>45721</v>
      </c>
      <c r="O768" s="75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1044</v>
      </c>
      <c r="S768" s="73"/>
    </row>
    <row r="769" spans="1:19" hidden="1">
      <c r="A769" s="72" t="s">
        <v>2470</v>
      </c>
      <c r="B769" s="73" t="str">
        <f>IFERROR(VLOOKUP(Proc[[#This Row],[App]],Table2[],3,0),"open")</f>
        <v>ok</v>
      </c>
      <c r="C769" s="72" t="s">
        <v>369</v>
      </c>
      <c r="D769" t="s">
        <v>2454</v>
      </c>
      <c r="E769" t="s">
        <v>2450</v>
      </c>
      <c r="F769" s="73" t="s">
        <v>2472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5">
        <v>45716.734988425924</v>
      </c>
      <c r="N769" s="75">
        <v>45721</v>
      </c>
      <c r="O769" s="75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1044</v>
      </c>
      <c r="S769" s="73"/>
    </row>
    <row r="770" spans="1:19" hidden="1">
      <c r="A770" s="72" t="s">
        <v>2470</v>
      </c>
      <c r="B770" s="73" t="str">
        <f>IFERROR(VLOOKUP(Proc[[#This Row],[App]],Table2[],3,0),"open")</f>
        <v>ok</v>
      </c>
      <c r="C770" s="72" t="s">
        <v>369</v>
      </c>
      <c r="D770" t="s">
        <v>2455</v>
      </c>
      <c r="E770" t="s">
        <v>2450</v>
      </c>
      <c r="F770" s="73" t="s">
        <v>2472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5">
        <v>45716.734988425924</v>
      </c>
      <c r="N770" s="75">
        <v>45721</v>
      </c>
      <c r="O770" s="75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1044</v>
      </c>
      <c r="S770" s="73"/>
    </row>
    <row r="771" spans="1:19" hidden="1">
      <c r="A771" s="72" t="s">
        <v>2470</v>
      </c>
      <c r="B771" s="73" t="str">
        <f>IFERROR(VLOOKUP(Proc[[#This Row],[App]],Table2[],3,0),"open")</f>
        <v>ok</v>
      </c>
      <c r="C771" s="72" t="s">
        <v>369</v>
      </c>
      <c r="D771" t="s">
        <v>2456</v>
      </c>
      <c r="E771" t="s">
        <v>2450</v>
      </c>
      <c r="F771" s="73" t="s">
        <v>2472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5">
        <v>45716.734988425924</v>
      </c>
      <c r="N771" s="75">
        <v>45721</v>
      </c>
      <c r="O771" s="75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1044</v>
      </c>
      <c r="S771" s="73"/>
    </row>
    <row r="772" spans="1:19" hidden="1">
      <c r="A772" s="72" t="s">
        <v>2470</v>
      </c>
      <c r="B772" s="73" t="str">
        <f>IFERROR(VLOOKUP(Proc[[#This Row],[App]],Table2[],3,0),"open")</f>
        <v>ok</v>
      </c>
      <c r="C772" s="72" t="s">
        <v>369</v>
      </c>
      <c r="D772" t="s">
        <v>2457</v>
      </c>
      <c r="E772" t="s">
        <v>2450</v>
      </c>
      <c r="F772" s="73" t="s">
        <v>2472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5">
        <v>45716.734988425924</v>
      </c>
      <c r="N772" s="75">
        <v>45721</v>
      </c>
      <c r="O772" s="75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1044</v>
      </c>
      <c r="S772" s="73"/>
    </row>
    <row r="773" spans="1:19" hidden="1">
      <c r="A773" s="72" t="s">
        <v>2470</v>
      </c>
      <c r="B773" s="73" t="str">
        <f>IFERROR(VLOOKUP(Proc[[#This Row],[App]],Table2[],3,0),"open")</f>
        <v>ok</v>
      </c>
      <c r="C773" s="72" t="s">
        <v>369</v>
      </c>
      <c r="D773" t="s">
        <v>2458</v>
      </c>
      <c r="E773" t="s">
        <v>2450</v>
      </c>
      <c r="F773" s="73" t="s">
        <v>2472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5">
        <v>45716.734988425924</v>
      </c>
      <c r="N773" s="75">
        <v>45721</v>
      </c>
      <c r="O773" s="75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1044</v>
      </c>
      <c r="S773" s="73"/>
    </row>
    <row r="774" spans="1:19" hidden="1">
      <c r="A774" s="72" t="s">
        <v>2470</v>
      </c>
      <c r="B774" s="73" t="str">
        <f>IFERROR(VLOOKUP(Proc[[#This Row],[App]],Table2[],3,0),"open")</f>
        <v>ok</v>
      </c>
      <c r="C774" s="72" t="s">
        <v>369</v>
      </c>
      <c r="D774" t="s">
        <v>2459</v>
      </c>
      <c r="E774" t="s">
        <v>2450</v>
      </c>
      <c r="F774" s="73" t="s">
        <v>2472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75">
        <v>45716.734988425924</v>
      </c>
      <c r="N774" s="75">
        <v>45721</v>
      </c>
      <c r="O774" s="75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1044</v>
      </c>
      <c r="S774" s="73"/>
    </row>
    <row r="775" spans="1:19" hidden="1">
      <c r="A775" s="72" t="s">
        <v>2470</v>
      </c>
      <c r="B775" s="73" t="str">
        <f>IFERROR(VLOOKUP(Proc[[#This Row],[App]],Table2[],3,0),"open")</f>
        <v>ok</v>
      </c>
      <c r="C775" s="72" t="s">
        <v>369</v>
      </c>
      <c r="D775" t="s">
        <v>2460</v>
      </c>
      <c r="E775" t="s">
        <v>2450</v>
      </c>
      <c r="F775" s="73" t="s">
        <v>2472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5">
        <v>45716.734988425924</v>
      </c>
      <c r="N775" s="75">
        <v>45721</v>
      </c>
      <c r="O775" s="75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1044</v>
      </c>
      <c r="S775" s="73"/>
    </row>
    <row r="776" spans="1:19" hidden="1">
      <c r="A776" s="72" t="s">
        <v>2470</v>
      </c>
      <c r="B776" s="73" t="str">
        <f>IFERROR(VLOOKUP(Proc[[#This Row],[App]],Table2[],3,0),"open")</f>
        <v>ok</v>
      </c>
      <c r="C776" s="72" t="s">
        <v>369</v>
      </c>
      <c r="D776" t="s">
        <v>2461</v>
      </c>
      <c r="E776" t="s">
        <v>2450</v>
      </c>
      <c r="F776" s="73" t="s">
        <v>2472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5">
        <v>45716.734988425924</v>
      </c>
      <c r="N776" s="75">
        <v>45721</v>
      </c>
      <c r="O776" s="75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1044</v>
      </c>
      <c r="S776" s="73"/>
    </row>
    <row r="777" spans="1:19" hidden="1">
      <c r="A777" s="72" t="s">
        <v>2470</v>
      </c>
      <c r="B777" s="73" t="str">
        <f>IFERROR(VLOOKUP(Proc[[#This Row],[App]],Table2[],3,0),"open")</f>
        <v>ok</v>
      </c>
      <c r="C777" s="72" t="s">
        <v>369</v>
      </c>
      <c r="D777" t="s">
        <v>2462</v>
      </c>
      <c r="E777" t="s">
        <v>2450</v>
      </c>
      <c r="F777" s="73" t="s">
        <v>2472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5">
        <v>45716.734988425924</v>
      </c>
      <c r="N777" s="75">
        <v>45721</v>
      </c>
      <c r="O777" s="75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1044</v>
      </c>
      <c r="S777" s="73"/>
    </row>
    <row r="778" spans="1:19" hidden="1">
      <c r="A778" s="72" t="s">
        <v>2470</v>
      </c>
      <c r="B778" s="73" t="str">
        <f>IFERROR(VLOOKUP(Proc[[#This Row],[App]],Table2[],3,0),"open")</f>
        <v>ok</v>
      </c>
      <c r="C778" s="72" t="s">
        <v>369</v>
      </c>
      <c r="D778" t="s">
        <v>2463</v>
      </c>
      <c r="E778" t="s">
        <v>2450</v>
      </c>
      <c r="F778" s="73" t="s">
        <v>2472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5">
        <v>45716.734988425924</v>
      </c>
      <c r="N778" s="75">
        <v>45721</v>
      </c>
      <c r="O778" s="75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1044</v>
      </c>
      <c r="S778" s="73"/>
    </row>
    <row r="779" spans="1:19" hidden="1">
      <c r="A779" s="72" t="s">
        <v>2470</v>
      </c>
      <c r="B779" s="73" t="str">
        <f>IFERROR(VLOOKUP(Proc[[#This Row],[App]],Table2[],3,0),"open")</f>
        <v>ok</v>
      </c>
      <c r="C779" s="72" t="s">
        <v>369</v>
      </c>
      <c r="D779" t="s">
        <v>2464</v>
      </c>
      <c r="E779" t="s">
        <v>2450</v>
      </c>
      <c r="F779" s="73" t="s">
        <v>2472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5">
        <v>45716.734988425924</v>
      </c>
      <c r="N779" s="75">
        <v>45721</v>
      </c>
      <c r="O779" s="75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1044</v>
      </c>
      <c r="S779" s="73"/>
    </row>
    <row r="780" spans="1:19" hidden="1">
      <c r="A780" s="72" t="s">
        <v>2470</v>
      </c>
      <c r="B780" s="73" t="str">
        <f>IFERROR(VLOOKUP(Proc[[#This Row],[App]],Table2[],3,0),"open")</f>
        <v>ok</v>
      </c>
      <c r="C780" s="72" t="s">
        <v>369</v>
      </c>
      <c r="D780" t="s">
        <v>2465</v>
      </c>
      <c r="E780" t="s">
        <v>2450</v>
      </c>
      <c r="F780" s="73" t="s">
        <v>2472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5">
        <v>45716.734988425924</v>
      </c>
      <c r="N780" s="75">
        <v>45721</v>
      </c>
      <c r="O780" s="75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1044</v>
      </c>
      <c r="S780" s="73"/>
    </row>
    <row r="781" spans="1:19" hidden="1">
      <c r="A781" s="72" t="s">
        <v>2470</v>
      </c>
      <c r="B781" s="73" t="str">
        <f>IFERROR(VLOOKUP(Proc[[#This Row],[App]],Table2[],3,0),"open")</f>
        <v>ok</v>
      </c>
      <c r="C781" s="72" t="s">
        <v>369</v>
      </c>
      <c r="D781" t="s">
        <v>2306</v>
      </c>
      <c r="E781" t="s">
        <v>2448</v>
      </c>
      <c r="F781" s="73" t="s">
        <v>2300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5">
        <v>45716.734988425924</v>
      </c>
      <c r="N781" s="75">
        <v>45721</v>
      </c>
      <c r="O781" s="75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1044</v>
      </c>
      <c r="S781" s="73"/>
    </row>
    <row r="782" spans="1:19" hidden="1">
      <c r="A782" s="72" t="s">
        <v>2470</v>
      </c>
      <c r="B782" s="73" t="str">
        <f>IFERROR(VLOOKUP(Proc[[#This Row],[App]],Table2[],3,0),"open")</f>
        <v>ok</v>
      </c>
      <c r="C782" s="72" t="s">
        <v>369</v>
      </c>
      <c r="D782" t="s">
        <v>2466</v>
      </c>
      <c r="E782" t="s">
        <v>2450</v>
      </c>
      <c r="F782" s="73" t="s">
        <v>2473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5">
        <v>45716.734988425924</v>
      </c>
      <c r="N782" s="75">
        <v>45721</v>
      </c>
      <c r="O782" s="75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1044</v>
      </c>
      <c r="S782" s="73"/>
    </row>
    <row r="783" spans="1:19" hidden="1">
      <c r="A783" s="72" t="s">
        <v>2470</v>
      </c>
      <c r="B783" s="73" t="str">
        <f>IFERROR(VLOOKUP(Proc[[#This Row],[App]],Table2[],3,0),"open")</f>
        <v>ok</v>
      </c>
      <c r="C783" s="72" t="s">
        <v>369</v>
      </c>
      <c r="D783" t="s">
        <v>2467</v>
      </c>
      <c r="E783" t="s">
        <v>2450</v>
      </c>
      <c r="F783" s="73" t="s">
        <v>2474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5">
        <v>45716.734988425924</v>
      </c>
      <c r="N783" s="75">
        <v>45721</v>
      </c>
      <c r="O783" s="75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1044</v>
      </c>
      <c r="S783" s="73"/>
    </row>
    <row r="784" spans="1:19" hidden="1">
      <c r="A784" s="72" t="s">
        <v>2470</v>
      </c>
      <c r="B784" s="73" t="str">
        <f>IFERROR(VLOOKUP(Proc[[#This Row],[App]],Table2[],3,0),"open")</f>
        <v>ok</v>
      </c>
      <c r="C784" s="72" t="s">
        <v>369</v>
      </c>
      <c r="D784" t="s">
        <v>2468</v>
      </c>
      <c r="E784" t="s">
        <v>2450</v>
      </c>
      <c r="F784" s="73" t="s">
        <v>2475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5">
        <v>45716.734988425924</v>
      </c>
      <c r="N784" s="75">
        <v>45721</v>
      </c>
      <c r="O784" s="75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1044</v>
      </c>
      <c r="S784" s="73"/>
    </row>
    <row r="785" spans="1:19" hidden="1">
      <c r="A785" s="72" t="s">
        <v>2470</v>
      </c>
      <c r="B785" s="73" t="str">
        <f>IFERROR(VLOOKUP(Proc[[#This Row],[App]],Table2[],3,0),"open")</f>
        <v>ok</v>
      </c>
      <c r="C785" s="72" t="s">
        <v>369</v>
      </c>
      <c r="D785" t="s">
        <v>2469</v>
      </c>
      <c r="E785" t="s">
        <v>2450</v>
      </c>
      <c r="F785" s="73" t="s">
        <v>2476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5">
        <v>45716.734988425924</v>
      </c>
      <c r="N785" s="75">
        <v>45721</v>
      </c>
      <c r="O785" s="75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1044</v>
      </c>
      <c r="S785" s="73"/>
    </row>
    <row r="786" spans="1:19" hidden="1">
      <c r="A786" t="s">
        <v>2503</v>
      </c>
      <c r="B786" s="73" t="str">
        <f>IFERROR(VLOOKUP(Proc[[#This Row],[App]],Table2[],3,0),"open")</f>
        <v>ok</v>
      </c>
      <c r="C786" s="72" t="s">
        <v>369</v>
      </c>
      <c r="D786" t="s">
        <v>2477</v>
      </c>
      <c r="E786" t="s">
        <v>2478</v>
      </c>
      <c r="F786" s="73" t="s">
        <v>989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5">
        <v>45716.548854166664</v>
      </c>
      <c r="N786" s="75">
        <v>45721</v>
      </c>
      <c r="O786" s="75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1044</v>
      </c>
      <c r="S786" s="73"/>
    </row>
    <row r="787" spans="1:19" hidden="1">
      <c r="A787" s="72" t="s">
        <v>2503</v>
      </c>
      <c r="B787" s="73" t="str">
        <f>IFERROR(VLOOKUP(Proc[[#This Row],[App]],Table2[],3,0),"open")</f>
        <v>ok</v>
      </c>
      <c r="C787" s="72" t="s">
        <v>369</v>
      </c>
      <c r="D787" t="s">
        <v>2479</v>
      </c>
      <c r="E787" t="s">
        <v>2480</v>
      </c>
      <c r="F787" s="73" t="s">
        <v>2481</v>
      </c>
      <c r="G787" s="72" t="s">
        <v>400</v>
      </c>
      <c r="H787" s="73" t="str">
        <f>IF(Proc[[#This Row],[type]]="LFF (MDG-F)",MID(Proc[[#This Row],[Obj]],13,10),"")</f>
        <v/>
      </c>
      <c r="I787" t="s">
        <v>2527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5">
        <v>45716.548854166664</v>
      </c>
      <c r="N787" s="75">
        <v>45721</v>
      </c>
      <c r="O787" s="75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1044</v>
      </c>
      <c r="S787" s="73"/>
    </row>
    <row r="788" spans="1:19" hidden="1">
      <c r="A788" s="72" t="s">
        <v>2503</v>
      </c>
      <c r="B788" s="73" t="str">
        <f>IFERROR(VLOOKUP(Proc[[#This Row],[App]],Table2[],3,0),"open")</f>
        <v>ok</v>
      </c>
      <c r="C788" s="72" t="s">
        <v>369</v>
      </c>
      <c r="D788" t="s">
        <v>2482</v>
      </c>
      <c r="E788" t="s">
        <v>2483</v>
      </c>
      <c r="F788" s="73" t="s">
        <v>2484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5">
        <v>45716.548854166664</v>
      </c>
      <c r="N788" s="75">
        <v>45721</v>
      </c>
      <c r="O788" s="75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1044</v>
      </c>
      <c r="S788" s="73"/>
    </row>
    <row r="789" spans="1:19" hidden="1">
      <c r="A789" s="72" t="s">
        <v>2503</v>
      </c>
      <c r="B789" s="73" t="str">
        <f>IFERROR(VLOOKUP(Proc[[#This Row],[App]],Table2[],3,0),"open")</f>
        <v>ok</v>
      </c>
      <c r="C789" s="72" t="s">
        <v>369</v>
      </c>
      <c r="D789" t="s">
        <v>2485</v>
      </c>
      <c r="E789" t="s">
        <v>2483</v>
      </c>
      <c r="F789" s="73" t="s">
        <v>2486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5">
        <v>45716.548854166664</v>
      </c>
      <c r="N789" s="75">
        <v>45721</v>
      </c>
      <c r="O789" s="75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1044</v>
      </c>
      <c r="S789" s="73"/>
    </row>
    <row r="790" spans="1:19" hidden="1">
      <c r="A790" s="72" t="s">
        <v>2503</v>
      </c>
      <c r="B790" s="73" t="str">
        <f>IFERROR(VLOOKUP(Proc[[#This Row],[App]],Table2[],3,0),"open")</f>
        <v>ok</v>
      </c>
      <c r="C790" s="72" t="s">
        <v>369</v>
      </c>
      <c r="D790" t="s">
        <v>2487</v>
      </c>
      <c r="E790" t="s">
        <v>2483</v>
      </c>
      <c r="F790" s="73" t="s">
        <v>2488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5">
        <v>45716.548854166664</v>
      </c>
      <c r="N790" s="75">
        <v>45721</v>
      </c>
      <c r="O790" s="75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1044</v>
      </c>
      <c r="S790" s="73"/>
    </row>
    <row r="791" spans="1:19" hidden="1">
      <c r="A791" s="72" t="s">
        <v>2503</v>
      </c>
      <c r="B791" s="73" t="str">
        <f>IFERROR(VLOOKUP(Proc[[#This Row],[App]],Table2[],3,0),"open")</f>
        <v>ok</v>
      </c>
      <c r="C791" s="72" t="s">
        <v>369</v>
      </c>
      <c r="D791" t="s">
        <v>2489</v>
      </c>
      <c r="E791" t="s">
        <v>2483</v>
      </c>
      <c r="F791" s="73" t="s">
        <v>2490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5">
        <v>45716.548854166664</v>
      </c>
      <c r="N791" s="75">
        <v>45721</v>
      </c>
      <c r="O791" s="75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1044</v>
      </c>
      <c r="S791" s="73"/>
    </row>
    <row r="792" spans="1:19" hidden="1">
      <c r="A792" s="72" t="s">
        <v>2503</v>
      </c>
      <c r="B792" s="73" t="str">
        <f>IFERROR(VLOOKUP(Proc[[#This Row],[App]],Table2[],3,0),"open")</f>
        <v>ok</v>
      </c>
      <c r="C792" s="72" t="s">
        <v>369</v>
      </c>
      <c r="D792" t="s">
        <v>2491</v>
      </c>
      <c r="E792" t="s">
        <v>2492</v>
      </c>
      <c r="F792" s="73" t="s">
        <v>2493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5">
        <v>45716.548854166664</v>
      </c>
      <c r="N792" s="75">
        <v>45721</v>
      </c>
      <c r="O792" s="75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1044</v>
      </c>
      <c r="S792" s="73"/>
    </row>
    <row r="793" spans="1:19" hidden="1">
      <c r="A793" s="72" t="s">
        <v>2503</v>
      </c>
      <c r="B793" s="73" t="str">
        <f>IFERROR(VLOOKUP(Proc[[#This Row],[App]],Table2[],3,0),"open")</f>
        <v>ok</v>
      </c>
      <c r="C793" s="72" t="s">
        <v>369</v>
      </c>
      <c r="D793" t="s">
        <v>2494</v>
      </c>
      <c r="E793" t="s">
        <v>2495</v>
      </c>
      <c r="F793" s="73" t="s">
        <v>2496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5">
        <v>45716.548854166664</v>
      </c>
      <c r="N793" s="75">
        <v>45721</v>
      </c>
      <c r="O793" s="75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1044</v>
      </c>
      <c r="S793" s="73"/>
    </row>
    <row r="794" spans="1:19" hidden="1">
      <c r="A794" s="72" t="s">
        <v>2503</v>
      </c>
      <c r="B794" s="73" t="str">
        <f>IFERROR(VLOOKUP(Proc[[#This Row],[App]],Table2[],3,0),"open")</f>
        <v>ok</v>
      </c>
      <c r="C794" s="72" t="s">
        <v>369</v>
      </c>
      <c r="D794" t="s">
        <v>2497</v>
      </c>
      <c r="E794" t="s">
        <v>2480</v>
      </c>
      <c r="F794" s="73" t="s">
        <v>2498</v>
      </c>
      <c r="G794" s="72" t="s">
        <v>400</v>
      </c>
      <c r="H794" s="73" t="str">
        <f>IF(Proc[[#This Row],[type]]="LFF (MDG-F)",MID(Proc[[#This Row],[Obj]],13,10),"")</f>
        <v/>
      </c>
      <c r="I794" s="72" t="s">
        <v>2527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5">
        <v>45716.548854166664</v>
      </c>
      <c r="N794" s="75">
        <v>45721</v>
      </c>
      <c r="O794" s="75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1044</v>
      </c>
      <c r="S794" s="73"/>
    </row>
    <row r="795" spans="1:19" hidden="1">
      <c r="A795" s="72" t="s">
        <v>2503</v>
      </c>
      <c r="B795" s="73" t="str">
        <f>IFERROR(VLOOKUP(Proc[[#This Row],[App]],Table2[],3,0),"open")</f>
        <v>ok</v>
      </c>
      <c r="C795" s="72" t="s">
        <v>369</v>
      </c>
      <c r="D795" t="s">
        <v>2499</v>
      </c>
      <c r="E795" t="s">
        <v>2483</v>
      </c>
      <c r="F795" s="73" t="s">
        <v>2500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5">
        <v>45716.548854166664</v>
      </c>
      <c r="N795" s="75">
        <v>45721</v>
      </c>
      <c r="O795" s="75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1044</v>
      </c>
      <c r="S795" s="73"/>
    </row>
    <row r="796" spans="1:19" hidden="1">
      <c r="A796" s="72" t="s">
        <v>2503</v>
      </c>
      <c r="B796" s="73" t="str">
        <f>IFERROR(VLOOKUP(Proc[[#This Row],[App]],Table2[],3,0),"open")</f>
        <v>ok</v>
      </c>
      <c r="C796" s="72" t="s">
        <v>369</v>
      </c>
      <c r="D796" t="s">
        <v>2501</v>
      </c>
      <c r="E796" t="s">
        <v>2483</v>
      </c>
      <c r="F796" s="73" t="s">
        <v>2502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5">
        <v>45716.548854166664</v>
      </c>
      <c r="N796" s="75">
        <v>45721</v>
      </c>
      <c r="O796" s="75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1044</v>
      </c>
      <c r="S796" s="73"/>
    </row>
    <row r="797" spans="1:19" hidden="1">
      <c r="A797" t="s">
        <v>2506</v>
      </c>
      <c r="B797" s="73" t="str">
        <f>IFERROR(VLOOKUP(Proc[[#This Row],[App]],Table2[],3,0),"open")</f>
        <v>ok</v>
      </c>
      <c r="C797" s="72" t="s">
        <v>369</v>
      </c>
      <c r="D797" t="s">
        <v>2504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75">
        <v>45716.515300925923</v>
      </c>
      <c r="N797" s="75">
        <v>45721</v>
      </c>
      <c r="O797" s="75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2505</v>
      </c>
      <c r="S797" s="73"/>
    </row>
    <row r="798" spans="1:19" hidden="1">
      <c r="A798" t="s">
        <v>2508</v>
      </c>
      <c r="B798" s="73" t="str">
        <f>IFERROR(VLOOKUP(Proc[[#This Row],[App]],Table2[],3,0),"open")</f>
        <v>ok</v>
      </c>
      <c r="C798" s="72" t="s">
        <v>369</v>
      </c>
      <c r="D798" t="s">
        <v>1850</v>
      </c>
      <c r="E798" t="s">
        <v>513</v>
      </c>
      <c r="F798" s="73" t="s">
        <v>1851</v>
      </c>
      <c r="G798" s="72" t="s">
        <v>400</v>
      </c>
      <c r="H798" s="73" t="str">
        <f>IF(Proc[[#This Row],[type]]="LFF (MDG-F)",MID(Proc[[#This Row],[Obj]],13,10),"")</f>
        <v/>
      </c>
      <c r="I798" t="s">
        <v>1250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5">
        <v>45716.407511574071</v>
      </c>
      <c r="N798" s="75">
        <v>45721</v>
      </c>
      <c r="O798" s="75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2508</v>
      </c>
      <c r="B799" s="73" t="str">
        <f>IFERROR(VLOOKUP(Proc[[#This Row],[App]],Table2[],3,0),"open")</f>
        <v>ok</v>
      </c>
      <c r="C799" s="72" t="s">
        <v>369</v>
      </c>
      <c r="D799" t="s">
        <v>2507</v>
      </c>
      <c r="E799" t="s">
        <v>2509</v>
      </c>
      <c r="F799" s="73" t="s">
        <v>2510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5">
        <v>45716.407511574071</v>
      </c>
      <c r="N799" s="75">
        <v>45721</v>
      </c>
      <c r="O799" s="75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2526</v>
      </c>
      <c r="B800" s="73" t="str">
        <f>IFERROR(VLOOKUP(Proc[[#This Row],[App]],Table2[],3,0),"open")</f>
        <v>ok</v>
      </c>
      <c r="C800" s="72" t="s">
        <v>369</v>
      </c>
      <c r="D800" t="s">
        <v>2511</v>
      </c>
      <c r="E800" t="s">
        <v>2512</v>
      </c>
      <c r="F800" s="73" t="s">
        <v>2513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5">
        <v>45716.405740740738</v>
      </c>
      <c r="N800" s="75">
        <v>45721</v>
      </c>
      <c r="O800" s="75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2526</v>
      </c>
      <c r="B801" s="73" t="str">
        <f>IFERROR(VLOOKUP(Proc[[#This Row],[App]],Table2[],3,0),"open")</f>
        <v>ok</v>
      </c>
      <c r="C801" s="72" t="s">
        <v>369</v>
      </c>
      <c r="D801" t="s">
        <v>2514</v>
      </c>
      <c r="E801" t="s">
        <v>2512</v>
      </c>
      <c r="F801" s="73" t="s">
        <v>2513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5">
        <v>45716.405740740738</v>
      </c>
      <c r="N801" s="75">
        <v>45721</v>
      </c>
      <c r="O801" s="75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2526</v>
      </c>
      <c r="B802" s="73" t="str">
        <f>IFERROR(VLOOKUP(Proc[[#This Row],[App]],Table2[],3,0),"open")</f>
        <v>ok</v>
      </c>
      <c r="C802" s="72" t="s">
        <v>369</v>
      </c>
      <c r="D802" t="s">
        <v>2515</v>
      </c>
      <c r="E802" t="s">
        <v>2512</v>
      </c>
      <c r="F802" s="73" t="s">
        <v>2513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5">
        <v>45716.405740740738</v>
      </c>
      <c r="N802" s="75">
        <v>45721</v>
      </c>
      <c r="O802" s="75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2526</v>
      </c>
      <c r="B803" s="73" t="str">
        <f>IFERROR(VLOOKUP(Proc[[#This Row],[App]],Table2[],3,0),"open")</f>
        <v>ok</v>
      </c>
      <c r="C803" s="72" t="s">
        <v>369</v>
      </c>
      <c r="D803" t="s">
        <v>2516</v>
      </c>
      <c r="E803" t="s">
        <v>2512</v>
      </c>
      <c r="F803" s="73" t="s">
        <v>2513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5">
        <v>45716.405740740738</v>
      </c>
      <c r="N803" s="75">
        <v>45721</v>
      </c>
      <c r="O803" s="75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2526</v>
      </c>
      <c r="B804" s="73" t="str">
        <f>IFERROR(VLOOKUP(Proc[[#This Row],[App]],Table2[],3,0),"open")</f>
        <v>ok</v>
      </c>
      <c r="C804" s="72" t="s">
        <v>369</v>
      </c>
      <c r="D804" t="s">
        <v>2517</v>
      </c>
      <c r="E804" t="s">
        <v>2518</v>
      </c>
      <c r="F804" s="73" t="s">
        <v>2513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5">
        <v>45716.405740740738</v>
      </c>
      <c r="N804" s="75">
        <v>45721</v>
      </c>
      <c r="O804" s="75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2526</v>
      </c>
      <c r="B805" s="73" t="str">
        <f>IFERROR(VLOOKUP(Proc[[#This Row],[App]],Table2[],3,0),"open")</f>
        <v>ok</v>
      </c>
      <c r="C805" s="72" t="s">
        <v>369</v>
      </c>
      <c r="D805" t="s">
        <v>2519</v>
      </c>
      <c r="E805" t="s">
        <v>2518</v>
      </c>
      <c r="F805" s="73" t="s">
        <v>2520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5">
        <v>45716.405740740738</v>
      </c>
      <c r="N805" s="75">
        <v>45721</v>
      </c>
      <c r="O805" s="75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2526</v>
      </c>
      <c r="B806" s="73" t="str">
        <f>IFERROR(VLOOKUP(Proc[[#This Row],[App]],Table2[],3,0),"open")</f>
        <v>ok</v>
      </c>
      <c r="C806" s="72" t="s">
        <v>369</v>
      </c>
      <c r="D806" t="s">
        <v>2521</v>
      </c>
      <c r="E806" t="s">
        <v>2518</v>
      </c>
      <c r="F806" s="73" t="s">
        <v>2522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5">
        <v>45716.405740740738</v>
      </c>
      <c r="N806" s="75">
        <v>45721</v>
      </c>
      <c r="O806" s="75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2526</v>
      </c>
      <c r="B807" s="73" t="str">
        <f>IFERROR(VLOOKUP(Proc[[#This Row],[App]],Table2[],3,0),"open")</f>
        <v>ok</v>
      </c>
      <c r="C807" s="72" t="s">
        <v>369</v>
      </c>
      <c r="D807" t="s">
        <v>2523</v>
      </c>
      <c r="E807" t="s">
        <v>2524</v>
      </c>
      <c r="F807" s="73" t="s">
        <v>2525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5">
        <v>45716.405740740738</v>
      </c>
      <c r="N807" s="75">
        <v>45721</v>
      </c>
      <c r="O807" s="75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2528</v>
      </c>
      <c r="B808" s="73" t="str">
        <f>IFERROR(VLOOKUP(Proc[[#This Row],[App]],Table2[],3,0),"open")</f>
        <v>ok</v>
      </c>
      <c r="C808" t="s">
        <v>369</v>
      </c>
      <c r="D808" t="s">
        <v>2529</v>
      </c>
      <c r="E808" t="s">
        <v>658</v>
      </c>
      <c r="F808" s="73" t="s">
        <v>2547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5">
        <v>45719.398958333331</v>
      </c>
      <c r="N808" s="75">
        <v>45722</v>
      </c>
      <c r="O808" s="75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2528</v>
      </c>
      <c r="B809" s="73" t="str">
        <f>IFERROR(VLOOKUP(Proc[[#This Row],[App]],Table2[],3,0),"open")</f>
        <v>ok</v>
      </c>
      <c r="C809" s="72" t="s">
        <v>377</v>
      </c>
      <c r="D809" t="s">
        <v>2530</v>
      </c>
      <c r="E809" t="s">
        <v>658</v>
      </c>
      <c r="F809" s="73" t="s">
        <v>2548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5">
        <v>45719.398958333331</v>
      </c>
      <c r="O809" s="75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2528</v>
      </c>
      <c r="B810" s="73" t="str">
        <f>IFERROR(VLOOKUP(Proc[[#This Row],[App]],Table2[],3,0),"open")</f>
        <v>ok</v>
      </c>
      <c r="C810" s="72" t="s">
        <v>377</v>
      </c>
      <c r="D810" t="s">
        <v>2531</v>
      </c>
      <c r="E810" t="s">
        <v>658</v>
      </c>
      <c r="F810" s="73" t="s">
        <v>2548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5">
        <v>45719.398958333331</v>
      </c>
      <c r="O810" s="75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2528</v>
      </c>
      <c r="B811" s="73" t="str">
        <f>IFERROR(VLOOKUP(Proc[[#This Row],[App]],Table2[],3,0),"open")</f>
        <v>ok</v>
      </c>
      <c r="C811" s="72" t="s">
        <v>377</v>
      </c>
      <c r="D811" t="s">
        <v>2532</v>
      </c>
      <c r="E811" t="s">
        <v>658</v>
      </c>
      <c r="F811" s="73" t="s">
        <v>2549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5">
        <v>45719.398958333331</v>
      </c>
      <c r="O811" s="75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2528</v>
      </c>
      <c r="B812" s="73" t="str">
        <f>IFERROR(VLOOKUP(Proc[[#This Row],[App]],Table2[],3,0),"open")</f>
        <v>ok</v>
      </c>
      <c r="C812" s="72" t="s">
        <v>369</v>
      </c>
      <c r="D812" t="s">
        <v>2533</v>
      </c>
      <c r="E812" t="s">
        <v>658</v>
      </c>
      <c r="F812" s="73" t="s">
        <v>2547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5">
        <v>45719.398958333331</v>
      </c>
      <c r="N812" s="75">
        <v>45722</v>
      </c>
      <c r="O812" s="75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2528</v>
      </c>
      <c r="B813" s="73" t="str">
        <f>IFERROR(VLOOKUP(Proc[[#This Row],[App]],Table2[],3,0),"open")</f>
        <v>ok</v>
      </c>
      <c r="C813" s="72" t="s">
        <v>369</v>
      </c>
      <c r="D813" t="s">
        <v>2534</v>
      </c>
      <c r="E813" t="s">
        <v>658</v>
      </c>
      <c r="F813" s="73" t="s">
        <v>2547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5">
        <v>45719.398958333331</v>
      </c>
      <c r="N813" s="75">
        <v>45722</v>
      </c>
      <c r="O813" s="75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2528</v>
      </c>
      <c r="B814" s="73" t="str">
        <f>IFERROR(VLOOKUP(Proc[[#This Row],[App]],Table2[],3,0),"open")</f>
        <v>ok</v>
      </c>
      <c r="C814" s="72" t="s">
        <v>369</v>
      </c>
      <c r="D814" t="s">
        <v>2535</v>
      </c>
      <c r="E814" t="s">
        <v>658</v>
      </c>
      <c r="F814" s="73" t="s">
        <v>2547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5">
        <v>45719.398958333331</v>
      </c>
      <c r="N814" s="75">
        <v>45722</v>
      </c>
      <c r="O814" s="75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2528</v>
      </c>
      <c r="B815" s="73" t="str">
        <f>IFERROR(VLOOKUP(Proc[[#This Row],[App]],Table2[],3,0),"open")</f>
        <v>ok</v>
      </c>
      <c r="C815" s="72" t="s">
        <v>369</v>
      </c>
      <c r="D815" t="s">
        <v>2536</v>
      </c>
      <c r="E815" t="s">
        <v>658</v>
      </c>
      <c r="F815" s="73" t="s">
        <v>2547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5">
        <v>45719.398958333331</v>
      </c>
      <c r="N815" s="75">
        <v>45722</v>
      </c>
      <c r="O815" s="75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2528</v>
      </c>
      <c r="B816" s="73" t="str">
        <f>IFERROR(VLOOKUP(Proc[[#This Row],[App]],Table2[],3,0),"open")</f>
        <v>ok</v>
      </c>
      <c r="C816" s="72" t="s">
        <v>369</v>
      </c>
      <c r="D816" t="s">
        <v>2537</v>
      </c>
      <c r="E816" t="s">
        <v>658</v>
      </c>
      <c r="F816" s="73" t="s">
        <v>2547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5">
        <v>45719.398958333331</v>
      </c>
      <c r="N816" s="75">
        <v>45722</v>
      </c>
      <c r="O816" s="75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2528</v>
      </c>
      <c r="B817" s="73" t="str">
        <f>IFERROR(VLOOKUP(Proc[[#This Row],[App]],Table2[],3,0),"open")</f>
        <v>ok</v>
      </c>
      <c r="C817" s="72" t="s">
        <v>369</v>
      </c>
      <c r="D817" t="s">
        <v>2538</v>
      </c>
      <c r="E817" t="s">
        <v>658</v>
      </c>
      <c r="F817" s="73" t="s">
        <v>2547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5">
        <v>45719.398958333331</v>
      </c>
      <c r="N817" s="75">
        <v>45722</v>
      </c>
      <c r="O817" s="75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2528</v>
      </c>
      <c r="B818" s="73" t="str">
        <f>IFERROR(VLOOKUP(Proc[[#This Row],[App]],Table2[],3,0),"open")</f>
        <v>ok</v>
      </c>
      <c r="C818" s="72" t="s">
        <v>369</v>
      </c>
      <c r="D818" t="s">
        <v>2539</v>
      </c>
      <c r="E818" t="s">
        <v>658</v>
      </c>
      <c r="F818" s="73" t="s">
        <v>2547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5">
        <v>45719.398958333331</v>
      </c>
      <c r="N818" s="75">
        <v>45722</v>
      </c>
      <c r="O818" s="75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2528</v>
      </c>
      <c r="B819" s="73" t="str">
        <f>IFERROR(VLOOKUP(Proc[[#This Row],[App]],Table2[],3,0),"open")</f>
        <v>ok</v>
      </c>
      <c r="C819" s="72" t="s">
        <v>369</v>
      </c>
      <c r="D819" t="s">
        <v>2540</v>
      </c>
      <c r="E819" t="s">
        <v>658</v>
      </c>
      <c r="F819" s="73" t="s">
        <v>2547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5">
        <v>45719.398958333331</v>
      </c>
      <c r="N819" s="75">
        <v>45722</v>
      </c>
      <c r="O819" s="75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2528</v>
      </c>
      <c r="B820" s="73" t="str">
        <f>IFERROR(VLOOKUP(Proc[[#This Row],[App]],Table2[],3,0),"open")</f>
        <v>ok</v>
      </c>
      <c r="C820" s="72" t="s">
        <v>369</v>
      </c>
      <c r="D820" t="s">
        <v>2541</v>
      </c>
      <c r="E820" t="s">
        <v>658</v>
      </c>
      <c r="F820" s="73" t="s">
        <v>2550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5">
        <v>45719.398958333331</v>
      </c>
      <c r="N820" s="75">
        <v>45722</v>
      </c>
      <c r="O820" s="75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2528</v>
      </c>
      <c r="B821" s="73" t="str">
        <f>IFERROR(VLOOKUP(Proc[[#This Row],[App]],Table2[],3,0),"open")</f>
        <v>ok</v>
      </c>
      <c r="C821" s="72" t="s">
        <v>369</v>
      </c>
      <c r="D821" t="s">
        <v>2542</v>
      </c>
      <c r="E821" t="s">
        <v>658</v>
      </c>
      <c r="F821" s="73" t="s">
        <v>2550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5">
        <v>45719.398958333331</v>
      </c>
      <c r="N821" s="75">
        <v>45722</v>
      </c>
      <c r="O821" s="75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2528</v>
      </c>
      <c r="B822" s="73" t="str">
        <f>IFERROR(VLOOKUP(Proc[[#This Row],[App]],Table2[],3,0),"open")</f>
        <v>ok</v>
      </c>
      <c r="C822" t="s">
        <v>377</v>
      </c>
      <c r="D822" t="s">
        <v>2543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5">
        <v>45719.398958333331</v>
      </c>
      <c r="O822" s="75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2528</v>
      </c>
      <c r="B823" s="73" t="str">
        <f>IFERROR(VLOOKUP(Proc[[#This Row],[App]],Table2[],3,0),"open")</f>
        <v>ok</v>
      </c>
      <c r="C823" s="72" t="s">
        <v>377</v>
      </c>
      <c r="D823" t="s">
        <v>2544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5">
        <v>45719.398958333331</v>
      </c>
      <c r="O823" s="75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2528</v>
      </c>
      <c r="B824" s="73" t="str">
        <f>IFERROR(VLOOKUP(Proc[[#This Row],[App]],Table2[],3,0),"open")</f>
        <v>ok</v>
      </c>
      <c r="C824" s="72" t="s">
        <v>377</v>
      </c>
      <c r="D824" t="s">
        <v>2545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5">
        <v>45719.398958333331</v>
      </c>
      <c r="O824" s="75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2528</v>
      </c>
      <c r="B825" s="73" t="str">
        <f>IFERROR(VLOOKUP(Proc[[#This Row],[App]],Table2[],3,0),"open")</f>
        <v>ok</v>
      </c>
      <c r="C825" s="72" t="s">
        <v>377</v>
      </c>
      <c r="D825" t="s">
        <v>2546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5">
        <v>45719.398958333331</v>
      </c>
      <c r="O825" s="75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2556</v>
      </c>
      <c r="B826" s="73" t="str">
        <f>IFERROR(VLOOKUP(Proc[[#This Row],[App]],Table2[],3,0),"open")</f>
        <v>ok</v>
      </c>
      <c r="C826" s="72" t="s">
        <v>369</v>
      </c>
      <c r="D826" t="s">
        <v>2551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5">
        <v>45719.3903125</v>
      </c>
      <c r="N826" s="75">
        <v>45721</v>
      </c>
      <c r="O826" s="75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2556</v>
      </c>
      <c r="B827" s="73" t="str">
        <f>IFERROR(VLOOKUP(Proc[[#This Row],[App]],Table2[],3,0),"open")</f>
        <v>ok</v>
      </c>
      <c r="C827" s="72" t="s">
        <v>369</v>
      </c>
      <c r="D827" t="s">
        <v>2552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5">
        <v>45719.3903125</v>
      </c>
      <c r="N827" s="75">
        <v>45721</v>
      </c>
      <c r="O827" s="75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2556</v>
      </c>
      <c r="B828" s="73" t="str">
        <f>IFERROR(VLOOKUP(Proc[[#This Row],[App]],Table2[],3,0),"open")</f>
        <v>ok</v>
      </c>
      <c r="C828" s="72" t="s">
        <v>369</v>
      </c>
      <c r="D828" t="s">
        <v>2553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5">
        <v>45719.3903125</v>
      </c>
      <c r="N828" s="75">
        <v>45721</v>
      </c>
      <c r="O828" s="75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2556</v>
      </c>
      <c r="B829" s="73" t="str">
        <f>IFERROR(VLOOKUP(Proc[[#This Row],[App]],Table2[],3,0),"open")</f>
        <v>ok</v>
      </c>
      <c r="C829" s="72" t="s">
        <v>369</v>
      </c>
      <c r="D829" t="s">
        <v>2554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5">
        <v>45719.3903125</v>
      </c>
      <c r="N829" s="75">
        <v>45721</v>
      </c>
      <c r="O829" s="75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2556</v>
      </c>
      <c r="B830" s="73" t="str">
        <f>IFERROR(VLOOKUP(Proc[[#This Row],[App]],Table2[],3,0),"open")</f>
        <v>ok</v>
      </c>
      <c r="C830" s="72" t="s">
        <v>369</v>
      </c>
      <c r="D830" t="s">
        <v>2555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5">
        <v>45719.3903125</v>
      </c>
      <c r="N830" s="75">
        <v>45721</v>
      </c>
      <c r="O830" s="75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2558</v>
      </c>
      <c r="B831" s="73" t="str">
        <f>IFERROR(VLOOKUP(Proc[[#This Row],[App]],Table2[],3,0),"open")</f>
        <v>ok</v>
      </c>
      <c r="C831" s="72" t="s">
        <v>369</v>
      </c>
      <c r="D831" t="s">
        <v>2557</v>
      </c>
      <c r="E831" t="s">
        <v>2559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5">
        <v>45719.855474537035</v>
      </c>
      <c r="N831" s="75">
        <v>45736</v>
      </c>
      <c r="O831" s="75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2563</v>
      </c>
      <c r="B832" s="73" t="str">
        <f>IFERROR(VLOOKUP(Proc[[#This Row],[App]],Table2[],3,0),"open")</f>
        <v>ok</v>
      </c>
      <c r="C832" s="72" t="s">
        <v>369</v>
      </c>
      <c r="D832" t="s">
        <v>2561</v>
      </c>
      <c r="E832" t="s">
        <v>2562</v>
      </c>
      <c r="F832" s="73" t="s">
        <v>1630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75">
        <v>45719.579097222224</v>
      </c>
      <c r="N832" s="75">
        <v>45721</v>
      </c>
      <c r="O832" s="75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1112</v>
      </c>
      <c r="S832" s="73"/>
    </row>
    <row r="833" spans="1:19" hidden="1">
      <c r="A833" t="s">
        <v>2566</v>
      </c>
      <c r="B833" s="73" t="str">
        <f>IFERROR(VLOOKUP(Proc[[#This Row],[App]],Table2[],3,0),"open")</f>
        <v>ok</v>
      </c>
      <c r="C833" t="s">
        <v>369</v>
      </c>
      <c r="D833" t="s">
        <v>2564</v>
      </c>
      <c r="E833" t="s">
        <v>1668</v>
      </c>
      <c r="F833" s="73" t="s">
        <v>2565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5">
        <v>45721.464016203703</v>
      </c>
      <c r="N833" s="75">
        <v>45723</v>
      </c>
      <c r="O833" s="75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2586</v>
      </c>
      <c r="B834" s="73" t="str">
        <f>IFERROR(VLOOKUP(Proc[[#This Row],[App]],Table2[],3,0),"open")</f>
        <v>ok</v>
      </c>
      <c r="C834" t="s">
        <v>369</v>
      </c>
      <c r="D834" t="s">
        <v>2567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75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22</v>
      </c>
      <c r="R834" s="74" t="s">
        <v>1530</v>
      </c>
      <c r="S834" s="73"/>
    </row>
    <row r="835" spans="1:19" hidden="1">
      <c r="A835" t="s">
        <v>2586</v>
      </c>
      <c r="B835" s="73" t="str">
        <f>IFERROR(VLOOKUP(Proc[[#This Row],[App]],Table2[],3,0),"open")</f>
        <v>ok</v>
      </c>
      <c r="C835" s="72" t="s">
        <v>369</v>
      </c>
      <c r="D835" t="s">
        <v>2568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75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22</v>
      </c>
      <c r="R835" s="74" t="s">
        <v>1530</v>
      </c>
      <c r="S835" s="73"/>
    </row>
    <row r="836" spans="1:19" hidden="1">
      <c r="A836" t="s">
        <v>2586</v>
      </c>
      <c r="B836" s="73" t="str">
        <f>IFERROR(VLOOKUP(Proc[[#This Row],[App]],Table2[],3,0),"open")</f>
        <v>ok</v>
      </c>
      <c r="C836" s="72" t="s">
        <v>369</v>
      </c>
      <c r="D836" t="s">
        <v>2569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75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22</v>
      </c>
      <c r="R836" s="74" t="s">
        <v>1530</v>
      </c>
      <c r="S836" s="73"/>
    </row>
    <row r="837" spans="1:19" hidden="1">
      <c r="A837" t="s">
        <v>2586</v>
      </c>
      <c r="B837" s="73" t="str">
        <f>IFERROR(VLOOKUP(Proc[[#This Row],[App]],Table2[],3,0),"open")</f>
        <v>ok</v>
      </c>
      <c r="C837" s="72" t="s">
        <v>369</v>
      </c>
      <c r="D837" t="s">
        <v>2570</v>
      </c>
      <c r="E837" t="s">
        <v>1529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75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22</v>
      </c>
      <c r="R837" s="74" t="s">
        <v>1530</v>
      </c>
      <c r="S837" s="73"/>
    </row>
    <row r="838" spans="1:19" hidden="1">
      <c r="A838" t="s">
        <v>2586</v>
      </c>
      <c r="B838" s="73" t="str">
        <f>IFERROR(VLOOKUP(Proc[[#This Row],[App]],Table2[],3,0),"open")</f>
        <v>ok</v>
      </c>
      <c r="C838" s="72" t="s">
        <v>369</v>
      </c>
      <c r="D838" t="s">
        <v>2571</v>
      </c>
      <c r="E838" t="s">
        <v>2587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75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22</v>
      </c>
      <c r="R838" s="74" t="s">
        <v>1530</v>
      </c>
      <c r="S838" s="73"/>
    </row>
    <row r="839" spans="1:19" hidden="1">
      <c r="A839" t="s">
        <v>2586</v>
      </c>
      <c r="B839" s="73" t="str">
        <f>IFERROR(VLOOKUP(Proc[[#This Row],[App]],Table2[],3,0),"open")</f>
        <v>ok</v>
      </c>
      <c r="C839" t="s">
        <v>369</v>
      </c>
      <c r="D839" t="s">
        <v>2572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I839" t="s">
        <v>2870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O839" s="75">
        <v>45749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21</v>
      </c>
      <c r="R839" s="74" t="s">
        <v>1530</v>
      </c>
      <c r="S839" s="73"/>
    </row>
    <row r="840" spans="1:19" hidden="1">
      <c r="A840" t="s">
        <v>2586</v>
      </c>
      <c r="B840" s="73" t="str">
        <f>IFERROR(VLOOKUP(Proc[[#This Row],[App]],Table2[],3,0),"open")</f>
        <v>ok</v>
      </c>
      <c r="C840" s="72" t="s">
        <v>369</v>
      </c>
      <c r="D840" t="s">
        <v>2573</v>
      </c>
      <c r="E840" t="s">
        <v>2588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75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22</v>
      </c>
      <c r="R840" s="74" t="s">
        <v>1530</v>
      </c>
      <c r="S840" s="73"/>
    </row>
    <row r="841" spans="1:19" hidden="1">
      <c r="A841" t="s">
        <v>2586</v>
      </c>
      <c r="B841" s="73" t="str">
        <f>IFERROR(VLOOKUP(Proc[[#This Row],[App]],Table2[],3,0),"open")</f>
        <v>ok</v>
      </c>
      <c r="C841" s="72" t="s">
        <v>369</v>
      </c>
      <c r="D841" t="s">
        <v>2574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75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22</v>
      </c>
      <c r="R841" s="74" t="s">
        <v>1530</v>
      </c>
      <c r="S841" s="73"/>
    </row>
    <row r="842" spans="1:19" hidden="1">
      <c r="A842" t="s">
        <v>2586</v>
      </c>
      <c r="B842" s="73" t="str">
        <f>IFERROR(VLOOKUP(Proc[[#This Row],[App]],Table2[],3,0),"open")</f>
        <v>ok</v>
      </c>
      <c r="C842" s="72" t="s">
        <v>369</v>
      </c>
      <c r="D842" t="s">
        <v>2575</v>
      </c>
      <c r="E842" t="s">
        <v>1529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75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22</v>
      </c>
      <c r="R842" s="74" t="s">
        <v>1530</v>
      </c>
      <c r="S842" s="73"/>
    </row>
    <row r="843" spans="1:19" hidden="1">
      <c r="A843" t="s">
        <v>2586</v>
      </c>
      <c r="B843" s="73" t="str">
        <f>IFERROR(VLOOKUP(Proc[[#This Row],[App]],Table2[],3,0),"open")</f>
        <v>ok</v>
      </c>
      <c r="C843" s="72" t="s">
        <v>369</v>
      </c>
      <c r="D843" t="s">
        <v>2576</v>
      </c>
      <c r="E843" t="s">
        <v>1529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75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22</v>
      </c>
      <c r="R843" s="74" t="s">
        <v>1530</v>
      </c>
      <c r="S843" s="73"/>
    </row>
    <row r="844" spans="1:19" hidden="1">
      <c r="A844" t="s">
        <v>2586</v>
      </c>
      <c r="B844" s="73" t="str">
        <f>IFERROR(VLOOKUP(Proc[[#This Row],[App]],Table2[],3,0),"open")</f>
        <v>ok</v>
      </c>
      <c r="C844" s="72" t="s">
        <v>369</v>
      </c>
      <c r="D844" t="s">
        <v>2577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75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22</v>
      </c>
      <c r="R844" s="74" t="s">
        <v>1530</v>
      </c>
      <c r="S844" s="73"/>
    </row>
    <row r="845" spans="1:19" hidden="1">
      <c r="A845" t="s">
        <v>2586</v>
      </c>
      <c r="B845" s="73" t="str">
        <f>IFERROR(VLOOKUP(Proc[[#This Row],[App]],Table2[],3,0),"open")</f>
        <v>ok</v>
      </c>
      <c r="C845" s="72" t="s">
        <v>369</v>
      </c>
      <c r="D845" t="s">
        <v>2578</v>
      </c>
      <c r="E845" t="s">
        <v>1285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75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22</v>
      </c>
      <c r="R845" s="74" t="s">
        <v>1530</v>
      </c>
      <c r="S845" s="73"/>
    </row>
    <row r="846" spans="1:19" hidden="1">
      <c r="A846" t="s">
        <v>2586</v>
      </c>
      <c r="B846" s="73" t="str">
        <f>IFERROR(VLOOKUP(Proc[[#This Row],[App]],Table2[],3,0),"open")</f>
        <v>ok</v>
      </c>
      <c r="C846" s="72" t="s">
        <v>369</v>
      </c>
      <c r="D846" t="s">
        <v>2579</v>
      </c>
      <c r="E846" t="s">
        <v>1285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75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22</v>
      </c>
      <c r="R846" s="74" t="s">
        <v>1530</v>
      </c>
      <c r="S846" s="73"/>
    </row>
    <row r="847" spans="1:19" hidden="1">
      <c r="A847" t="s">
        <v>2586</v>
      </c>
      <c r="B847" s="73" t="str">
        <f>IFERROR(VLOOKUP(Proc[[#This Row],[App]],Table2[],3,0),"open")</f>
        <v>ok</v>
      </c>
      <c r="C847" s="72" t="s">
        <v>369</v>
      </c>
      <c r="D847" t="s">
        <v>2580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75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22</v>
      </c>
      <c r="R847" s="74" t="s">
        <v>1530</v>
      </c>
      <c r="S847" s="73"/>
    </row>
    <row r="848" spans="1:19" hidden="1">
      <c r="A848" t="s">
        <v>2586</v>
      </c>
      <c r="B848" s="73" t="str">
        <f>IFERROR(VLOOKUP(Proc[[#This Row],[App]],Table2[],3,0),"open")</f>
        <v>ok</v>
      </c>
      <c r="C848" s="72" t="s">
        <v>369</v>
      </c>
      <c r="D848" t="s">
        <v>2581</v>
      </c>
      <c r="E848" t="s">
        <v>1529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75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22</v>
      </c>
      <c r="R848" s="74" t="s">
        <v>1530</v>
      </c>
      <c r="S848" s="73"/>
    </row>
    <row r="849" spans="1:19" hidden="1">
      <c r="A849" t="s">
        <v>2586</v>
      </c>
      <c r="B849" s="73" t="str">
        <f>IFERROR(VLOOKUP(Proc[[#This Row],[App]],Table2[],3,0),"open")</f>
        <v>ok</v>
      </c>
      <c r="C849" s="72" t="s">
        <v>369</v>
      </c>
      <c r="D849" t="s">
        <v>2582</v>
      </c>
      <c r="E849" t="s">
        <v>1529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75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22</v>
      </c>
      <c r="R849" s="74" t="s">
        <v>1530</v>
      </c>
      <c r="S849" s="73"/>
    </row>
    <row r="850" spans="1:19" hidden="1">
      <c r="A850" t="s">
        <v>2586</v>
      </c>
      <c r="B850" s="73" t="str">
        <f>IFERROR(VLOOKUP(Proc[[#This Row],[App]],Table2[],3,0),"open")</f>
        <v>ok</v>
      </c>
      <c r="C850" s="72" t="s">
        <v>369</v>
      </c>
      <c r="D850" t="s">
        <v>2583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75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22</v>
      </c>
      <c r="R850" s="74" t="s">
        <v>1530</v>
      </c>
      <c r="S850" s="73"/>
    </row>
    <row r="851" spans="1:19" hidden="1">
      <c r="A851" t="s">
        <v>2586</v>
      </c>
      <c r="B851" s="73" t="str">
        <f>IFERROR(VLOOKUP(Proc[[#This Row],[App]],Table2[],3,0),"open")</f>
        <v>ok</v>
      </c>
      <c r="C851" s="72" t="s">
        <v>369</v>
      </c>
      <c r="D851" t="s">
        <v>2584</v>
      </c>
      <c r="E851" t="s">
        <v>2589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75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22</v>
      </c>
      <c r="R851" s="74" t="s">
        <v>1530</v>
      </c>
      <c r="S851" s="73"/>
    </row>
    <row r="852" spans="1:19" hidden="1">
      <c r="A852" t="s">
        <v>2586</v>
      </c>
      <c r="B852" s="73" t="str">
        <f>IFERROR(VLOOKUP(Proc[[#This Row],[App]],Table2[],3,0),"open")</f>
        <v>ok</v>
      </c>
      <c r="C852" s="72" t="s">
        <v>369</v>
      </c>
      <c r="D852" t="s">
        <v>2585</v>
      </c>
      <c r="E852" t="s">
        <v>1529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5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22</v>
      </c>
      <c r="R852" s="74" t="s">
        <v>1530</v>
      </c>
      <c r="S852" s="73"/>
    </row>
    <row r="853" spans="1:19" hidden="1">
      <c r="A853" t="s">
        <v>2598</v>
      </c>
      <c r="B853" s="73" t="str">
        <f>IFERROR(VLOOKUP(Proc[[#This Row],[App]],Table2[],3,0),"open")</f>
        <v>ok</v>
      </c>
      <c r="C853" s="72" t="s">
        <v>377</v>
      </c>
      <c r="D853" t="s">
        <v>2591</v>
      </c>
      <c r="E853" t="s">
        <v>2592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75">
        <v>45720.458009259259</v>
      </c>
      <c r="O853" s="75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2598</v>
      </c>
      <c r="B854" s="73" t="str">
        <f>IFERROR(VLOOKUP(Proc[[#This Row],[App]],Table2[],3,0),"open")</f>
        <v>ok</v>
      </c>
      <c r="C854" s="72" t="s">
        <v>377</v>
      </c>
      <c r="D854" t="s">
        <v>2593</v>
      </c>
      <c r="E854" t="s">
        <v>2592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75">
        <v>45720.458009259259</v>
      </c>
      <c r="O854" s="75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2598</v>
      </c>
      <c r="B855" s="73" t="str">
        <f>IFERROR(VLOOKUP(Proc[[#This Row],[App]],Table2[],3,0),"open")</f>
        <v>ok</v>
      </c>
      <c r="C855" s="72" t="s">
        <v>377</v>
      </c>
      <c r="D855" t="s">
        <v>2594</v>
      </c>
      <c r="E855" t="s">
        <v>2592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5">
        <v>45720.458009259259</v>
      </c>
      <c r="O855" s="75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2598</v>
      </c>
      <c r="B856" s="73" t="str">
        <f>IFERROR(VLOOKUP(Proc[[#This Row],[App]],Table2[],3,0),"open")</f>
        <v>ok</v>
      </c>
      <c r="C856" s="72" t="s">
        <v>369</v>
      </c>
      <c r="D856" t="s">
        <v>2595</v>
      </c>
      <c r="E856" t="s">
        <v>2592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5">
        <v>45720.458009259259</v>
      </c>
      <c r="N856" s="75">
        <v>45722</v>
      </c>
      <c r="O856" s="75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2598</v>
      </c>
      <c r="B857" s="73" t="str">
        <f>IFERROR(VLOOKUP(Proc[[#This Row],[App]],Table2[],3,0),"open")</f>
        <v>ok</v>
      </c>
      <c r="C857" s="72" t="s">
        <v>369</v>
      </c>
      <c r="D857" t="s">
        <v>2596</v>
      </c>
      <c r="E857" t="s">
        <v>2592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5">
        <v>45720.458009259259</v>
      </c>
      <c r="N857" s="75">
        <v>45722</v>
      </c>
      <c r="O857" s="75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2598</v>
      </c>
      <c r="B858" s="73" t="str">
        <f>IFERROR(VLOOKUP(Proc[[#This Row],[App]],Table2[],3,0),"open")</f>
        <v>ok</v>
      </c>
      <c r="C858" s="72" t="s">
        <v>369</v>
      </c>
      <c r="D858" t="s">
        <v>2597</v>
      </c>
      <c r="E858" t="s">
        <v>2592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5">
        <v>45720.458009259259</v>
      </c>
      <c r="N858" s="75">
        <v>45722</v>
      </c>
      <c r="O858" s="75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2603</v>
      </c>
      <c r="B859" s="73" t="str">
        <f>IFERROR(VLOOKUP(Proc[[#This Row],[App]],Table2[],3,0),"open")</f>
        <v>ok</v>
      </c>
      <c r="C859" s="72" t="s">
        <v>369</v>
      </c>
      <c r="D859" t="s">
        <v>2599</v>
      </c>
      <c r="E859" t="s">
        <v>658</v>
      </c>
      <c r="F859" s="73" t="s">
        <v>2602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75">
        <v>45720.413402777776</v>
      </c>
      <c r="N859" s="75">
        <v>45723</v>
      </c>
      <c r="O859" s="75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2603</v>
      </c>
      <c r="B860" s="73" t="str">
        <f>IFERROR(VLOOKUP(Proc[[#This Row],[App]],Table2[],3,0),"open")</f>
        <v>ok</v>
      </c>
      <c r="C860" s="72" t="s">
        <v>377</v>
      </c>
      <c r="D860" t="s">
        <v>2600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75">
        <v>45720.413402777776</v>
      </c>
      <c r="O860" s="75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2603</v>
      </c>
      <c r="B861" s="73" t="str">
        <f>IFERROR(VLOOKUP(Proc[[#This Row],[App]],Table2[],3,0),"open")</f>
        <v>ok</v>
      </c>
      <c r="C861" s="72" t="s">
        <v>377</v>
      </c>
      <c r="D861" t="s">
        <v>2601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5">
        <v>45720.413402777776</v>
      </c>
      <c r="O861" s="75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2641</v>
      </c>
      <c r="B862" s="73" t="str">
        <f>IFERROR(VLOOKUP(Proc[[#This Row],[App]],Table2[],3,0),"open")</f>
        <v>ok</v>
      </c>
      <c r="C862" t="s">
        <v>369</v>
      </c>
      <c r="D862" t="s">
        <v>2604</v>
      </c>
      <c r="E862" t="s">
        <v>2622</v>
      </c>
      <c r="F862" s="73" t="s">
        <v>1316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75">
        <v>45720.368101851855</v>
      </c>
      <c r="N862" s="75">
        <v>45722</v>
      </c>
      <c r="O862" s="75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2641</v>
      </c>
      <c r="B863" s="73" t="str">
        <f>IFERROR(VLOOKUP(Proc[[#This Row],[App]],Table2[],3,0),"open")</f>
        <v>ok</v>
      </c>
      <c r="C863" s="72" t="s">
        <v>369</v>
      </c>
      <c r="D863" t="s">
        <v>2605</v>
      </c>
      <c r="E863" t="s">
        <v>2623</v>
      </c>
      <c r="F863" s="73" t="s">
        <v>1316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75">
        <v>45720.368101851855</v>
      </c>
      <c r="N863" s="75">
        <v>45722</v>
      </c>
      <c r="O863" s="75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2641</v>
      </c>
      <c r="B864" s="73" t="str">
        <f>IFERROR(VLOOKUP(Proc[[#This Row],[App]],Table2[],3,0),"open")</f>
        <v>ok</v>
      </c>
      <c r="C864" s="72" t="s">
        <v>369</v>
      </c>
      <c r="D864" t="s">
        <v>2606</v>
      </c>
      <c r="E864" t="s">
        <v>2624</v>
      </c>
      <c r="F864" s="73" t="s">
        <v>1316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75">
        <v>45720.368101851855</v>
      </c>
      <c r="N864" s="75">
        <v>45722</v>
      </c>
      <c r="O864" s="75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2641</v>
      </c>
      <c r="B865" s="73" t="str">
        <f>IFERROR(VLOOKUP(Proc[[#This Row],[App]],Table2[],3,0),"open")</f>
        <v>ok</v>
      </c>
      <c r="C865" s="72" t="s">
        <v>369</v>
      </c>
      <c r="D865" t="s">
        <v>2607</v>
      </c>
      <c r="E865" t="s">
        <v>2624</v>
      </c>
      <c r="F865" s="73" t="s">
        <v>1316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75">
        <v>45720.368101851855</v>
      </c>
      <c r="N865" s="75">
        <v>45722</v>
      </c>
      <c r="O865" s="75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2641</v>
      </c>
      <c r="B866" s="73" t="str">
        <f>IFERROR(VLOOKUP(Proc[[#This Row],[App]],Table2[],3,0),"open")</f>
        <v>ok</v>
      </c>
      <c r="C866" s="72" t="s">
        <v>369</v>
      </c>
      <c r="D866" t="s">
        <v>2608</v>
      </c>
      <c r="E866" t="s">
        <v>2625</v>
      </c>
      <c r="F866" s="73" t="s">
        <v>1522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75">
        <v>45720.368101851855</v>
      </c>
      <c r="N866" s="75">
        <v>45722</v>
      </c>
      <c r="O866" s="75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2641</v>
      </c>
      <c r="B867" s="73" t="str">
        <f>IFERROR(VLOOKUP(Proc[[#This Row],[App]],Table2[],3,0),"open")</f>
        <v>ok</v>
      </c>
      <c r="C867" s="72" t="s">
        <v>369</v>
      </c>
      <c r="D867" t="s">
        <v>2609</v>
      </c>
      <c r="E867" t="s">
        <v>2626</v>
      </c>
      <c r="F867" s="73" t="s">
        <v>1316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75">
        <v>45720.368101851855</v>
      </c>
      <c r="N867" s="75">
        <v>45722</v>
      </c>
      <c r="O867" s="75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2641</v>
      </c>
      <c r="B868" s="73" t="str">
        <f>IFERROR(VLOOKUP(Proc[[#This Row],[App]],Table2[],3,0),"open")</f>
        <v>ok</v>
      </c>
      <c r="C868" s="72" t="s">
        <v>369</v>
      </c>
      <c r="D868" t="s">
        <v>2610</v>
      </c>
      <c r="E868" t="s">
        <v>2627</v>
      </c>
      <c r="F868" s="73" t="s">
        <v>1316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75">
        <v>45720.368101851855</v>
      </c>
      <c r="N868" s="75">
        <v>45722</v>
      </c>
      <c r="O868" s="75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2641</v>
      </c>
      <c r="B869" s="73" t="str">
        <f>IFERROR(VLOOKUP(Proc[[#This Row],[App]],Table2[],3,0),"open")</f>
        <v>ok</v>
      </c>
      <c r="C869" s="72" t="s">
        <v>369</v>
      </c>
      <c r="D869" t="s">
        <v>2611</v>
      </c>
      <c r="E869" t="s">
        <v>2628</v>
      </c>
      <c r="F869" s="73" t="s">
        <v>1316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75">
        <v>45720.368101851855</v>
      </c>
      <c r="N869" s="75">
        <v>45722</v>
      </c>
      <c r="O869" s="75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2641</v>
      </c>
      <c r="B870" s="73" t="str">
        <f>IFERROR(VLOOKUP(Proc[[#This Row],[App]],Table2[],3,0),"open")</f>
        <v>ok</v>
      </c>
      <c r="C870" s="72" t="s">
        <v>369</v>
      </c>
      <c r="D870" t="s">
        <v>2612</v>
      </c>
      <c r="E870" t="s">
        <v>2628</v>
      </c>
      <c r="F870" s="73" t="s">
        <v>1316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75">
        <v>45720.368101851855</v>
      </c>
      <c r="N870" s="75">
        <v>45722</v>
      </c>
      <c r="O870" s="75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2641</v>
      </c>
      <c r="B871" s="73" t="str">
        <f>IFERROR(VLOOKUP(Proc[[#This Row],[App]],Table2[],3,0),"open")</f>
        <v>ok</v>
      </c>
      <c r="C871" s="72" t="s">
        <v>369</v>
      </c>
      <c r="D871" t="s">
        <v>2613</v>
      </c>
      <c r="E871" t="s">
        <v>2628</v>
      </c>
      <c r="F871" s="73" t="s">
        <v>1316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75">
        <v>45720.368101851855</v>
      </c>
      <c r="N871" s="75">
        <v>45722</v>
      </c>
      <c r="O871" s="75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2641</v>
      </c>
      <c r="B872" s="73" t="str">
        <f>IFERROR(VLOOKUP(Proc[[#This Row],[App]],Table2[],3,0),"open")</f>
        <v>ok</v>
      </c>
      <c r="C872" s="72" t="s">
        <v>369</v>
      </c>
      <c r="D872" t="s">
        <v>2614</v>
      </c>
      <c r="E872" t="s">
        <v>2629</v>
      </c>
      <c r="F872" s="73" t="s">
        <v>2633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75">
        <v>45720.368101851855</v>
      </c>
      <c r="N872" s="75">
        <v>45722</v>
      </c>
      <c r="O872" s="75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2641</v>
      </c>
      <c r="B873" s="73" t="str">
        <f>IFERROR(VLOOKUP(Proc[[#This Row],[App]],Table2[],3,0),"open")</f>
        <v>ok</v>
      </c>
      <c r="C873" s="72" t="s">
        <v>369</v>
      </c>
      <c r="D873" t="s">
        <v>2615</v>
      </c>
      <c r="E873" t="s">
        <v>2630</v>
      </c>
      <c r="F873" s="73" t="s">
        <v>2634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75">
        <v>45720.368101851855</v>
      </c>
      <c r="N873" s="75">
        <v>45722</v>
      </c>
      <c r="O873" s="75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2641</v>
      </c>
      <c r="B874" s="73" t="str">
        <f>IFERROR(VLOOKUP(Proc[[#This Row],[App]],Table2[],3,0),"open")</f>
        <v>ok</v>
      </c>
      <c r="C874" s="72" t="s">
        <v>369</v>
      </c>
      <c r="D874" t="s">
        <v>2616</v>
      </c>
      <c r="E874" t="s">
        <v>2630</v>
      </c>
      <c r="F874" s="73" t="s">
        <v>2635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75">
        <v>45720.368101851855</v>
      </c>
      <c r="N874" s="75">
        <v>45722</v>
      </c>
      <c r="O874" s="75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2641</v>
      </c>
      <c r="B875" s="73" t="str">
        <f>IFERROR(VLOOKUP(Proc[[#This Row],[App]],Table2[],3,0),"open")</f>
        <v>ok</v>
      </c>
      <c r="C875" s="72" t="s">
        <v>369</v>
      </c>
      <c r="D875" t="s">
        <v>2617</v>
      </c>
      <c r="E875" t="s">
        <v>2630</v>
      </c>
      <c r="F875" s="73" t="s">
        <v>2636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75">
        <v>45720.368101851855</v>
      </c>
      <c r="N875" s="75">
        <v>45722</v>
      </c>
      <c r="O875" s="75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2641</v>
      </c>
      <c r="B876" s="73" t="str">
        <f>IFERROR(VLOOKUP(Proc[[#This Row],[App]],Table2[],3,0),"open")</f>
        <v>ok</v>
      </c>
      <c r="C876" s="72" t="s">
        <v>369</v>
      </c>
      <c r="D876" t="s">
        <v>2618</v>
      </c>
      <c r="E876" t="s">
        <v>2631</v>
      </c>
      <c r="F876" s="73" t="s">
        <v>2637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75">
        <v>45720.368101851855</v>
      </c>
      <c r="N876" s="75">
        <v>45722</v>
      </c>
      <c r="O876" s="75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2641</v>
      </c>
      <c r="B877" s="73" t="str">
        <f>IFERROR(VLOOKUP(Proc[[#This Row],[App]],Table2[],3,0),"open")</f>
        <v>ok</v>
      </c>
      <c r="C877" s="72" t="s">
        <v>369</v>
      </c>
      <c r="D877" t="s">
        <v>2619</v>
      </c>
      <c r="E877" t="s">
        <v>2631</v>
      </c>
      <c r="F877" s="73" t="s">
        <v>2638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75">
        <v>45720.368101851855</v>
      </c>
      <c r="N877" s="75">
        <v>45722</v>
      </c>
      <c r="O877" s="75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2641</v>
      </c>
      <c r="B878" s="73" t="str">
        <f>IFERROR(VLOOKUP(Proc[[#This Row],[App]],Table2[],3,0),"open")</f>
        <v>ok</v>
      </c>
      <c r="C878" s="72" t="s">
        <v>369</v>
      </c>
      <c r="D878" t="s">
        <v>2620</v>
      </c>
      <c r="E878" t="s">
        <v>2632</v>
      </c>
      <c r="F878" s="73" t="s">
        <v>2639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75">
        <v>45720.368101851855</v>
      </c>
      <c r="N878" s="75">
        <v>45722</v>
      </c>
      <c r="O878" s="75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2641</v>
      </c>
      <c r="B879" s="73" t="str">
        <f>IFERROR(VLOOKUP(Proc[[#This Row],[App]],Table2[],3,0),"open")</f>
        <v>ok</v>
      </c>
      <c r="C879" s="72" t="s">
        <v>369</v>
      </c>
      <c r="D879" t="s">
        <v>2621</v>
      </c>
      <c r="E879" t="s">
        <v>2632</v>
      </c>
      <c r="F879" s="73" t="s">
        <v>2640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75">
        <v>45720.368101851855</v>
      </c>
      <c r="N879" s="75">
        <v>45722</v>
      </c>
      <c r="O879" s="75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2642</v>
      </c>
      <c r="B880" s="73" t="str">
        <f>IFERROR(VLOOKUP(Proc[[#This Row],[App]],Table2[],3,0),"open")</f>
        <v>ok</v>
      </c>
      <c r="C880" t="s">
        <v>369</v>
      </c>
      <c r="D880" t="s">
        <v>2643</v>
      </c>
      <c r="E880" t="s">
        <v>1529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5">
        <v>45721.618263888886</v>
      </c>
      <c r="N880" s="75">
        <v>45726</v>
      </c>
      <c r="O880" s="75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1530</v>
      </c>
      <c r="S880" s="73"/>
    </row>
    <row r="881" spans="1:19" hidden="1">
      <c r="A881" s="72" t="s">
        <v>2642</v>
      </c>
      <c r="B881" s="73" t="str">
        <f>IFERROR(VLOOKUP(Proc[[#This Row],[App]],Table2[],3,0),"open")</f>
        <v>ok</v>
      </c>
      <c r="C881" s="72" t="s">
        <v>369</v>
      </c>
      <c r="D881" t="s">
        <v>2644</v>
      </c>
      <c r="E881" t="s">
        <v>1529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5">
        <v>45721.618263888886</v>
      </c>
      <c r="N881" s="75">
        <v>45726</v>
      </c>
      <c r="O881" s="75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1530</v>
      </c>
      <c r="S881" s="73"/>
    </row>
    <row r="882" spans="1:19" hidden="1">
      <c r="A882" t="s">
        <v>2647</v>
      </c>
      <c r="B882" s="73" t="str">
        <f>IFERROR(VLOOKUP(Proc[[#This Row],[App]],Table2[],3,0),"open")</f>
        <v>ok</v>
      </c>
      <c r="C882" t="s">
        <v>398</v>
      </c>
      <c r="D882" t="s">
        <v>2645</v>
      </c>
      <c r="E882" t="s">
        <v>2632</v>
      </c>
      <c r="F882" s="73" t="s">
        <v>1316</v>
      </c>
      <c r="G882" s="72" t="s">
        <v>400</v>
      </c>
      <c r="H882" s="73" t="str">
        <f>IF(Proc[[#This Row],[type]]="LFF (MDG-F)",MID(Proc[[#This Row],[Obj]],13,10),"")</f>
        <v/>
      </c>
      <c r="I882" t="s">
        <v>1250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75">
        <v>45722.670775462961</v>
      </c>
      <c r="O882" s="75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1003</v>
      </c>
      <c r="S882" s="73"/>
    </row>
    <row r="883" spans="1:19" hidden="1">
      <c r="A883" s="72" t="s">
        <v>2647</v>
      </c>
      <c r="B883" s="73" t="str">
        <f>IFERROR(VLOOKUP(Proc[[#This Row],[App]],Table2[],3,0),"open")</f>
        <v>ok</v>
      </c>
      <c r="C883" s="72" t="s">
        <v>369</v>
      </c>
      <c r="D883" t="s">
        <v>2646</v>
      </c>
      <c r="E883" t="s">
        <v>2648</v>
      </c>
      <c r="F883" s="73" t="s">
        <v>2649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75">
        <v>45722.670775462961</v>
      </c>
      <c r="N883" s="75">
        <v>45726</v>
      </c>
      <c r="O883" s="75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1003</v>
      </c>
      <c r="S883" s="73"/>
    </row>
    <row r="884" spans="1:19" hidden="1">
      <c r="A884" t="s">
        <v>2653</v>
      </c>
      <c r="B884" s="73" t="str">
        <f>IFERROR(VLOOKUP(Proc[[#This Row],[App]],Table2[],3,0),"open")</f>
        <v>ok</v>
      </c>
      <c r="C884" s="72" t="s">
        <v>369</v>
      </c>
      <c r="D884" t="s">
        <v>2650</v>
      </c>
      <c r="E884" t="s">
        <v>2652</v>
      </c>
      <c r="F884" s="72" t="s">
        <v>2651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75">
        <v>45719.608877314815</v>
      </c>
      <c r="N884" s="75">
        <v>45729</v>
      </c>
      <c r="O884" s="75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2654</v>
      </c>
      <c r="B885" s="73" t="str">
        <f>IFERROR(VLOOKUP(Proc[[#This Row],[App]],Table2[],3,0),"open")</f>
        <v>ok</v>
      </c>
      <c r="C885" s="72" t="s">
        <v>369</v>
      </c>
      <c r="D885" t="s">
        <v>2655</v>
      </c>
      <c r="E885" t="s">
        <v>2657</v>
      </c>
      <c r="F885" s="73" t="s">
        <v>2656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75">
        <v>45726.768182870372</v>
      </c>
      <c r="N885" s="75">
        <v>45729</v>
      </c>
      <c r="O885" s="75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2667</v>
      </c>
      <c r="S885" s="73"/>
    </row>
    <row r="886" spans="1:19" hidden="1">
      <c r="A886" t="s">
        <v>2662</v>
      </c>
      <c r="B886" s="73" t="str">
        <f>IFERROR(VLOOKUP(Proc[[#This Row],[App]],Table2[],3,0),"open")</f>
        <v>ok</v>
      </c>
      <c r="C886" s="72" t="s">
        <v>369</v>
      </c>
      <c r="D886" t="s">
        <v>2658</v>
      </c>
      <c r="E886" t="s">
        <v>2663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5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</v>
      </c>
      <c r="R886" s="74" t="s">
        <v>2667</v>
      </c>
      <c r="S886" s="73"/>
    </row>
    <row r="887" spans="1:19" hidden="1">
      <c r="A887" s="72" t="s">
        <v>2662</v>
      </c>
      <c r="B887" s="73" t="str">
        <f>IFERROR(VLOOKUP(Proc[[#This Row],[App]],Table2[],3,0),"open")</f>
        <v>ok</v>
      </c>
      <c r="C887" s="72" t="s">
        <v>369</v>
      </c>
      <c r="D887" t="s">
        <v>2659</v>
      </c>
      <c r="E887" t="s">
        <v>2664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5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</v>
      </c>
      <c r="R887" s="74" t="s">
        <v>2667</v>
      </c>
      <c r="S887" s="73"/>
    </row>
    <row r="888" spans="1:19" hidden="1">
      <c r="A888" s="72" t="s">
        <v>2662</v>
      </c>
      <c r="B888" s="73" t="str">
        <f>IFERROR(VLOOKUP(Proc[[#This Row],[App]],Table2[],3,0),"open")</f>
        <v>ok</v>
      </c>
      <c r="C888" s="72" t="s">
        <v>369</v>
      </c>
      <c r="D888" t="s">
        <v>2660</v>
      </c>
      <c r="E888" t="s">
        <v>2665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5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</v>
      </c>
      <c r="R888" s="74" t="s">
        <v>2667</v>
      </c>
      <c r="S888" s="73"/>
    </row>
    <row r="889" spans="1:19" hidden="1">
      <c r="A889" s="72" t="s">
        <v>2662</v>
      </c>
      <c r="B889" s="73" t="str">
        <f>IFERROR(VLOOKUP(Proc[[#This Row],[App]],Table2[],3,0),"open")</f>
        <v>ok</v>
      </c>
      <c r="C889" s="72" t="s">
        <v>369</v>
      </c>
      <c r="D889" t="s">
        <v>2661</v>
      </c>
      <c r="E889" t="s">
        <v>2690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5">
        <v>45726.760057870371</v>
      </c>
      <c r="N889" s="75">
        <v>45735</v>
      </c>
      <c r="O889" s="75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2667</v>
      </c>
      <c r="S889" s="73"/>
    </row>
    <row r="890" spans="1:19" hidden="1">
      <c r="A890" t="s">
        <v>2668</v>
      </c>
      <c r="B890" s="73" t="str">
        <f>IFERROR(VLOOKUP(Proc[[#This Row],[App]],Table2[],3,0),"open")</f>
        <v>ok</v>
      </c>
      <c r="C890" t="s">
        <v>369</v>
      </c>
      <c r="D890" t="s">
        <v>2669</v>
      </c>
      <c r="E890" t="s">
        <v>2686</v>
      </c>
      <c r="F890" s="73" t="s">
        <v>2670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75">
        <v>45728.483611111114</v>
      </c>
      <c r="N890" s="75">
        <v>45730</v>
      </c>
      <c r="O890" s="75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2671</v>
      </c>
      <c r="B891" s="73" t="str">
        <f>IFERROR(VLOOKUP(Proc[[#This Row],[App]],Table2[],3,0),"open")</f>
        <v>ok</v>
      </c>
      <c r="C891" s="72" t="s">
        <v>369</v>
      </c>
      <c r="D891" t="s">
        <v>2672</v>
      </c>
      <c r="E891" t="s">
        <v>414</v>
      </c>
      <c r="F891" s="73" t="s">
        <v>2673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75">
        <v>45727.481932870367</v>
      </c>
      <c r="N891" s="75">
        <v>45730</v>
      </c>
      <c r="O891" s="75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2685</v>
      </c>
      <c r="B892" s="73" t="str">
        <f>IFERROR(VLOOKUP(Proc[[#This Row],[App]],Table2[],3,0),"open")</f>
        <v>ok</v>
      </c>
      <c r="C892" s="72" t="s">
        <v>369</v>
      </c>
      <c r="D892" t="s">
        <v>2674</v>
      </c>
      <c r="E892" t="s">
        <v>2678</v>
      </c>
      <c r="F892" s="73" t="s">
        <v>2682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5">
        <v>45727.451701388891</v>
      </c>
      <c r="N892" s="75">
        <v>45730</v>
      </c>
      <c r="O892" s="75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2685</v>
      </c>
      <c r="B893" s="73" t="str">
        <f>IFERROR(VLOOKUP(Proc[[#This Row],[App]],Table2[],3,0),"open")</f>
        <v>ok</v>
      </c>
      <c r="C893" s="72" t="s">
        <v>369</v>
      </c>
      <c r="D893" t="s">
        <v>2675</v>
      </c>
      <c r="E893" t="s">
        <v>2679</v>
      </c>
      <c r="F893" s="73" t="s">
        <v>2683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5">
        <v>45727.451701388891</v>
      </c>
      <c r="N893" s="75">
        <v>45730</v>
      </c>
      <c r="O893" s="75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2685</v>
      </c>
      <c r="B894" s="73" t="str">
        <f>IFERROR(VLOOKUP(Proc[[#This Row],[App]],Table2[],3,0),"open")</f>
        <v>ok</v>
      </c>
      <c r="C894" s="72" t="s">
        <v>369</v>
      </c>
      <c r="D894" t="s">
        <v>2676</v>
      </c>
      <c r="E894" t="s">
        <v>2680</v>
      </c>
      <c r="F894" s="73" t="s">
        <v>2112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5">
        <v>45727.451701388891</v>
      </c>
      <c r="N894" s="75">
        <v>45730</v>
      </c>
      <c r="O894" s="75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2685</v>
      </c>
      <c r="B895" s="73" t="str">
        <f>IFERROR(VLOOKUP(Proc[[#This Row],[App]],Table2[],3,0),"open")</f>
        <v>ok</v>
      </c>
      <c r="C895" s="72" t="s">
        <v>369</v>
      </c>
      <c r="D895" t="s">
        <v>2677</v>
      </c>
      <c r="E895" t="s">
        <v>2681</v>
      </c>
      <c r="F895" s="73" t="s">
        <v>2684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75">
        <v>45727.451701388891</v>
      </c>
      <c r="N895" s="75">
        <v>45730</v>
      </c>
      <c r="O895" s="75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2691</v>
      </c>
      <c r="B896" s="73" t="str">
        <f>IFERROR(VLOOKUP(Proc[[#This Row],[App]],Table2[],3,0),"open")</f>
        <v>ok</v>
      </c>
      <c r="C896" s="72" t="s">
        <v>369</v>
      </c>
      <c r="D896" t="s">
        <v>2692</v>
      </c>
      <c r="E896" t="s">
        <v>2701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75">
        <v>45730.419768518521</v>
      </c>
      <c r="N896" s="75">
        <v>45733</v>
      </c>
      <c r="O896" s="75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1112</v>
      </c>
      <c r="S896" s="73"/>
    </row>
    <row r="897" spans="1:19" hidden="1">
      <c r="A897" s="72" t="s">
        <v>2691</v>
      </c>
      <c r="B897" s="73" t="str">
        <f>IFERROR(VLOOKUP(Proc[[#This Row],[App]],Table2[],3,0),"open")</f>
        <v>ok</v>
      </c>
      <c r="C897" s="72" t="s">
        <v>369</v>
      </c>
      <c r="D897" t="s">
        <v>2693</v>
      </c>
      <c r="E897" t="s">
        <v>2701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5">
        <v>45730.419768518521</v>
      </c>
      <c r="N897" s="75">
        <v>45733</v>
      </c>
      <c r="O897" s="75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1112</v>
      </c>
      <c r="S897" s="73"/>
    </row>
    <row r="898" spans="1:19" hidden="1">
      <c r="A898" s="72" t="s">
        <v>2691</v>
      </c>
      <c r="B898" s="73" t="str">
        <f>IFERROR(VLOOKUP(Proc[[#This Row],[App]],Table2[],3,0),"open")</f>
        <v>ok</v>
      </c>
      <c r="C898" s="72" t="s">
        <v>369</v>
      </c>
      <c r="D898" t="s">
        <v>2694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5">
        <v>45730.419768518521</v>
      </c>
      <c r="N898" s="75">
        <v>45733</v>
      </c>
      <c r="O898" s="75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1112</v>
      </c>
      <c r="S898" s="73"/>
    </row>
    <row r="899" spans="1:19" hidden="1">
      <c r="A899" s="72" t="s">
        <v>2691</v>
      </c>
      <c r="B899" s="73" t="str">
        <f>IFERROR(VLOOKUP(Proc[[#This Row],[App]],Table2[],3,0),"open")</f>
        <v>ok</v>
      </c>
      <c r="C899" s="72" t="s">
        <v>369</v>
      </c>
      <c r="D899" t="s">
        <v>2695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5">
        <v>45730.419768518521</v>
      </c>
      <c r="N899" s="75">
        <v>45733</v>
      </c>
      <c r="O899" s="75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1112</v>
      </c>
      <c r="S899" s="73"/>
    </row>
    <row r="900" spans="1:19" hidden="1">
      <c r="A900" s="72" t="s">
        <v>2691</v>
      </c>
      <c r="B900" s="73" t="str">
        <f>IFERROR(VLOOKUP(Proc[[#This Row],[App]],Table2[],3,0),"open")</f>
        <v>ok</v>
      </c>
      <c r="C900" s="72" t="s">
        <v>369</v>
      </c>
      <c r="D900" t="s">
        <v>2696</v>
      </c>
      <c r="E900" t="s">
        <v>2702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5">
        <v>45730.419768518521</v>
      </c>
      <c r="N900" s="75">
        <v>45733</v>
      </c>
      <c r="O900" s="75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1112</v>
      </c>
      <c r="S900" s="73"/>
    </row>
    <row r="901" spans="1:19" hidden="1">
      <c r="A901" s="72" t="s">
        <v>2691</v>
      </c>
      <c r="B901" s="73" t="str">
        <f>IFERROR(VLOOKUP(Proc[[#This Row],[App]],Table2[],3,0),"open")</f>
        <v>ok</v>
      </c>
      <c r="C901" s="72" t="s">
        <v>369</v>
      </c>
      <c r="D901" t="s">
        <v>2697</v>
      </c>
      <c r="E901" t="s">
        <v>2703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5">
        <v>45730.419768518521</v>
      </c>
      <c r="N901" s="75">
        <v>45733</v>
      </c>
      <c r="O901" s="75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1112</v>
      </c>
      <c r="S901" s="73"/>
    </row>
    <row r="902" spans="1:19" hidden="1">
      <c r="A902" s="72" t="s">
        <v>2691</v>
      </c>
      <c r="B902" s="73" t="str">
        <f>IFERROR(VLOOKUP(Proc[[#This Row],[App]],Table2[],3,0),"open")</f>
        <v>ok</v>
      </c>
      <c r="C902" s="72" t="s">
        <v>369</v>
      </c>
      <c r="D902" t="s">
        <v>2698</v>
      </c>
      <c r="E902" t="s">
        <v>2701</v>
      </c>
      <c r="F902" s="73" t="s">
        <v>2704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5">
        <v>45730.419768518521</v>
      </c>
      <c r="N902" s="75">
        <v>45733</v>
      </c>
      <c r="O902" s="75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1112</v>
      </c>
      <c r="S902" s="73"/>
    </row>
    <row r="903" spans="1:19" hidden="1">
      <c r="A903" s="72" t="s">
        <v>2691</v>
      </c>
      <c r="B903" s="73" t="str">
        <f>IFERROR(VLOOKUP(Proc[[#This Row],[App]],Table2[],3,0),"open")</f>
        <v>ok</v>
      </c>
      <c r="C903" s="72" t="s">
        <v>369</v>
      </c>
      <c r="D903" t="s">
        <v>2699</v>
      </c>
      <c r="E903" t="s">
        <v>2701</v>
      </c>
      <c r="F903" s="73" t="s">
        <v>2704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5">
        <v>45730.419768518521</v>
      </c>
      <c r="N903" s="75">
        <v>45733</v>
      </c>
      <c r="O903" s="75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1112</v>
      </c>
      <c r="S903" s="73"/>
    </row>
    <row r="904" spans="1:19" hidden="1">
      <c r="A904" s="72" t="s">
        <v>2691</v>
      </c>
      <c r="B904" s="73" t="str">
        <f>IFERROR(VLOOKUP(Proc[[#This Row],[App]],Table2[],3,0),"open")</f>
        <v>ok</v>
      </c>
      <c r="C904" s="72" t="s">
        <v>369</v>
      </c>
      <c r="D904" t="s">
        <v>2700</v>
      </c>
      <c r="E904" t="s">
        <v>2701</v>
      </c>
      <c r="F904" s="73" t="s">
        <v>2704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5">
        <v>45730.419768518521</v>
      </c>
      <c r="N904" s="75">
        <v>45733</v>
      </c>
      <c r="O904" s="75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1112</v>
      </c>
      <c r="S904" s="73"/>
    </row>
    <row r="905" spans="1:19" hidden="1">
      <c r="A905" t="s">
        <v>2707</v>
      </c>
      <c r="B905" s="73" t="str">
        <f>IFERROR(VLOOKUP(Proc[[#This Row],[App]],Table2[],3,0),"open")</f>
        <v>ok</v>
      </c>
      <c r="C905" s="72" t="s">
        <v>369</v>
      </c>
      <c r="D905" t="s">
        <v>2705</v>
      </c>
      <c r="E905" t="s">
        <v>2706</v>
      </c>
      <c r="F905" s="73" t="s">
        <v>2592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75">
        <v>45730.495949074073</v>
      </c>
      <c r="N905" s="75">
        <v>45733</v>
      </c>
      <c r="O905" s="75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2708</v>
      </c>
      <c r="S905" s="73"/>
    </row>
    <row r="906" spans="1:19" hidden="1">
      <c r="A906" t="s">
        <v>2711</v>
      </c>
      <c r="B906" s="73" t="str">
        <f>IFERROR(VLOOKUP(Proc[[#This Row],[App]],Table2[],3,0),"open")</f>
        <v>ok</v>
      </c>
      <c r="C906" s="72" t="s">
        <v>369</v>
      </c>
      <c r="D906" t="s">
        <v>2709</v>
      </c>
      <c r="E906" t="s">
        <v>2710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75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12</v>
      </c>
      <c r="R906" s="74" t="s">
        <v>2712</v>
      </c>
      <c r="S906" s="73"/>
    </row>
    <row r="907" spans="1:19" hidden="1">
      <c r="A907" t="s">
        <v>2713</v>
      </c>
      <c r="B907" s="73" t="str">
        <f>IFERROR(VLOOKUP(Proc[[#This Row],[App]],Table2[],3,0),"open")</f>
        <v>ok</v>
      </c>
      <c r="C907" t="s">
        <v>369</v>
      </c>
      <c r="D907" t="s">
        <v>2714</v>
      </c>
      <c r="E907" t="s">
        <v>2715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5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2716</v>
      </c>
      <c r="S907" s="73"/>
    </row>
    <row r="908" spans="1:19" hidden="1">
      <c r="A908" t="s">
        <v>2718</v>
      </c>
      <c r="B908" s="73" t="str">
        <f>IFERROR(VLOOKUP(Proc[[#This Row],[App]],Table2[],3,0),"open")</f>
        <v>ok</v>
      </c>
      <c r="C908" t="s">
        <v>369</v>
      </c>
      <c r="D908" s="77" t="s">
        <v>2717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5">
        <v>45733.760057870371</v>
      </c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</v>
      </c>
      <c r="R908" s="74" t="s">
        <v>538</v>
      </c>
      <c r="S908" s="73"/>
    </row>
    <row r="909" spans="1:19" hidden="1">
      <c r="A909" t="s">
        <v>2731</v>
      </c>
      <c r="B909" s="73" t="str">
        <f>IFERROR(VLOOKUP(Proc[[#This Row],[App]],Table2[],3,0),"open")</f>
        <v>ok</v>
      </c>
      <c r="C909" s="76" t="s">
        <v>398</v>
      </c>
      <c r="D909" t="s">
        <v>2719</v>
      </c>
      <c r="E909" t="s">
        <v>2730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2746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5">
        <v>45734.760057870371</v>
      </c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12</v>
      </c>
      <c r="R909" s="74" t="s">
        <v>858</v>
      </c>
      <c r="S909" s="73"/>
    </row>
    <row r="910" spans="1:19" hidden="1">
      <c r="A910" s="76" t="s">
        <v>2731</v>
      </c>
      <c r="B910" s="73" t="str">
        <f>IFERROR(VLOOKUP(Proc[[#This Row],[App]],Table2[],3,0),"open")</f>
        <v>ok</v>
      </c>
      <c r="C910" s="76" t="s">
        <v>398</v>
      </c>
      <c r="D910" t="s">
        <v>2720</v>
      </c>
      <c r="E910" t="s">
        <v>2730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2746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5">
        <v>45734.760057870371</v>
      </c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12</v>
      </c>
      <c r="R910" s="74" t="s">
        <v>858</v>
      </c>
      <c r="S910" s="73"/>
    </row>
    <row r="911" spans="1:19" hidden="1">
      <c r="A911" s="76" t="s">
        <v>2731</v>
      </c>
      <c r="B911" s="73" t="str">
        <f>IFERROR(VLOOKUP(Proc[[#This Row],[App]],Table2[],3,0),"open")</f>
        <v>ok</v>
      </c>
      <c r="C911" s="76" t="s">
        <v>398</v>
      </c>
      <c r="D911" t="s">
        <v>2721</v>
      </c>
      <c r="E911" t="s">
        <v>2730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2746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5">
        <v>45734.760057870371</v>
      </c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12</v>
      </c>
      <c r="R911" s="74" t="s">
        <v>858</v>
      </c>
      <c r="S911" s="73"/>
    </row>
    <row r="912" spans="1:19" hidden="1">
      <c r="A912" s="76" t="s">
        <v>2731</v>
      </c>
      <c r="B912" s="73" t="str">
        <f>IFERROR(VLOOKUP(Proc[[#This Row],[App]],Table2[],3,0),"open")</f>
        <v>ok</v>
      </c>
      <c r="C912" s="76" t="s">
        <v>398</v>
      </c>
      <c r="D912" t="s">
        <v>2722</v>
      </c>
      <c r="E912" t="s">
        <v>2730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2746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5">
        <v>45734.760057870371</v>
      </c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12</v>
      </c>
      <c r="R912" s="74" t="s">
        <v>858</v>
      </c>
      <c r="S912" s="73"/>
    </row>
    <row r="913" spans="1:19" hidden="1">
      <c r="A913" s="76" t="s">
        <v>2731</v>
      </c>
      <c r="B913" s="73" t="str">
        <f>IFERROR(VLOOKUP(Proc[[#This Row],[App]],Table2[],3,0),"open")</f>
        <v>ok</v>
      </c>
      <c r="C913" s="76" t="s">
        <v>398</v>
      </c>
      <c r="D913" t="s">
        <v>2723</v>
      </c>
      <c r="E913" t="s">
        <v>2730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2746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5">
        <v>45734.760057870371</v>
      </c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12</v>
      </c>
      <c r="R913" s="74" t="s">
        <v>858</v>
      </c>
      <c r="S913" s="73"/>
    </row>
    <row r="914" spans="1:19" hidden="1">
      <c r="A914" s="76" t="s">
        <v>2731</v>
      </c>
      <c r="B914" s="73" t="str">
        <f>IFERROR(VLOOKUP(Proc[[#This Row],[App]],Table2[],3,0),"open")</f>
        <v>ok</v>
      </c>
      <c r="C914" s="76" t="s">
        <v>398</v>
      </c>
      <c r="D914" t="s">
        <v>2724</v>
      </c>
      <c r="E914" t="s">
        <v>2730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2746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5">
        <v>45734.760057870371</v>
      </c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12</v>
      </c>
      <c r="R914" s="74" t="s">
        <v>858</v>
      </c>
      <c r="S914" s="73"/>
    </row>
    <row r="915" spans="1:19" hidden="1">
      <c r="A915" s="76" t="s">
        <v>2731</v>
      </c>
      <c r="B915" s="73" t="str">
        <f>IFERROR(VLOOKUP(Proc[[#This Row],[App]],Table2[],3,0),"open")</f>
        <v>ok</v>
      </c>
      <c r="C915" s="76" t="s">
        <v>398</v>
      </c>
      <c r="D915" t="s">
        <v>2725</v>
      </c>
      <c r="E915" t="s">
        <v>2730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2746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5">
        <v>45734.760057870371</v>
      </c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12</v>
      </c>
      <c r="R915" s="74" t="s">
        <v>858</v>
      </c>
      <c r="S915" s="73"/>
    </row>
    <row r="916" spans="1:19" hidden="1">
      <c r="A916" s="76" t="s">
        <v>2731</v>
      </c>
      <c r="B916" s="73" t="str">
        <f>IFERROR(VLOOKUP(Proc[[#This Row],[App]],Table2[],3,0),"open")</f>
        <v>ok</v>
      </c>
      <c r="C916" s="76" t="s">
        <v>398</v>
      </c>
      <c r="D916" t="s">
        <v>2726</v>
      </c>
      <c r="E916" t="s">
        <v>2730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2746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5">
        <v>45734.760057870371</v>
      </c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12</v>
      </c>
      <c r="R916" s="74" t="s">
        <v>858</v>
      </c>
      <c r="S916" s="73"/>
    </row>
    <row r="917" spans="1:19" hidden="1">
      <c r="A917" s="76" t="s">
        <v>2731</v>
      </c>
      <c r="B917" s="73" t="str">
        <f>IFERROR(VLOOKUP(Proc[[#This Row],[App]],Table2[],3,0),"open")</f>
        <v>ok</v>
      </c>
      <c r="C917" s="76" t="s">
        <v>398</v>
      </c>
      <c r="D917" t="s">
        <v>2727</v>
      </c>
      <c r="E917" t="s">
        <v>2730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2746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5">
        <v>45734.760057870371</v>
      </c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12</v>
      </c>
      <c r="R917" s="74" t="s">
        <v>858</v>
      </c>
      <c r="S917" s="73"/>
    </row>
    <row r="918" spans="1:19" hidden="1">
      <c r="A918" s="76" t="s">
        <v>2731</v>
      </c>
      <c r="B918" s="73" t="str">
        <f>IFERROR(VLOOKUP(Proc[[#This Row],[App]],Table2[],3,0),"open")</f>
        <v>ok</v>
      </c>
      <c r="C918" s="76" t="s">
        <v>398</v>
      </c>
      <c r="D918" t="s">
        <v>2728</v>
      </c>
      <c r="E918" t="s">
        <v>2730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2746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5">
        <v>45734.760057870371</v>
      </c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12</v>
      </c>
      <c r="R918" s="74" t="s">
        <v>858</v>
      </c>
      <c r="S918" s="73"/>
    </row>
    <row r="919" spans="1:19" hidden="1">
      <c r="A919" s="76" t="s">
        <v>2731</v>
      </c>
      <c r="B919" s="73" t="str">
        <f>IFERROR(VLOOKUP(Proc[[#This Row],[App]],Table2[],3,0),"open")</f>
        <v>ok</v>
      </c>
      <c r="C919" s="76" t="s">
        <v>398</v>
      </c>
      <c r="D919" t="s">
        <v>2729</v>
      </c>
      <c r="E919" t="s">
        <v>2730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2746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5">
        <v>45734.760057870371</v>
      </c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12</v>
      </c>
      <c r="R919" s="74" t="s">
        <v>858</v>
      </c>
      <c r="S919" s="73"/>
    </row>
    <row r="920" spans="1:19" hidden="1">
      <c r="A920" t="s">
        <v>2732</v>
      </c>
      <c r="B920" s="73" t="str">
        <f>IFERROR(VLOOKUP(Proc[[#This Row],[App]],Table2[],3,0),"open")</f>
        <v>ok</v>
      </c>
      <c r="C920" s="76" t="s">
        <v>369</v>
      </c>
      <c r="D920" t="s">
        <v>2733</v>
      </c>
      <c r="E920" t="s">
        <v>2735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5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1003</v>
      </c>
      <c r="S920" s="73"/>
    </row>
    <row r="921" spans="1:19" hidden="1">
      <c r="A921" s="76" t="s">
        <v>2732</v>
      </c>
      <c r="B921" s="73" t="str">
        <f>IFERROR(VLOOKUP(Proc[[#This Row],[App]],Table2[],3,0),"open")</f>
        <v>ok</v>
      </c>
      <c r="C921" s="76" t="s">
        <v>369</v>
      </c>
      <c r="D921" t="s">
        <v>2734</v>
      </c>
      <c r="E921" t="s">
        <v>1008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5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1003</v>
      </c>
      <c r="S921" s="73"/>
    </row>
    <row r="922" spans="1:19" hidden="1">
      <c r="A922" t="s">
        <v>2736</v>
      </c>
      <c r="B922" s="73" t="str">
        <f>IFERROR(VLOOKUP(Proc[[#This Row],[App]],Table2[],3,0),"open")</f>
        <v>ok</v>
      </c>
      <c r="C922" s="76" t="s">
        <v>369</v>
      </c>
      <c r="D922" t="s">
        <v>2557</v>
      </c>
      <c r="E922" s="76" t="s">
        <v>2559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5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2737</v>
      </c>
      <c r="B923" s="73" t="str">
        <f>IFERROR(VLOOKUP(Proc[[#This Row],[App]],Table2[],3,0),"open")</f>
        <v>ok</v>
      </c>
      <c r="C923" s="76" t="s">
        <v>369</v>
      </c>
      <c r="D923" t="s">
        <v>2738</v>
      </c>
      <c r="E923" t="s">
        <v>2739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5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1112</v>
      </c>
      <c r="S923" s="73"/>
    </row>
    <row r="924" spans="1:19" hidden="1">
      <c r="A924" t="s">
        <v>2741</v>
      </c>
      <c r="B924" s="73" t="str">
        <f>IFERROR(VLOOKUP(Proc[[#This Row],[App]],Table2[],3,0),"open")</f>
        <v>ok</v>
      </c>
      <c r="C924" s="76" t="s">
        <v>369</v>
      </c>
      <c r="D924" t="s">
        <v>2740</v>
      </c>
      <c r="E924" s="76" t="s">
        <v>2742</v>
      </c>
      <c r="F924" s="73" t="s">
        <v>1098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1112</v>
      </c>
      <c r="S924" s="73"/>
    </row>
    <row r="925" spans="1:19" hidden="1">
      <c r="A925" t="s">
        <v>2743</v>
      </c>
      <c r="B925" s="73" t="str">
        <f>IFERROR(VLOOKUP(Proc[[#This Row],[App]],Table2[],3,0),"open")</f>
        <v>ok</v>
      </c>
      <c r="C925" s="76" t="s">
        <v>369</v>
      </c>
      <c r="D925" t="s">
        <v>2744</v>
      </c>
      <c r="E925" t="s">
        <v>2745</v>
      </c>
      <c r="F925" s="73" t="s">
        <v>1098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1112</v>
      </c>
      <c r="S925" s="73"/>
    </row>
    <row r="926" spans="1:19" hidden="1">
      <c r="A926" t="s">
        <v>2747</v>
      </c>
      <c r="B926" s="73" t="str">
        <f>IFERROR(VLOOKUP(Proc[[#This Row],[App]],Table2[],3,0),"open")</f>
        <v>ok</v>
      </c>
      <c r="C926" t="s">
        <v>369</v>
      </c>
      <c r="D926" t="s">
        <v>2748</v>
      </c>
      <c r="E926" t="s">
        <v>2749</v>
      </c>
      <c r="F926" s="73" t="s">
        <v>2256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2750</v>
      </c>
      <c r="B927" s="73" t="str">
        <f>IFERROR(VLOOKUP(Proc[[#This Row],[App]],Table2[],3,0),"open")</f>
        <v>ok</v>
      </c>
      <c r="C927" s="76" t="s">
        <v>369</v>
      </c>
      <c r="D927" t="s">
        <v>2751</v>
      </c>
      <c r="E927" t="s">
        <v>2754</v>
      </c>
      <c r="F927" s="73" t="s">
        <v>2755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2758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1112</v>
      </c>
      <c r="S927" s="73"/>
    </row>
    <row r="928" spans="1:19" hidden="1">
      <c r="A928" s="76" t="s">
        <v>2750</v>
      </c>
      <c r="B928" s="73" t="str">
        <f>IFERROR(VLOOKUP(Proc[[#This Row],[App]],Table2[],3,0),"open")</f>
        <v>ok</v>
      </c>
      <c r="C928" s="76" t="s">
        <v>369</v>
      </c>
      <c r="D928" t="s">
        <v>2752</v>
      </c>
      <c r="E928" t="s">
        <v>2218</v>
      </c>
      <c r="F928" s="73" t="s">
        <v>1098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1112</v>
      </c>
      <c r="S928" s="73"/>
    </row>
    <row r="929" spans="1:19" hidden="1">
      <c r="A929" s="76" t="s">
        <v>2750</v>
      </c>
      <c r="B929" s="73" t="str">
        <f>IFERROR(VLOOKUP(Proc[[#This Row],[App]],Table2[],3,0),"open")</f>
        <v>ok</v>
      </c>
      <c r="C929" s="76" t="s">
        <v>369</v>
      </c>
      <c r="D929" t="s">
        <v>2214</v>
      </c>
      <c r="E929" t="s">
        <v>1308</v>
      </c>
      <c r="F929" s="73" t="s">
        <v>2756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1112</v>
      </c>
      <c r="S929" s="73"/>
    </row>
    <row r="930" spans="1:19" hidden="1">
      <c r="A930" s="76" t="s">
        <v>2750</v>
      </c>
      <c r="B930" s="73" t="str">
        <f>IFERROR(VLOOKUP(Proc[[#This Row],[App]],Table2[],3,0),"open")</f>
        <v>ok</v>
      </c>
      <c r="C930" s="76" t="s">
        <v>369</v>
      </c>
      <c r="D930" t="s">
        <v>2753</v>
      </c>
      <c r="E930" t="s">
        <v>2218</v>
      </c>
      <c r="F930" s="73" t="s">
        <v>2757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1112</v>
      </c>
      <c r="S930" s="73"/>
    </row>
    <row r="931" spans="1:19" hidden="1">
      <c r="A931" t="s">
        <v>2764</v>
      </c>
      <c r="B931" s="73" t="str">
        <f>IFERROR(VLOOKUP(Proc[[#This Row],[App]],Table2[],3,0),"open")</f>
        <v>ok</v>
      </c>
      <c r="C931" s="76" t="s">
        <v>369</v>
      </c>
      <c r="D931" t="s">
        <v>2759</v>
      </c>
      <c r="E931" t="s">
        <v>2763</v>
      </c>
      <c r="F931" s="73" t="s">
        <v>2639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1003</v>
      </c>
      <c r="S931" s="73"/>
    </row>
    <row r="932" spans="1:19" hidden="1">
      <c r="A932" s="76" t="s">
        <v>2764</v>
      </c>
      <c r="B932" s="73" t="str">
        <f>IFERROR(VLOOKUP(Proc[[#This Row],[App]],Table2[],3,0),"open")</f>
        <v>ok</v>
      </c>
      <c r="C932" s="76" t="s">
        <v>369</v>
      </c>
      <c r="D932" t="s">
        <v>2760</v>
      </c>
      <c r="E932" t="s">
        <v>2632</v>
      </c>
      <c r="F932" s="73" t="s">
        <v>1316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1003</v>
      </c>
      <c r="S932" s="73"/>
    </row>
    <row r="933" spans="1:19" hidden="1">
      <c r="A933" s="76" t="s">
        <v>2764</v>
      </c>
      <c r="B933" s="73" t="str">
        <f>IFERROR(VLOOKUP(Proc[[#This Row],[App]],Table2[],3,0),"open")</f>
        <v>ok</v>
      </c>
      <c r="C933" s="76" t="s">
        <v>369</v>
      </c>
      <c r="D933" t="s">
        <v>2761</v>
      </c>
      <c r="E933" t="s">
        <v>1429</v>
      </c>
      <c r="F933" s="73" t="s">
        <v>2762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1003</v>
      </c>
      <c r="S933" s="73"/>
    </row>
    <row r="934" spans="1:19" hidden="1">
      <c r="A934" t="s">
        <v>2777</v>
      </c>
      <c r="B934" s="73" t="str">
        <f>IFERROR(VLOOKUP(Proc[[#This Row],[App]],Table2[],3,0),"open")</f>
        <v>ok</v>
      </c>
      <c r="C934" s="76" t="s">
        <v>369</v>
      </c>
      <c r="D934" t="s">
        <v>2765</v>
      </c>
      <c r="E934" t="s">
        <v>2769</v>
      </c>
      <c r="F934" s="73" t="s">
        <v>2773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5">
        <v>45744</v>
      </c>
      <c r="O934" s="75">
        <v>45744</v>
      </c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8" t="s">
        <v>508</v>
      </c>
      <c r="S934" s="73"/>
    </row>
    <row r="935" spans="1:19" hidden="1">
      <c r="A935" s="76" t="s">
        <v>2777</v>
      </c>
      <c r="B935" s="73" t="str">
        <f>IFERROR(VLOOKUP(Proc[[#This Row],[App]],Table2[],3,0),"open")</f>
        <v>ok</v>
      </c>
      <c r="C935" s="76" t="s">
        <v>369</v>
      </c>
      <c r="D935" t="s">
        <v>2766</v>
      </c>
      <c r="E935" t="s">
        <v>2770</v>
      </c>
      <c r="F935" s="73" t="s">
        <v>2774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5">
        <v>45744</v>
      </c>
      <c r="O935" s="75">
        <v>45744</v>
      </c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8" t="s">
        <v>508</v>
      </c>
      <c r="S935" s="73"/>
    </row>
    <row r="936" spans="1:19" hidden="1">
      <c r="A936" s="76" t="s">
        <v>2777</v>
      </c>
      <c r="B936" s="73" t="str">
        <f>IFERROR(VLOOKUP(Proc[[#This Row],[App]],Table2[],3,0),"open")</f>
        <v>ok</v>
      </c>
      <c r="C936" s="76" t="s">
        <v>369</v>
      </c>
      <c r="D936" t="s">
        <v>2767</v>
      </c>
      <c r="E936" t="s">
        <v>2771</v>
      </c>
      <c r="F936" s="73" t="s">
        <v>2775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5">
        <v>45744</v>
      </c>
      <c r="O936" s="75">
        <v>45744</v>
      </c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8" t="s">
        <v>508</v>
      </c>
      <c r="S936" s="73"/>
    </row>
    <row r="937" spans="1:19" hidden="1">
      <c r="A937" s="76" t="s">
        <v>2777</v>
      </c>
      <c r="B937" s="73" t="str">
        <f>IFERROR(VLOOKUP(Proc[[#This Row],[App]],Table2[],3,0),"open")</f>
        <v>ok</v>
      </c>
      <c r="C937" s="76" t="s">
        <v>369</v>
      </c>
      <c r="D937" t="s">
        <v>2768</v>
      </c>
      <c r="E937" t="s">
        <v>2772</v>
      </c>
      <c r="F937" s="73" t="s">
        <v>2776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5">
        <v>45744</v>
      </c>
      <c r="O937" s="75">
        <v>45744</v>
      </c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8" t="s">
        <v>508</v>
      </c>
      <c r="S937" s="73"/>
    </row>
    <row r="938" spans="1:19" hidden="1">
      <c r="A938" t="s">
        <v>2778</v>
      </c>
      <c r="B938" s="73" t="str">
        <f>IFERROR(VLOOKUP(Proc[[#This Row],[App]],Table2[],3,0),"open")</f>
        <v>ok</v>
      </c>
      <c r="C938" s="76" t="s">
        <v>369</v>
      </c>
      <c r="D938" t="s">
        <v>2779</v>
      </c>
      <c r="E938" t="s">
        <v>2688</v>
      </c>
      <c r="F938" s="73" t="s">
        <v>2785</v>
      </c>
      <c r="G938" s="76" t="s">
        <v>406</v>
      </c>
      <c r="H938" s="73" t="str">
        <f>IF(Proc[[#This Row],[type]]="LFF (MDG-F)",MID(Proc[[#This Row],[Obj]],13,10),"")</f>
        <v>ZA50GM1000</v>
      </c>
      <c r="J938" s="73" t="b">
        <f>Proc[[#This Row],[Requested]]=Proc[[#This Row],[CurrentParent]]</f>
        <v>0</v>
      </c>
      <c r="K938" s="73" t="str">
        <f>IF(Proc[[#This Row],[Author]]="Marcela Urrego",VLOOKUP(LEFT(Proc[[#This Row],[Requested]],1),Table3[#All],2,0),VLOOKUP(Proc[[#This Row],[Author]],Table4[],2,0))</f>
        <v>MGF</v>
      </c>
      <c r="L938" s="32" t="s">
        <v>530</v>
      </c>
      <c r="M938" s="75">
        <v>45743.614340277774</v>
      </c>
      <c r="N938" s="75">
        <v>45749</v>
      </c>
      <c r="O938" s="75">
        <v>45749</v>
      </c>
      <c r="P938" s="78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8" t="s">
        <v>538</v>
      </c>
      <c r="S938" s="73"/>
    </row>
    <row r="939" spans="1:19" hidden="1">
      <c r="A939" s="76" t="s">
        <v>2778</v>
      </c>
      <c r="B939" s="73" t="str">
        <f>IFERROR(VLOOKUP(Proc[[#This Row],[App]],Table2[],3,0),"open")</f>
        <v>ok</v>
      </c>
      <c r="C939" s="76" t="s">
        <v>369</v>
      </c>
      <c r="D939" t="s">
        <v>2780</v>
      </c>
      <c r="E939" t="s">
        <v>2688</v>
      </c>
      <c r="F939" s="73" t="s">
        <v>2786</v>
      </c>
      <c r="G939" s="76" t="s">
        <v>406</v>
      </c>
      <c r="H939" s="73" t="str">
        <f>IF(Proc[[#This Row],[type]]="LFF (MDG-F)",MID(Proc[[#This Row],[Obj]],13,10),"")</f>
        <v>ZA50GIT10D</v>
      </c>
      <c r="J939" s="73" t="b">
        <f>Proc[[#This Row],[Requested]]=Proc[[#This Row],[CurrentParent]]</f>
        <v>0</v>
      </c>
      <c r="K939" s="73" t="str">
        <f>IF(Proc[[#This Row],[Author]]="Marcela Urrego",VLOOKUP(LEFT(Proc[[#This Row],[Requested]],1),Table3[#All],2,0),VLOOKUP(Proc[[#This Row],[Author]],Table4[],2,0))</f>
        <v>MGF</v>
      </c>
      <c r="L939" s="32" t="s">
        <v>530</v>
      </c>
      <c r="M939" s="75">
        <v>45743.614340277774</v>
      </c>
      <c r="N939" s="75">
        <v>45749</v>
      </c>
      <c r="O939" s="75">
        <v>45749</v>
      </c>
      <c r="P939" s="78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8" t="s">
        <v>538</v>
      </c>
      <c r="S939" s="73"/>
    </row>
    <row r="940" spans="1:19" hidden="1">
      <c r="A940" s="76" t="s">
        <v>2778</v>
      </c>
      <c r="B940" s="73" t="str">
        <f>IFERROR(VLOOKUP(Proc[[#This Row],[App]],Table2[],3,0),"open")</f>
        <v>ok</v>
      </c>
      <c r="C940" s="76" t="s">
        <v>369</v>
      </c>
      <c r="D940" t="s">
        <v>2781</v>
      </c>
      <c r="E940" t="s">
        <v>2688</v>
      </c>
      <c r="F940" s="73" t="s">
        <v>2787</v>
      </c>
      <c r="G940" s="76" t="s">
        <v>406</v>
      </c>
      <c r="H940" s="73" t="str">
        <f>IF(Proc[[#This Row],[type]]="LFF (MDG-F)",MID(Proc[[#This Row],[Obj]],13,10),"")</f>
        <v>ZA50GHR014</v>
      </c>
      <c r="J940" s="73" t="b">
        <f>Proc[[#This Row],[Requested]]=Proc[[#This Row],[CurrentParent]]</f>
        <v>0</v>
      </c>
      <c r="K940" s="73" t="str">
        <f>IF(Proc[[#This Row],[Author]]="Marcela Urrego",VLOOKUP(LEFT(Proc[[#This Row],[Requested]],1),Table3[#All],2,0),VLOOKUP(Proc[[#This Row],[Author]],Table4[],2,0))</f>
        <v>MGF</v>
      </c>
      <c r="L940" s="32" t="s">
        <v>530</v>
      </c>
      <c r="M940" s="75">
        <v>45743.614340277774</v>
      </c>
      <c r="N940" s="75">
        <v>45749</v>
      </c>
      <c r="O940" s="75">
        <v>45749</v>
      </c>
      <c r="P940" s="78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8" t="s">
        <v>538</v>
      </c>
      <c r="S940" s="73"/>
    </row>
    <row r="941" spans="1:19" hidden="1">
      <c r="A941" s="76" t="s">
        <v>2778</v>
      </c>
      <c r="B941" s="73" t="str">
        <f>IFERROR(VLOOKUP(Proc[[#This Row],[App]],Table2[],3,0),"open")</f>
        <v>ok</v>
      </c>
      <c r="C941" s="76" t="s">
        <v>369</v>
      </c>
      <c r="D941" t="s">
        <v>2782</v>
      </c>
      <c r="E941" t="s">
        <v>2688</v>
      </c>
      <c r="F941" s="73" t="s">
        <v>494</v>
      </c>
      <c r="G941" s="76" t="s">
        <v>406</v>
      </c>
      <c r="H941" s="73" t="str">
        <f>IF(Proc[[#This Row],[type]]="LFF (MDG-F)",MID(Proc[[#This Row],[Obj]],13,10),"")</f>
        <v>KE50GM2100</v>
      </c>
      <c r="J941" s="73" t="b">
        <f>Proc[[#This Row],[Requested]]=Proc[[#This Row],[CurrentParent]]</f>
        <v>0</v>
      </c>
      <c r="K941" s="73" t="str">
        <f>IF(Proc[[#This Row],[Author]]="Marcela Urrego",VLOOKUP(LEFT(Proc[[#This Row],[Requested]],1),Table3[#All],2,0),VLOOKUP(Proc[[#This Row],[Author]],Table4[],2,0))</f>
        <v>MGF</v>
      </c>
      <c r="L941" s="32" t="s">
        <v>530</v>
      </c>
      <c r="M941" s="75">
        <v>45743.614340277774</v>
      </c>
      <c r="N941" s="75">
        <v>45749</v>
      </c>
      <c r="O941" s="75">
        <v>45749</v>
      </c>
      <c r="P941" s="78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8" t="s">
        <v>538</v>
      </c>
      <c r="S941" s="73"/>
    </row>
    <row r="942" spans="1:19" hidden="1">
      <c r="A942" s="76" t="s">
        <v>2778</v>
      </c>
      <c r="B942" s="73" t="str">
        <f>IFERROR(VLOOKUP(Proc[[#This Row],[App]],Table2[],3,0),"open")</f>
        <v>ok</v>
      </c>
      <c r="C942" s="76" t="s">
        <v>369</v>
      </c>
      <c r="D942" t="s">
        <v>2783</v>
      </c>
      <c r="E942" t="s">
        <v>2688</v>
      </c>
      <c r="F942" s="73" t="s">
        <v>494</v>
      </c>
      <c r="G942" s="76" t="s">
        <v>406</v>
      </c>
      <c r="H942" s="73" t="str">
        <f>IF(Proc[[#This Row],[type]]="LFF (MDG-F)",MID(Proc[[#This Row],[Obj]],13,10),"")</f>
        <v>CZ50GM2100</v>
      </c>
      <c r="J942" s="73" t="b">
        <f>Proc[[#This Row],[Requested]]=Proc[[#This Row],[CurrentParent]]</f>
        <v>0</v>
      </c>
      <c r="K942" s="73" t="str">
        <f>IF(Proc[[#This Row],[Author]]="Marcela Urrego",VLOOKUP(LEFT(Proc[[#This Row],[Requested]],1),Table3[#All],2,0),VLOOKUP(Proc[[#This Row],[Author]],Table4[],2,0))</f>
        <v>MGF</v>
      </c>
      <c r="L942" s="32" t="s">
        <v>530</v>
      </c>
      <c r="M942" s="75">
        <v>45743.614340277774</v>
      </c>
      <c r="N942" s="75">
        <v>45749</v>
      </c>
      <c r="O942" s="75">
        <v>45749</v>
      </c>
      <c r="P942" s="78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8" t="s">
        <v>538</v>
      </c>
      <c r="S942" s="73"/>
    </row>
    <row r="943" spans="1:19" hidden="1">
      <c r="A943" s="76" t="s">
        <v>2778</v>
      </c>
      <c r="B943" s="73" t="str">
        <f>IFERROR(VLOOKUP(Proc[[#This Row],[App]],Table2[],3,0),"open")</f>
        <v>ok</v>
      </c>
      <c r="C943" s="76" t="s">
        <v>369</v>
      </c>
      <c r="D943" t="s">
        <v>2784</v>
      </c>
      <c r="E943" t="s">
        <v>2688</v>
      </c>
      <c r="F943" s="73" t="s">
        <v>494</v>
      </c>
      <c r="G943" s="76" t="s">
        <v>406</v>
      </c>
      <c r="H943" s="73" t="str">
        <f>IF(Proc[[#This Row],[type]]="LFF (MDG-F)",MID(Proc[[#This Row],[Obj]],13,10),"")</f>
        <v>CZ50GM2101</v>
      </c>
      <c r="J943" s="73" t="b">
        <f>Proc[[#This Row],[Requested]]=Proc[[#This Row],[CurrentParent]]</f>
        <v>0</v>
      </c>
      <c r="K943" s="73" t="str">
        <f>IF(Proc[[#This Row],[Author]]="Marcela Urrego",VLOOKUP(LEFT(Proc[[#This Row],[Requested]],1),Table3[#All],2,0),VLOOKUP(Proc[[#This Row],[Author]],Table4[],2,0))</f>
        <v>MGF</v>
      </c>
      <c r="L943" s="32" t="s">
        <v>530</v>
      </c>
      <c r="M943" s="75">
        <v>45743.614340277774</v>
      </c>
      <c r="N943" s="75">
        <v>45749</v>
      </c>
      <c r="O943" s="75">
        <v>45749</v>
      </c>
      <c r="P943" s="78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8" t="s">
        <v>538</v>
      </c>
      <c r="S943" s="73"/>
    </row>
    <row r="944" spans="1:19" hidden="1">
      <c r="A944" t="s">
        <v>2788</v>
      </c>
      <c r="B944" s="73" t="str">
        <f>IFERROR(VLOOKUP(Proc[[#This Row],[App]],Table2[],3,0),"open")</f>
        <v>ok</v>
      </c>
      <c r="C944" s="76" t="s">
        <v>369</v>
      </c>
      <c r="D944" t="s">
        <v>2789</v>
      </c>
      <c r="E944" t="s">
        <v>2791</v>
      </c>
      <c r="F944" s="73" t="s">
        <v>2790</v>
      </c>
      <c r="G944" s="76" t="s">
        <v>406</v>
      </c>
      <c r="H944" s="73" t="str">
        <f>IF(Proc[[#This Row],[type]]="LFF (MDG-F)",MID(Proc[[#This Row],[Obj]],13,10),"")</f>
        <v>DE20569502</v>
      </c>
      <c r="J944" s="73" t="b">
        <f>Proc[[#This Row],[Requested]]=Proc[[#This Row],[CurrentParent]]</f>
        <v>0</v>
      </c>
      <c r="K944" s="73" t="str">
        <f>IF(Proc[[#This Row],[Author]]="Marcela Urrego",VLOOKUP(LEFT(Proc[[#This Row],[Requested]],1),Table3[#All],2,0),VLOOKUP(Proc[[#This Row],[Author]],Table4[],2,0))</f>
        <v>MGF</v>
      </c>
      <c r="L944" s="32" t="s">
        <v>530</v>
      </c>
      <c r="M944" s="75">
        <v>45743.525312500002</v>
      </c>
      <c r="N944" s="75">
        <v>45749</v>
      </c>
      <c r="O944" s="75">
        <v>45749</v>
      </c>
      <c r="P944" s="78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8" t="s">
        <v>575</v>
      </c>
      <c r="S944" s="73"/>
    </row>
    <row r="945" spans="1:19" hidden="1">
      <c r="A945" t="s">
        <v>2792</v>
      </c>
      <c r="B945" s="73" t="str">
        <f>IFERROR(VLOOKUP(Proc[[#This Row],[App]],Table2[],3,0),"open")</f>
        <v>ok</v>
      </c>
      <c r="C945" s="76" t="s">
        <v>369</v>
      </c>
      <c r="D945" t="s">
        <v>2793</v>
      </c>
      <c r="E945" t="s">
        <v>494</v>
      </c>
      <c r="F945" s="73" t="s">
        <v>2285</v>
      </c>
      <c r="G945" s="76" t="s">
        <v>406</v>
      </c>
      <c r="H945" s="73" t="str">
        <f>IF(Proc[[#This Row],[type]]="LFF (MDG-F)",MID(Proc[[#This Row],[Obj]],13,10),"")</f>
        <v>DZ50GM1100</v>
      </c>
      <c r="J945" s="73" t="b">
        <f>Proc[[#This Row],[Requested]]=Proc[[#This Row],[CurrentParent]]</f>
        <v>0</v>
      </c>
      <c r="K945" s="73" t="str">
        <f>IF(Proc[[#This Row],[Author]]="Marcela Urrego",VLOOKUP(LEFT(Proc[[#This Row],[Requested]],1),Table3[#All],2,0),VLOOKUP(Proc[[#This Row],[Author]],Table4[],2,0))</f>
        <v>MGF</v>
      </c>
      <c r="L945" s="32" t="s">
        <v>530</v>
      </c>
      <c r="M945" s="75">
        <v>45743.522430555553</v>
      </c>
      <c r="N945" s="75">
        <v>45749</v>
      </c>
      <c r="O945" s="75">
        <v>45749</v>
      </c>
      <c r="P945" s="78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8" t="s">
        <v>538</v>
      </c>
      <c r="S945" s="73"/>
    </row>
    <row r="946" spans="1:19" hidden="1">
      <c r="A946" s="76" t="s">
        <v>2792</v>
      </c>
      <c r="B946" s="73" t="str">
        <f>IFERROR(VLOOKUP(Proc[[#This Row],[App]],Table2[],3,0),"open")</f>
        <v>ok</v>
      </c>
      <c r="C946" s="76" t="s">
        <v>369</v>
      </c>
      <c r="D946" t="s">
        <v>2794</v>
      </c>
      <c r="E946" t="s">
        <v>2688</v>
      </c>
      <c r="F946" s="73" t="s">
        <v>2795</v>
      </c>
      <c r="G946" s="76" t="s">
        <v>406</v>
      </c>
      <c r="H946" s="73" t="str">
        <f>IF(Proc[[#This Row],[type]]="LFF (MDG-F)",MID(Proc[[#This Row],[Obj]],13,10),"")</f>
        <v>2053OF0000</v>
      </c>
      <c r="J946" s="73" t="b">
        <f>Proc[[#This Row],[Requested]]=Proc[[#This Row],[CurrentParent]]</f>
        <v>0</v>
      </c>
      <c r="K946" s="73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5">
        <v>45743.522430555553</v>
      </c>
      <c r="N946" s="75">
        <v>45749</v>
      </c>
      <c r="O946" s="75">
        <v>45749</v>
      </c>
      <c r="P946" s="78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8" t="s">
        <v>538</v>
      </c>
      <c r="S946" s="73"/>
    </row>
    <row r="947" spans="1:19" hidden="1">
      <c r="A947" t="s">
        <v>2806</v>
      </c>
      <c r="B947" s="73" t="str">
        <f>IFERROR(VLOOKUP(Proc[[#This Row],[App]],Table2[],3,0),"open")</f>
        <v>ok</v>
      </c>
      <c r="C947" s="76" t="s">
        <v>369</v>
      </c>
      <c r="D947" t="s">
        <v>2796</v>
      </c>
      <c r="E947" t="s">
        <v>2805</v>
      </c>
      <c r="F947" s="73" t="s">
        <v>2804</v>
      </c>
      <c r="G947" s="76" t="s">
        <v>406</v>
      </c>
      <c r="H947" s="73" t="str">
        <f>IF(Proc[[#This Row],[type]]="LFF (MDG-F)",MID(Proc[[#This Row],[Obj]],13,10),"")</f>
        <v>IT50C02000</v>
      </c>
      <c r="J947" s="73" t="b">
        <f>Proc[[#This Row],[Requested]]=Proc[[#This Row],[CurrentParent]]</f>
        <v>0</v>
      </c>
      <c r="K947" s="73" t="str">
        <f>IF(Proc[[#This Row],[Author]]="Marcela Urrego",VLOOKUP(LEFT(Proc[[#This Row],[Requested]],1),Table3[#All],2,0),VLOOKUP(Proc[[#This Row],[Author]],Table4[],2,0))</f>
        <v>HC</v>
      </c>
      <c r="L947" s="32" t="s">
        <v>530</v>
      </c>
      <c r="M947" s="75">
        <v>45743.430810185186</v>
      </c>
      <c r="N947" s="75">
        <v>45749</v>
      </c>
      <c r="O947" s="75">
        <v>45749</v>
      </c>
      <c r="P947" s="78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8" t="s">
        <v>2807</v>
      </c>
      <c r="S947" s="73"/>
    </row>
    <row r="948" spans="1:19" hidden="1">
      <c r="A948" s="76" t="s">
        <v>2806</v>
      </c>
      <c r="B948" s="73" t="str">
        <f>IFERROR(VLOOKUP(Proc[[#This Row],[App]],Table2[],3,0),"open")</f>
        <v>ok</v>
      </c>
      <c r="C948" s="76" t="s">
        <v>369</v>
      </c>
      <c r="D948" t="s">
        <v>2797</v>
      </c>
      <c r="E948" t="s">
        <v>2805</v>
      </c>
      <c r="F948" s="73" t="s">
        <v>2804</v>
      </c>
      <c r="G948" s="76" t="s">
        <v>406</v>
      </c>
      <c r="H948" s="73" t="str">
        <f>IF(Proc[[#This Row],[type]]="LFF (MDG-F)",MID(Proc[[#This Row],[Obj]],13,10),"")</f>
        <v>IT50C02004</v>
      </c>
      <c r="J948" s="73" t="b">
        <f>Proc[[#This Row],[Requested]]=Proc[[#This Row],[CurrentParent]]</f>
        <v>0</v>
      </c>
      <c r="K948" s="73" t="str">
        <f>IF(Proc[[#This Row],[Author]]="Marcela Urrego",VLOOKUP(LEFT(Proc[[#This Row],[Requested]],1),Table3[#All],2,0),VLOOKUP(Proc[[#This Row],[Author]],Table4[],2,0))</f>
        <v>HC</v>
      </c>
      <c r="L948" s="32" t="s">
        <v>530</v>
      </c>
      <c r="M948" s="75">
        <v>45743.430810185186</v>
      </c>
      <c r="N948" s="75">
        <v>45749</v>
      </c>
      <c r="O948" s="75">
        <v>45749</v>
      </c>
      <c r="P948" s="78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8" t="s">
        <v>2807</v>
      </c>
      <c r="S948" s="73"/>
    </row>
    <row r="949" spans="1:19" hidden="1">
      <c r="A949" s="76" t="s">
        <v>2806</v>
      </c>
      <c r="B949" s="73" t="str">
        <f>IFERROR(VLOOKUP(Proc[[#This Row],[App]],Table2[],3,0),"open")</f>
        <v>ok</v>
      </c>
      <c r="C949" s="76" t="s">
        <v>369</v>
      </c>
      <c r="D949" t="s">
        <v>2798</v>
      </c>
      <c r="E949" t="s">
        <v>2805</v>
      </c>
      <c r="F949" s="73" t="s">
        <v>2804</v>
      </c>
      <c r="G949" s="76" t="s">
        <v>406</v>
      </c>
      <c r="H949" s="73" t="str">
        <f>IF(Proc[[#This Row],[type]]="LFF (MDG-F)",MID(Proc[[#This Row],[Obj]],13,10),"")</f>
        <v>IT50C03005</v>
      </c>
      <c r="J949" s="73" t="b">
        <f>Proc[[#This Row],[Requested]]=Proc[[#This Row],[CurrentParent]]</f>
        <v>0</v>
      </c>
      <c r="K949" s="73" t="str">
        <f>IF(Proc[[#This Row],[Author]]="Marcela Urrego",VLOOKUP(LEFT(Proc[[#This Row],[Requested]],1),Table3[#All],2,0),VLOOKUP(Proc[[#This Row],[Author]],Table4[],2,0))</f>
        <v>HC</v>
      </c>
      <c r="L949" s="32" t="s">
        <v>530</v>
      </c>
      <c r="M949" s="75">
        <v>45743.430810185186</v>
      </c>
      <c r="N949" s="75">
        <v>45749</v>
      </c>
      <c r="O949" s="75">
        <v>45749</v>
      </c>
      <c r="P949" s="78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8" t="s">
        <v>2807</v>
      </c>
      <c r="S949" s="73"/>
    </row>
    <row r="950" spans="1:19" hidden="1">
      <c r="A950" s="76" t="s">
        <v>2806</v>
      </c>
      <c r="B950" s="73" t="str">
        <f>IFERROR(VLOOKUP(Proc[[#This Row],[App]],Table2[],3,0),"open")</f>
        <v>ok</v>
      </c>
      <c r="C950" s="76" t="s">
        <v>369</v>
      </c>
      <c r="D950" t="s">
        <v>2799</v>
      </c>
      <c r="E950" t="s">
        <v>2805</v>
      </c>
      <c r="F950" s="73" t="s">
        <v>2804</v>
      </c>
      <c r="G950" s="76" t="s">
        <v>406</v>
      </c>
      <c r="H950" s="73" t="str">
        <f>IF(Proc[[#This Row],[type]]="LFF (MDG-F)",MID(Proc[[#This Row],[Obj]],13,10),"")</f>
        <v>IT50C03004</v>
      </c>
      <c r="J950" s="73" t="b">
        <f>Proc[[#This Row],[Requested]]=Proc[[#This Row],[CurrentParent]]</f>
        <v>0</v>
      </c>
      <c r="K950" s="73" t="str">
        <f>IF(Proc[[#This Row],[Author]]="Marcela Urrego",VLOOKUP(LEFT(Proc[[#This Row],[Requested]],1),Table3[#All],2,0),VLOOKUP(Proc[[#This Row],[Author]],Table4[],2,0))</f>
        <v>HC</v>
      </c>
      <c r="L950" s="32" t="s">
        <v>530</v>
      </c>
      <c r="M950" s="75">
        <v>45743.430810185186</v>
      </c>
      <c r="N950" s="75">
        <v>45749</v>
      </c>
      <c r="O950" s="75">
        <v>45749</v>
      </c>
      <c r="P950" s="78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8" t="s">
        <v>2807</v>
      </c>
      <c r="S950" s="73"/>
    </row>
    <row r="951" spans="1:19" hidden="1">
      <c r="A951" s="76" t="s">
        <v>2806</v>
      </c>
      <c r="B951" s="73" t="str">
        <f>IFERROR(VLOOKUP(Proc[[#This Row],[App]],Table2[],3,0),"open")</f>
        <v>ok</v>
      </c>
      <c r="C951" s="76" t="s">
        <v>369</v>
      </c>
      <c r="D951" t="s">
        <v>2800</v>
      </c>
      <c r="E951" t="s">
        <v>2805</v>
      </c>
      <c r="F951" s="73" t="s">
        <v>2804</v>
      </c>
      <c r="G951" s="76" t="s">
        <v>406</v>
      </c>
      <c r="H951" s="73" t="str">
        <f>IF(Proc[[#This Row],[type]]="LFF (MDG-F)",MID(Proc[[#This Row],[Obj]],13,10),"")</f>
        <v>IT50C02009</v>
      </c>
      <c r="J951" s="73" t="b">
        <f>Proc[[#This Row],[Requested]]=Proc[[#This Row],[CurrentParent]]</f>
        <v>0</v>
      </c>
      <c r="K951" s="73" t="str">
        <f>IF(Proc[[#This Row],[Author]]="Marcela Urrego",VLOOKUP(LEFT(Proc[[#This Row],[Requested]],1),Table3[#All],2,0),VLOOKUP(Proc[[#This Row],[Author]],Table4[],2,0))</f>
        <v>HC</v>
      </c>
      <c r="L951" s="32" t="s">
        <v>530</v>
      </c>
      <c r="M951" s="75">
        <v>45743.430810185186</v>
      </c>
      <c r="N951" s="75">
        <v>45749</v>
      </c>
      <c r="O951" s="75">
        <v>45749</v>
      </c>
      <c r="P951" s="78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8" t="s">
        <v>2807</v>
      </c>
      <c r="S951" s="73"/>
    </row>
    <row r="952" spans="1:19" hidden="1">
      <c r="A952" s="76" t="s">
        <v>2806</v>
      </c>
      <c r="B952" s="73" t="str">
        <f>IFERROR(VLOOKUP(Proc[[#This Row],[App]],Table2[],3,0),"open")</f>
        <v>ok</v>
      </c>
      <c r="C952" s="76" t="s">
        <v>369</v>
      </c>
      <c r="D952" t="s">
        <v>2801</v>
      </c>
      <c r="E952" t="s">
        <v>2805</v>
      </c>
      <c r="F952" s="73" t="s">
        <v>2804</v>
      </c>
      <c r="G952" s="76" t="s">
        <v>406</v>
      </c>
      <c r="H952" s="73" t="str">
        <f>IF(Proc[[#This Row],[type]]="LFF (MDG-F)",MID(Proc[[#This Row],[Obj]],13,10),"")</f>
        <v>IT50C02010</v>
      </c>
      <c r="J952" s="73" t="b">
        <f>Proc[[#This Row],[Requested]]=Proc[[#This Row],[CurrentParent]]</f>
        <v>0</v>
      </c>
      <c r="K952" s="73" t="str">
        <f>IF(Proc[[#This Row],[Author]]="Marcela Urrego",VLOOKUP(LEFT(Proc[[#This Row],[Requested]],1),Table3[#All],2,0),VLOOKUP(Proc[[#This Row],[Author]],Table4[],2,0))</f>
        <v>HC</v>
      </c>
      <c r="L952" s="32" t="s">
        <v>530</v>
      </c>
      <c r="M952" s="75">
        <v>45743.430810185186</v>
      </c>
      <c r="N952" s="75">
        <v>45749</v>
      </c>
      <c r="O952" s="75">
        <v>45749</v>
      </c>
      <c r="P952" s="78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8" t="s">
        <v>2807</v>
      </c>
      <c r="S952" s="73"/>
    </row>
    <row r="953" spans="1:19" hidden="1">
      <c r="A953" s="76" t="s">
        <v>2806</v>
      </c>
      <c r="B953" s="73" t="str">
        <f>IFERROR(VLOOKUP(Proc[[#This Row],[App]],Table2[],3,0),"open")</f>
        <v>ok</v>
      </c>
      <c r="C953" s="76" t="s">
        <v>369</v>
      </c>
      <c r="D953" t="s">
        <v>2802</v>
      </c>
      <c r="E953" t="s">
        <v>2805</v>
      </c>
      <c r="F953" s="73" t="s">
        <v>2804</v>
      </c>
      <c r="G953" s="76" t="s">
        <v>406</v>
      </c>
      <c r="H953" s="73" t="str">
        <f>IF(Proc[[#This Row],[type]]="LFF (MDG-F)",MID(Proc[[#This Row],[Obj]],13,10),"")</f>
        <v>IT50C03007</v>
      </c>
      <c r="J953" s="73" t="b">
        <f>Proc[[#This Row],[Requested]]=Proc[[#This Row],[CurrentParent]]</f>
        <v>0</v>
      </c>
      <c r="K953" s="73" t="str">
        <f>IF(Proc[[#This Row],[Author]]="Marcela Urrego",VLOOKUP(LEFT(Proc[[#This Row],[Requested]],1),Table3[#All],2,0),VLOOKUP(Proc[[#This Row],[Author]],Table4[],2,0))</f>
        <v>HC</v>
      </c>
      <c r="L953" s="32" t="s">
        <v>530</v>
      </c>
      <c r="M953" s="75">
        <v>45743.430810185186</v>
      </c>
      <c r="N953" s="75">
        <v>45749</v>
      </c>
      <c r="O953" s="75">
        <v>45749</v>
      </c>
      <c r="P953" s="78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8" t="s">
        <v>2807</v>
      </c>
      <c r="S953" s="73"/>
    </row>
    <row r="954" spans="1:19" hidden="1">
      <c r="A954" s="76" t="s">
        <v>2806</v>
      </c>
      <c r="B954" s="73" t="str">
        <f>IFERROR(VLOOKUP(Proc[[#This Row],[App]],Table2[],3,0),"open")</f>
        <v>ok</v>
      </c>
      <c r="C954" s="76" t="s">
        <v>369</v>
      </c>
      <c r="D954" t="s">
        <v>2803</v>
      </c>
      <c r="E954" t="s">
        <v>2805</v>
      </c>
      <c r="F954" s="73" t="s">
        <v>2804</v>
      </c>
      <c r="G954" s="76" t="s">
        <v>406</v>
      </c>
      <c r="H954" s="73" t="str">
        <f>IF(Proc[[#This Row],[type]]="LFF (MDG-F)",MID(Proc[[#This Row],[Obj]],13,10),"")</f>
        <v>IT50C02011</v>
      </c>
      <c r="J954" s="73" t="b">
        <f>Proc[[#This Row],[Requested]]=Proc[[#This Row],[CurrentParent]]</f>
        <v>0</v>
      </c>
      <c r="K954" s="73" t="str">
        <f>IF(Proc[[#This Row],[Author]]="Marcela Urrego",VLOOKUP(LEFT(Proc[[#This Row],[Requested]],1),Table3[#All],2,0),VLOOKUP(Proc[[#This Row],[Author]],Table4[],2,0))</f>
        <v>HC</v>
      </c>
      <c r="L954" s="32" t="s">
        <v>530</v>
      </c>
      <c r="M954" s="75">
        <v>45743.430810185186</v>
      </c>
      <c r="N954" s="75">
        <v>45749</v>
      </c>
      <c r="O954" s="75">
        <v>45749</v>
      </c>
      <c r="P954" s="78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8" t="s">
        <v>2807</v>
      </c>
      <c r="S954" s="73"/>
    </row>
    <row r="955" spans="1:19" hidden="1">
      <c r="A955" t="s">
        <v>2808</v>
      </c>
      <c r="B955" s="73" t="str">
        <f>IFERROR(VLOOKUP(Proc[[#This Row],[App]],Table2[],3,0),"open")</f>
        <v>ok</v>
      </c>
      <c r="C955" s="76" t="s">
        <v>369</v>
      </c>
      <c r="D955" t="s">
        <v>2809</v>
      </c>
      <c r="E955" t="s">
        <v>2819</v>
      </c>
      <c r="F955" s="73" t="s">
        <v>1316</v>
      </c>
      <c r="G955" t="s">
        <v>400</v>
      </c>
      <c r="H955" s="73" t="str">
        <f>IF(Proc[[#This Row],[type]]="LFF (MDG-F)",MID(Proc[[#This Row],[Obj]],13,10),"")</f>
        <v/>
      </c>
      <c r="J955" s="73" t="b">
        <f>Proc[[#This Row],[Requested]]=Proc[[#This Row],[CurrentParent]]</f>
        <v>0</v>
      </c>
      <c r="K955" s="73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5">
        <v>45744.427824074075</v>
      </c>
      <c r="N955" s="75">
        <v>45747</v>
      </c>
      <c r="O955" s="75">
        <v>45747</v>
      </c>
      <c r="P955" s="78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8" t="s">
        <v>1003</v>
      </c>
      <c r="S955" s="73"/>
    </row>
    <row r="956" spans="1:19" hidden="1">
      <c r="A956" s="76" t="s">
        <v>2808</v>
      </c>
      <c r="B956" s="73" t="str">
        <f>IFERROR(VLOOKUP(Proc[[#This Row],[App]],Table2[],3,0),"open")</f>
        <v>ok</v>
      </c>
      <c r="C956" s="76" t="s">
        <v>369</v>
      </c>
      <c r="D956" t="s">
        <v>2810</v>
      </c>
      <c r="E956" t="s">
        <v>2820</v>
      </c>
      <c r="F956" s="73" t="s">
        <v>2824</v>
      </c>
      <c r="G956" s="76" t="s">
        <v>400</v>
      </c>
      <c r="H956" s="73" t="str">
        <f>IF(Proc[[#This Row],[type]]="LFF (MDG-F)",MID(Proc[[#This Row],[Obj]],13,10),"")</f>
        <v/>
      </c>
      <c r="J956" s="73" t="b">
        <f>Proc[[#This Row],[Requested]]=Proc[[#This Row],[CurrentParent]]</f>
        <v>0</v>
      </c>
      <c r="K956" s="73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5">
        <v>45744.427824074075</v>
      </c>
      <c r="N956" s="75">
        <v>45747</v>
      </c>
      <c r="O956" s="75">
        <v>45747</v>
      </c>
      <c r="P956" s="78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8" t="s">
        <v>1003</v>
      </c>
      <c r="S956" s="73"/>
    </row>
    <row r="957" spans="1:19" hidden="1">
      <c r="A957" s="76" t="s">
        <v>2808</v>
      </c>
      <c r="B957" s="73" t="str">
        <f>IFERROR(VLOOKUP(Proc[[#This Row],[App]],Table2[],3,0),"open")</f>
        <v>ok</v>
      </c>
      <c r="C957" s="76" t="s">
        <v>369</v>
      </c>
      <c r="D957" t="s">
        <v>2811</v>
      </c>
      <c r="E957" t="s">
        <v>2111</v>
      </c>
      <c r="F957" s="73" t="s">
        <v>1316</v>
      </c>
      <c r="G957" s="76" t="s">
        <v>400</v>
      </c>
      <c r="H957" s="73" t="str">
        <f>IF(Proc[[#This Row],[type]]="LFF (MDG-F)",MID(Proc[[#This Row],[Obj]],13,10),"")</f>
        <v/>
      </c>
      <c r="J957" s="73" t="b">
        <f>Proc[[#This Row],[Requested]]=Proc[[#This Row],[CurrentParent]]</f>
        <v>0</v>
      </c>
      <c r="K957" s="73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5">
        <v>45744.427824074075</v>
      </c>
      <c r="N957" s="75">
        <v>45747</v>
      </c>
      <c r="O957" s="75">
        <v>45747</v>
      </c>
      <c r="P957" s="78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8" t="s">
        <v>1003</v>
      </c>
      <c r="S957" s="73"/>
    </row>
    <row r="958" spans="1:19" hidden="1">
      <c r="A958" s="76" t="s">
        <v>2808</v>
      </c>
      <c r="B958" s="73" t="str">
        <f>IFERROR(VLOOKUP(Proc[[#This Row],[App]],Table2[],3,0),"open")</f>
        <v>ok</v>
      </c>
      <c r="C958" s="76" t="s">
        <v>369</v>
      </c>
      <c r="D958" t="s">
        <v>2812</v>
      </c>
      <c r="E958" t="s">
        <v>1816</v>
      </c>
      <c r="F958" s="73" t="s">
        <v>2825</v>
      </c>
      <c r="G958" s="76" t="s">
        <v>400</v>
      </c>
      <c r="H958" s="73" t="str">
        <f>IF(Proc[[#This Row],[type]]="LFF (MDG-F)",MID(Proc[[#This Row],[Obj]],13,10),"")</f>
        <v/>
      </c>
      <c r="J958" s="73" t="b">
        <f>Proc[[#This Row],[Requested]]=Proc[[#This Row],[CurrentParent]]</f>
        <v>0</v>
      </c>
      <c r="K958" s="73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5">
        <v>45744.427824074075</v>
      </c>
      <c r="N958" s="75">
        <v>45747</v>
      </c>
      <c r="O958" s="75">
        <v>45747</v>
      </c>
      <c r="P958" s="78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8" t="s">
        <v>1003</v>
      </c>
      <c r="S958" s="73"/>
    </row>
    <row r="959" spans="1:19" hidden="1">
      <c r="A959" s="76" t="s">
        <v>2808</v>
      </c>
      <c r="B959" s="73" t="str">
        <f>IFERROR(VLOOKUP(Proc[[#This Row],[App]],Table2[],3,0),"open")</f>
        <v>ok</v>
      </c>
      <c r="C959" s="76" t="s">
        <v>369</v>
      </c>
      <c r="D959" t="s">
        <v>2813</v>
      </c>
      <c r="E959" t="s">
        <v>1816</v>
      </c>
      <c r="F959" s="73" t="s">
        <v>1316</v>
      </c>
      <c r="G959" s="76" t="s">
        <v>400</v>
      </c>
      <c r="H959" s="73" t="str">
        <f>IF(Proc[[#This Row],[type]]="LFF (MDG-F)",MID(Proc[[#This Row],[Obj]],13,10),"")</f>
        <v/>
      </c>
      <c r="J959" s="73" t="b">
        <f>Proc[[#This Row],[Requested]]=Proc[[#This Row],[CurrentParent]]</f>
        <v>0</v>
      </c>
      <c r="K959" s="73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5">
        <v>45744.427824074075</v>
      </c>
      <c r="N959" s="75">
        <v>45747</v>
      </c>
      <c r="O959" s="75">
        <v>45747</v>
      </c>
      <c r="P959" s="78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8" t="s">
        <v>1003</v>
      </c>
      <c r="S959" s="73"/>
    </row>
    <row r="960" spans="1:19" hidden="1">
      <c r="A960" s="76" t="s">
        <v>2808</v>
      </c>
      <c r="B960" s="73" t="str">
        <f>IFERROR(VLOOKUP(Proc[[#This Row],[App]],Table2[],3,0),"open")</f>
        <v>ok</v>
      </c>
      <c r="C960" s="76" t="s">
        <v>369</v>
      </c>
      <c r="D960" t="s">
        <v>2814</v>
      </c>
      <c r="E960" t="s">
        <v>2821</v>
      </c>
      <c r="F960" s="73" t="s">
        <v>2826</v>
      </c>
      <c r="G960" s="76" t="s">
        <v>400</v>
      </c>
      <c r="H960" s="73" t="str">
        <f>IF(Proc[[#This Row],[type]]="LFF (MDG-F)",MID(Proc[[#This Row],[Obj]],13,10),"")</f>
        <v/>
      </c>
      <c r="J960" s="73" t="b">
        <f>Proc[[#This Row],[Requested]]=Proc[[#This Row],[CurrentParent]]</f>
        <v>0</v>
      </c>
      <c r="K960" s="73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5">
        <v>45744.427824074075</v>
      </c>
      <c r="N960" s="75">
        <v>45747</v>
      </c>
      <c r="O960" s="75">
        <v>45747</v>
      </c>
      <c r="P960" s="78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8" t="s">
        <v>1003</v>
      </c>
      <c r="S960" s="73"/>
    </row>
    <row r="961" spans="1:19" hidden="1">
      <c r="A961" s="76" t="s">
        <v>2808</v>
      </c>
      <c r="B961" s="73" t="str">
        <f>IFERROR(VLOOKUP(Proc[[#This Row],[App]],Table2[],3,0),"open")</f>
        <v>ok</v>
      </c>
      <c r="C961" s="76" t="s">
        <v>369</v>
      </c>
      <c r="D961" t="s">
        <v>2815</v>
      </c>
      <c r="E961" t="s">
        <v>802</v>
      </c>
      <c r="F961" s="73" t="s">
        <v>1316</v>
      </c>
      <c r="G961" s="76" t="s">
        <v>400</v>
      </c>
      <c r="H961" s="73" t="str">
        <f>IF(Proc[[#This Row],[type]]="LFF (MDG-F)",MID(Proc[[#This Row],[Obj]],13,10),"")</f>
        <v/>
      </c>
      <c r="J961" s="73" t="b">
        <f>Proc[[#This Row],[Requested]]=Proc[[#This Row],[CurrentParent]]</f>
        <v>0</v>
      </c>
      <c r="K961" s="73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5">
        <v>45744.427824074075</v>
      </c>
      <c r="N961" s="75">
        <v>45747</v>
      </c>
      <c r="O961" s="75">
        <v>45747</v>
      </c>
      <c r="P961" s="78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8" t="s">
        <v>1003</v>
      </c>
      <c r="S961" s="73"/>
    </row>
    <row r="962" spans="1:19" hidden="1">
      <c r="A962" s="76" t="s">
        <v>2808</v>
      </c>
      <c r="B962" s="73" t="str">
        <f>IFERROR(VLOOKUP(Proc[[#This Row],[App]],Table2[],3,0),"open")</f>
        <v>ok</v>
      </c>
      <c r="C962" s="76" t="s">
        <v>369</v>
      </c>
      <c r="D962" t="s">
        <v>2816</v>
      </c>
      <c r="E962" t="s">
        <v>2822</v>
      </c>
      <c r="F962" s="73" t="s">
        <v>2827</v>
      </c>
      <c r="G962" s="76" t="s">
        <v>400</v>
      </c>
      <c r="H962" s="73" t="str">
        <f>IF(Proc[[#This Row],[type]]="LFF (MDG-F)",MID(Proc[[#This Row],[Obj]],13,10),"")</f>
        <v/>
      </c>
      <c r="J962" s="73" t="b">
        <f>Proc[[#This Row],[Requested]]=Proc[[#This Row],[CurrentParent]]</f>
        <v>0</v>
      </c>
      <c r="K962" s="73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5">
        <v>45744.427824074075</v>
      </c>
      <c r="N962" s="75">
        <v>45747</v>
      </c>
      <c r="O962" s="75">
        <v>45747</v>
      </c>
      <c r="P962" s="78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8" t="s">
        <v>1003</v>
      </c>
      <c r="S962" s="73"/>
    </row>
    <row r="963" spans="1:19" hidden="1">
      <c r="A963" s="76" t="s">
        <v>2808</v>
      </c>
      <c r="B963" s="73" t="str">
        <f>IFERROR(VLOOKUP(Proc[[#This Row],[App]],Table2[],3,0),"open")</f>
        <v>ok</v>
      </c>
      <c r="C963" s="76" t="s">
        <v>369</v>
      </c>
      <c r="D963" t="s">
        <v>2817</v>
      </c>
      <c r="E963" t="s">
        <v>802</v>
      </c>
      <c r="F963" s="73" t="s">
        <v>1316</v>
      </c>
      <c r="G963" s="76" t="s">
        <v>400</v>
      </c>
      <c r="H963" s="73" t="str">
        <f>IF(Proc[[#This Row],[type]]="LFF (MDG-F)",MID(Proc[[#This Row],[Obj]],13,10),"")</f>
        <v/>
      </c>
      <c r="J963" s="73" t="b">
        <f>Proc[[#This Row],[Requested]]=Proc[[#This Row],[CurrentParent]]</f>
        <v>0</v>
      </c>
      <c r="K963" s="73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5">
        <v>45744.427824074075</v>
      </c>
      <c r="N963" s="75">
        <v>45747</v>
      </c>
      <c r="O963" s="75">
        <v>45747</v>
      </c>
      <c r="P963" s="78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8" t="s">
        <v>1003</v>
      </c>
      <c r="S963" s="73"/>
    </row>
    <row r="964" spans="1:19" hidden="1">
      <c r="A964" s="76" t="s">
        <v>2808</v>
      </c>
      <c r="B964" s="73" t="str">
        <f>IFERROR(VLOOKUP(Proc[[#This Row],[App]],Table2[],3,0),"open")</f>
        <v>ok</v>
      </c>
      <c r="C964" s="76" t="s">
        <v>369</v>
      </c>
      <c r="D964" t="s">
        <v>2818</v>
      </c>
      <c r="E964" t="s">
        <v>2823</v>
      </c>
      <c r="F964" s="73" t="s">
        <v>1316</v>
      </c>
      <c r="G964" s="76" t="s">
        <v>400</v>
      </c>
      <c r="H964" s="73" t="str">
        <f>IF(Proc[[#This Row],[type]]="LFF (MDG-F)",MID(Proc[[#This Row],[Obj]],13,10),"")</f>
        <v/>
      </c>
      <c r="J964" s="73" t="b">
        <f>Proc[[#This Row],[Requested]]=Proc[[#This Row],[CurrentParent]]</f>
        <v>0</v>
      </c>
      <c r="K964" s="73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5">
        <v>45744.427824074075</v>
      </c>
      <c r="N964" s="75">
        <v>45747</v>
      </c>
      <c r="O964" s="75">
        <v>45747</v>
      </c>
      <c r="P964" s="78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8" t="s">
        <v>1003</v>
      </c>
      <c r="S964" s="73"/>
    </row>
    <row r="965" spans="1:19" hidden="1">
      <c r="A965" t="s">
        <v>2829</v>
      </c>
      <c r="B965" s="73" t="str">
        <f>IFERROR(VLOOKUP(Proc[[#This Row],[App]],Table2[],3,0),"open")</f>
        <v>ok</v>
      </c>
      <c r="C965" s="76" t="s">
        <v>369</v>
      </c>
      <c r="D965" t="s">
        <v>2830</v>
      </c>
      <c r="E965" t="s">
        <v>2831</v>
      </c>
      <c r="F965" s="73" t="s">
        <v>1098</v>
      </c>
      <c r="G965" t="s">
        <v>400</v>
      </c>
      <c r="H965" s="73" t="str">
        <f>IF(Proc[[#This Row],[type]]="LFF (MDG-F)",MID(Proc[[#This Row],[Obj]],13,10),"")</f>
        <v/>
      </c>
      <c r="J965" s="73" t="b">
        <f>Proc[[#This Row],[Requested]]=Proc[[#This Row],[CurrentParent]]</f>
        <v>0</v>
      </c>
      <c r="K965" s="73" t="str">
        <f>IF(Proc[[#This Row],[Author]]="Marcela Urrego",VLOOKUP(LEFT(Proc[[#This Row],[Requested]],1),Table3[#All],2,0),VLOOKUP(Proc[[#This Row],[Author]],Table4[],2,0))</f>
        <v>EL</v>
      </c>
      <c r="L965" s="32" t="s">
        <v>530</v>
      </c>
      <c r="M965" s="75">
        <v>45747.396412037036</v>
      </c>
      <c r="N965" s="75">
        <v>45749</v>
      </c>
      <c r="O965" s="75">
        <v>45749</v>
      </c>
      <c r="P965" s="78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2</v>
      </c>
      <c r="R965" s="78" t="s">
        <v>1112</v>
      </c>
      <c r="S965" s="73"/>
    </row>
    <row r="966" spans="1:19" hidden="1">
      <c r="A966" t="s">
        <v>2832</v>
      </c>
      <c r="B966" s="73" t="str">
        <f>IFERROR(VLOOKUP(Proc[[#This Row],[App]],Table2[],3,0),"open")</f>
        <v>ok</v>
      </c>
      <c r="C966" s="76" t="s">
        <v>369</v>
      </c>
      <c r="D966" t="s">
        <v>2833</v>
      </c>
      <c r="E966" t="s">
        <v>2835</v>
      </c>
      <c r="F966" s="73" t="s">
        <v>2834</v>
      </c>
      <c r="G966" s="76" t="s">
        <v>406</v>
      </c>
      <c r="H966" s="73" t="str">
        <f>IF(Proc[[#This Row],[type]]="LFF (MDG-F)",MID(Proc[[#This Row],[Obj]],13,10),"")</f>
        <v>ES50GPO794</v>
      </c>
      <c r="J966" s="73" t="b">
        <f>Proc[[#This Row],[Requested]]=Proc[[#This Row],[CurrentParent]]</f>
        <v>0</v>
      </c>
      <c r="K966" s="73" t="str">
        <f>IF(Proc[[#This Row],[Author]]="Marcela Urrego",VLOOKUP(LEFT(Proc[[#This Row],[Requested]],1),Table3[#All],2,0),VLOOKUP(Proc[[#This Row],[Author]],Table4[],2,0))</f>
        <v>MGF</v>
      </c>
      <c r="L966" s="32" t="s">
        <v>530</v>
      </c>
      <c r="M966" s="75">
        <v>45744.699282407404</v>
      </c>
      <c r="N966" s="75">
        <v>45749</v>
      </c>
      <c r="O966" s="75">
        <v>45749</v>
      </c>
      <c r="P966" s="78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3</v>
      </c>
      <c r="R966" s="78" t="s">
        <v>554</v>
      </c>
      <c r="S966" s="73"/>
    </row>
    <row r="967" spans="1:19" hidden="1">
      <c r="A967" t="s">
        <v>2836</v>
      </c>
      <c r="B967" s="73" t="str">
        <f>IFERROR(VLOOKUP(Proc[[#This Row],[App]],Table2[],3,0),"open")</f>
        <v>ok</v>
      </c>
      <c r="C967" s="76" t="s">
        <v>369</v>
      </c>
      <c r="D967" t="s">
        <v>2837</v>
      </c>
      <c r="E967" t="s">
        <v>494</v>
      </c>
      <c r="F967" s="73" t="s">
        <v>2838</v>
      </c>
      <c r="G967" s="76" t="s">
        <v>406</v>
      </c>
      <c r="H967" s="73" t="str">
        <f>IF(Proc[[#This Row],[type]]="LFF (MDG-F)",MID(Proc[[#This Row],[Obj]],13,10),"")</f>
        <v>CH75GM8300</v>
      </c>
      <c r="J967" s="73" t="b">
        <f>Proc[[#This Row],[Requested]]=Proc[[#This Row],[CurrentParent]]</f>
        <v>0</v>
      </c>
      <c r="K967" s="73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5">
        <v>45744.687928240739</v>
      </c>
      <c r="N967" s="75">
        <v>45749</v>
      </c>
      <c r="O967" s="75">
        <v>45749</v>
      </c>
      <c r="P967" s="78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8" t="s">
        <v>554</v>
      </c>
      <c r="S967" s="73"/>
    </row>
    <row r="968" spans="1:19" hidden="1">
      <c r="A968" t="s">
        <v>2841</v>
      </c>
      <c r="B968" s="73" t="str">
        <f>IFERROR(VLOOKUP(Proc[[#This Row],[App]],Table2[],3,0),"open")</f>
        <v>ok</v>
      </c>
      <c r="C968" s="76" t="s">
        <v>369</v>
      </c>
      <c r="D968" t="s">
        <v>2839</v>
      </c>
      <c r="E968" t="s">
        <v>494</v>
      </c>
      <c r="F968" s="73" t="s">
        <v>2840</v>
      </c>
      <c r="G968" s="76" t="s">
        <v>400</v>
      </c>
      <c r="H968" s="73" t="str">
        <f>IF(Proc[[#This Row],[type]]="LFF (MDG-F)",MID(Proc[[#This Row],[Obj]],13,10),"")</f>
        <v/>
      </c>
      <c r="J968" s="73" t="b">
        <f>Proc[[#This Row],[Requested]]=Proc[[#This Row],[CurrentParent]]</f>
        <v>0</v>
      </c>
      <c r="K968" s="73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5">
        <v>45744.678877314815</v>
      </c>
      <c r="N968" s="75">
        <v>45749</v>
      </c>
      <c r="O968" s="75">
        <v>45749</v>
      </c>
      <c r="P968" s="78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8" t="s">
        <v>554</v>
      </c>
      <c r="S968" s="73"/>
    </row>
    <row r="969" spans="1:19" hidden="1">
      <c r="A969" t="s">
        <v>2844</v>
      </c>
      <c r="B969" s="73" t="str">
        <f>IFERROR(VLOOKUP(Proc[[#This Row],[App]],Table2[],3,0),"open")</f>
        <v>ok</v>
      </c>
      <c r="C969" s="76" t="s">
        <v>369</v>
      </c>
      <c r="D969" t="s">
        <v>2842</v>
      </c>
      <c r="E969" t="s">
        <v>494</v>
      </c>
      <c r="F969" s="73" t="s">
        <v>2843</v>
      </c>
      <c r="G969" s="76" t="s">
        <v>400</v>
      </c>
      <c r="H969" s="73" t="str">
        <f>IF(Proc[[#This Row],[type]]="LFF (MDG-F)",MID(Proc[[#This Row],[Obj]],13,10),"")</f>
        <v/>
      </c>
      <c r="J969" s="73" t="b">
        <f>Proc[[#This Row],[Requested]]=Proc[[#This Row],[CurrentParent]]</f>
        <v>0</v>
      </c>
      <c r="K969" s="73" t="str">
        <f>IF(Proc[[#This Row],[Author]]="Marcela Urrego",VLOOKUP(LEFT(Proc[[#This Row],[Requested]],1),Table3[#All],2,0),VLOOKUP(Proc[[#This Row],[Author]],Table4[],2,0))</f>
        <v>MGF</v>
      </c>
      <c r="L969" s="32" t="s">
        <v>530</v>
      </c>
      <c r="M969" s="75">
        <v>45744.676550925928</v>
      </c>
      <c r="N969" s="75">
        <v>45749</v>
      </c>
      <c r="O969" s="75">
        <v>45749</v>
      </c>
      <c r="P969" s="78" t="str">
        <f ca="1">IF(Proc[[#This Row],[DaysAgeing]]&gt;5,"yep","on track")</f>
        <v>on track</v>
      </c>
      <c r="Q969" s="3">
        <f ca="1">IF(Proc[[#This Row],[DateClosed]]="",ABS(NETWORKDAYS(Proc[[#This Row],[DateOpened]],TODAY()))-1,ABS(NETWORKDAYS(Proc[[#This Row],[DateOpened]],Proc[[#This Row],[DateClosed]]))-1)</f>
        <v>3</v>
      </c>
      <c r="R969" s="78" t="s">
        <v>554</v>
      </c>
      <c r="S969" s="73"/>
    </row>
    <row r="970" spans="1:19" hidden="1">
      <c r="A970" t="s">
        <v>2845</v>
      </c>
      <c r="B970" s="73" t="str">
        <f>IFERROR(VLOOKUP(Proc[[#This Row],[App]],Table2[],3,0),"open")</f>
        <v>ok</v>
      </c>
      <c r="C970" s="76" t="s">
        <v>369</v>
      </c>
      <c r="D970" s="79" t="s">
        <v>2846</v>
      </c>
      <c r="E970" t="s">
        <v>494</v>
      </c>
      <c r="F970" s="73" t="s">
        <v>2840</v>
      </c>
      <c r="G970" s="76" t="s">
        <v>406</v>
      </c>
      <c r="H970" s="73" t="str">
        <f>IF(Proc[[#This Row],[type]]="LFF (MDG-F)",MID(Proc[[#This Row],[Obj]],13,10),"")</f>
        <v>CH50GM4010</v>
      </c>
      <c r="J970" s="73" t="b">
        <f>Proc[[#This Row],[Requested]]=Proc[[#This Row],[CurrentParent]]</f>
        <v>0</v>
      </c>
      <c r="K970" s="73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5">
        <v>45744.666585648149</v>
      </c>
      <c r="N970" s="75">
        <v>45749</v>
      </c>
      <c r="O970" s="75">
        <v>45749</v>
      </c>
      <c r="P970" s="78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8" t="s">
        <v>554</v>
      </c>
      <c r="S970" s="73"/>
    </row>
    <row r="971" spans="1:19" hidden="1">
      <c r="A971" t="s">
        <v>2847</v>
      </c>
      <c r="B971" s="73" t="str">
        <f>IFERROR(VLOOKUP(Proc[[#This Row],[App]],Table2[],3,0),"open")</f>
        <v>ok</v>
      </c>
      <c r="C971" s="76" t="s">
        <v>369</v>
      </c>
      <c r="D971" t="s">
        <v>2848</v>
      </c>
      <c r="E971" t="s">
        <v>2851</v>
      </c>
      <c r="F971" s="73" t="s">
        <v>2850</v>
      </c>
      <c r="G971" s="76" t="s">
        <v>406</v>
      </c>
      <c r="H971" s="73" t="str">
        <f>IF(Proc[[#This Row],[type]]="LFF (MDG-F)",MID(Proc[[#This Row],[Obj]],13,10),"")</f>
        <v>CN95GM4000</v>
      </c>
      <c r="J971" s="73" t="b">
        <f>Proc[[#This Row],[Requested]]=Proc[[#This Row],[CurrentParent]]</f>
        <v>0</v>
      </c>
      <c r="K971" s="73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5">
        <v>45744.631527777776</v>
      </c>
      <c r="N971" s="75">
        <v>45749</v>
      </c>
      <c r="O971" s="75">
        <v>45749</v>
      </c>
      <c r="P971" s="78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8" t="s">
        <v>554</v>
      </c>
      <c r="S971" s="73"/>
    </row>
    <row r="972" spans="1:19" hidden="1">
      <c r="A972" t="s">
        <v>2847</v>
      </c>
      <c r="B972" s="73" t="str">
        <f>IFERROR(VLOOKUP(Proc[[#This Row],[App]],Table2[],3,0),"open")</f>
        <v>ok</v>
      </c>
      <c r="C972" s="76" t="s">
        <v>369</v>
      </c>
      <c r="D972" t="s">
        <v>2849</v>
      </c>
      <c r="E972" s="76" t="s">
        <v>2851</v>
      </c>
      <c r="F972" s="73" t="s">
        <v>2850</v>
      </c>
      <c r="G972" s="76" t="s">
        <v>406</v>
      </c>
      <c r="H972" s="73" t="str">
        <f>IF(Proc[[#This Row],[type]]="LFF (MDG-F)",MID(Proc[[#This Row],[Obj]],13,10),"")</f>
        <v>CN96GM4002</v>
      </c>
      <c r="J972" s="73" t="b">
        <f>Proc[[#This Row],[Requested]]=Proc[[#This Row],[CurrentParent]]</f>
        <v>0</v>
      </c>
      <c r="K972" s="73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5">
        <v>45744.631527777776</v>
      </c>
      <c r="N972" s="75">
        <v>45749</v>
      </c>
      <c r="O972" s="75">
        <v>45749</v>
      </c>
      <c r="P972" s="78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8" t="s">
        <v>554</v>
      </c>
      <c r="S972" s="73"/>
    </row>
    <row r="973" spans="1:19" hidden="1">
      <c r="A973" t="s">
        <v>2855</v>
      </c>
      <c r="B973" s="73" t="str">
        <f>IFERROR(VLOOKUP(Proc[[#This Row],[App]],Table2[],3,0),"open")</f>
        <v>ok</v>
      </c>
      <c r="C973" s="76" t="s">
        <v>369</v>
      </c>
      <c r="D973" t="s">
        <v>2852</v>
      </c>
      <c r="E973" t="s">
        <v>2853</v>
      </c>
      <c r="F973" s="73" t="s">
        <v>2854</v>
      </c>
      <c r="G973" s="76" t="s">
        <v>400</v>
      </c>
      <c r="H973" s="73" t="str">
        <f>IF(Proc[[#This Row],[type]]="LFF (MDG-F)",MID(Proc[[#This Row],[Obj]],13,10),"")</f>
        <v/>
      </c>
      <c r="J973" s="73" t="b">
        <f>Proc[[#This Row],[Requested]]=Proc[[#This Row],[CurrentParent]]</f>
        <v>0</v>
      </c>
      <c r="K973" s="73" t="str">
        <f>IF(Proc[[#This Row],[Author]]="Marcela Urrego",VLOOKUP(LEFT(Proc[[#This Row],[Requested]],1),Table3[#All],2,0),VLOOKUP(Proc[[#This Row],[Author]],Table4[],2,0))</f>
        <v>HC</v>
      </c>
      <c r="L973" s="32" t="s">
        <v>530</v>
      </c>
      <c r="M973" s="75">
        <v>45747.472418981481</v>
      </c>
      <c r="N973" s="75">
        <v>45749</v>
      </c>
      <c r="O973" s="75">
        <v>45749</v>
      </c>
      <c r="P973" s="78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2</v>
      </c>
      <c r="R973" s="78" t="s">
        <v>495</v>
      </c>
      <c r="S973" s="73"/>
    </row>
    <row r="974" spans="1:19">
      <c r="A974" t="s">
        <v>2857</v>
      </c>
      <c r="B974" s="73" t="str">
        <f>IFERROR(VLOOKUP(Proc[[#This Row],[App]],Table2[],3,0),"open")</f>
        <v>open</v>
      </c>
      <c r="C974" s="76" t="s">
        <v>370</v>
      </c>
      <c r="D974" t="s">
        <v>2858</v>
      </c>
      <c r="E974" t="s">
        <v>2843</v>
      </c>
      <c r="F974" s="73" t="s">
        <v>491</v>
      </c>
      <c r="G974" t="s">
        <v>400</v>
      </c>
      <c r="H974" s="73" t="str">
        <f>IF(Proc[[#This Row],[type]]="LFF (MDG-F)",MID(Proc[[#This Row],[Obj]],13,10),"")</f>
        <v/>
      </c>
      <c r="J974" s="73" t="b">
        <f>Proc[[#This Row],[Requested]]=Proc[[#This Row],[CurrentParent]]</f>
        <v>0</v>
      </c>
      <c r="K974" s="73" t="str">
        <f>IF(Proc[[#This Row],[Author]]="Marcela Urrego",VLOOKUP(LEFT(Proc[[#This Row],[Requested]],1),Table3[#All],2,0),VLOOKUP(Proc[[#This Row],[Author]],Table4[],2,0))</f>
        <v>MGF</v>
      </c>
      <c r="L974" s="32" t="s">
        <v>2856</v>
      </c>
      <c r="M974" s="75">
        <v>45749.402743055558</v>
      </c>
      <c r="P974" s="78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1</v>
      </c>
      <c r="R974" s="78" t="s">
        <v>538</v>
      </c>
      <c r="S974" s="73"/>
    </row>
    <row r="975" spans="1:19">
      <c r="A975" t="s">
        <v>2859</v>
      </c>
      <c r="B975" s="73" t="str">
        <f>IFERROR(VLOOKUP(Proc[[#This Row],[App]],Table2[],3,0),"open")</f>
        <v>open</v>
      </c>
      <c r="C975" s="76" t="s">
        <v>370</v>
      </c>
      <c r="D975" t="s">
        <v>2860</v>
      </c>
      <c r="E975" t="s">
        <v>492</v>
      </c>
      <c r="F975" s="73" t="s">
        <v>2861</v>
      </c>
      <c r="G975" s="76" t="s">
        <v>400</v>
      </c>
      <c r="H975" s="73" t="str">
        <f>IF(Proc[[#This Row],[type]]="LFF (MDG-F)",MID(Proc[[#This Row],[Obj]],13,10),"")</f>
        <v/>
      </c>
      <c r="J975" s="73" t="b">
        <f>Proc[[#This Row],[Requested]]=Proc[[#This Row],[CurrentParent]]</f>
        <v>0</v>
      </c>
      <c r="K975" s="73" t="str">
        <f>IF(Proc[[#This Row],[Author]]="Marcela Urrego",VLOOKUP(LEFT(Proc[[#This Row],[Requested]],1),Table3[#All],2,0),VLOOKUP(Proc[[#This Row],[Author]],Table4[],2,0))</f>
        <v>MGF</v>
      </c>
      <c r="L975" s="32" t="s">
        <v>2856</v>
      </c>
      <c r="M975" s="75">
        <v>45748.710694444446</v>
      </c>
      <c r="P975" s="78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8" t="s">
        <v>554</v>
      </c>
      <c r="S975" s="73"/>
    </row>
    <row r="976" spans="1:19">
      <c r="A976" t="s">
        <v>2862</v>
      </c>
      <c r="B976" s="73" t="str">
        <f>IFERROR(VLOOKUP(Proc[[#This Row],[App]],Table2[],3,0),"open")</f>
        <v>open</v>
      </c>
      <c r="C976" s="76" t="s">
        <v>370</v>
      </c>
      <c r="D976" t="s">
        <v>2863</v>
      </c>
      <c r="E976" t="s">
        <v>2864</v>
      </c>
      <c r="F976" s="73" t="s">
        <v>2865</v>
      </c>
      <c r="G976" s="76" t="s">
        <v>406</v>
      </c>
      <c r="H976" s="73" t="str">
        <f>IF(Proc[[#This Row],[type]]="LFF (MDG-F)",MID(Proc[[#This Row],[Obj]],13,10),"")</f>
        <v>CH50GIT032</v>
      </c>
      <c r="I976" t="s">
        <v>2869</v>
      </c>
      <c r="J976" s="73" t="b">
        <f>Proc[[#This Row],[Requested]]=Proc[[#This Row],[CurrentParent]]</f>
        <v>0</v>
      </c>
      <c r="K976" s="73" t="str">
        <f>IF(Proc[[#This Row],[Author]]="Marcela Urrego",VLOOKUP(LEFT(Proc[[#This Row],[Requested]],1),Table3[#All],2,0),VLOOKUP(Proc[[#This Row],[Author]],Table4[],2,0))</f>
        <v>MGF</v>
      </c>
      <c r="L976" s="32" t="s">
        <v>2856</v>
      </c>
      <c r="M976" s="75">
        <v>45747.711828703701</v>
      </c>
      <c r="P976" s="78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3</v>
      </c>
      <c r="R976" s="78" t="s">
        <v>1530</v>
      </c>
      <c r="S976" s="73"/>
    </row>
    <row r="977" spans="1:19">
      <c r="A977" t="s">
        <v>2866</v>
      </c>
      <c r="B977" s="73" t="str">
        <f>IFERROR(VLOOKUP(Proc[[#This Row],[App]],Table2[],3,0),"open")</f>
        <v>open</v>
      </c>
      <c r="C977" s="76" t="s">
        <v>370</v>
      </c>
      <c r="D977" t="s">
        <v>2796</v>
      </c>
      <c r="E977" t="s">
        <v>2804</v>
      </c>
      <c r="F977" s="73" t="s">
        <v>2805</v>
      </c>
      <c r="G977" s="76" t="s">
        <v>406</v>
      </c>
      <c r="H977" s="73" t="str">
        <f>IF(Proc[[#This Row],[type]]="LFF (MDG-F)",MID(Proc[[#This Row],[Obj]],13,10),"")</f>
        <v>IT50C02000</v>
      </c>
      <c r="I977" s="76" t="s">
        <v>2869</v>
      </c>
      <c r="J977" s="73" t="b">
        <f>Proc[[#This Row],[Requested]]=Proc[[#This Row],[CurrentParent]]</f>
        <v>0</v>
      </c>
      <c r="K977" s="73" t="str">
        <f>IF(Proc[[#This Row],[Author]]="Marcela Urrego",VLOOKUP(LEFT(Proc[[#This Row],[Requested]],1),Table3[#All],2,0),VLOOKUP(Proc[[#This Row],[Author]],Table4[],2,0))</f>
        <v>HC</v>
      </c>
      <c r="L977" s="32" t="s">
        <v>2856</v>
      </c>
      <c r="M977" s="75">
        <v>45749.440416666665</v>
      </c>
      <c r="P977" s="78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1</v>
      </c>
      <c r="R977" s="78" t="s">
        <v>2807</v>
      </c>
      <c r="S977" s="73"/>
    </row>
    <row r="978" spans="1:19">
      <c r="A978" s="76" t="s">
        <v>2866</v>
      </c>
      <c r="B978" s="73" t="str">
        <f>IFERROR(VLOOKUP(Proc[[#This Row],[App]],Table2[],3,0),"open")</f>
        <v>open</v>
      </c>
      <c r="C978" s="76" t="s">
        <v>370</v>
      </c>
      <c r="D978" t="s">
        <v>2797</v>
      </c>
      <c r="E978" t="s">
        <v>2804</v>
      </c>
      <c r="F978" s="73" t="s">
        <v>2805</v>
      </c>
      <c r="G978" s="76" t="s">
        <v>406</v>
      </c>
      <c r="H978" s="73" t="str">
        <f>IF(Proc[[#This Row],[type]]="LFF (MDG-F)",MID(Proc[[#This Row],[Obj]],13,10),"")</f>
        <v>IT50C02004</v>
      </c>
      <c r="I978" s="76" t="s">
        <v>2869</v>
      </c>
      <c r="J978" s="73" t="b">
        <f>Proc[[#This Row],[Requested]]=Proc[[#This Row],[CurrentParent]]</f>
        <v>0</v>
      </c>
      <c r="K978" s="73" t="str">
        <f>IF(Proc[[#This Row],[Author]]="Marcela Urrego",VLOOKUP(LEFT(Proc[[#This Row],[Requested]],1),Table3[#All],2,0),VLOOKUP(Proc[[#This Row],[Author]],Table4[],2,0))</f>
        <v>HC</v>
      </c>
      <c r="L978" s="32" t="s">
        <v>2856</v>
      </c>
      <c r="M978" s="75">
        <v>45749.440416666665</v>
      </c>
      <c r="P978" s="78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1</v>
      </c>
      <c r="R978" s="78" t="s">
        <v>2807</v>
      </c>
      <c r="S978" s="73"/>
    </row>
    <row r="979" spans="1:19">
      <c r="A979" s="76" t="s">
        <v>2866</v>
      </c>
      <c r="B979" s="73" t="str">
        <f>IFERROR(VLOOKUP(Proc[[#This Row],[App]],Table2[],3,0),"open")</f>
        <v>open</v>
      </c>
      <c r="C979" s="76" t="s">
        <v>370</v>
      </c>
      <c r="D979" t="s">
        <v>2798</v>
      </c>
      <c r="E979" t="s">
        <v>2804</v>
      </c>
      <c r="F979" s="73" t="s">
        <v>2805</v>
      </c>
      <c r="G979" s="76" t="s">
        <v>406</v>
      </c>
      <c r="H979" s="73" t="str">
        <f>IF(Proc[[#This Row],[type]]="LFF (MDG-F)",MID(Proc[[#This Row],[Obj]],13,10),"")</f>
        <v>IT50C03005</v>
      </c>
      <c r="I979" s="76" t="s">
        <v>2869</v>
      </c>
      <c r="J979" s="73" t="b">
        <f>Proc[[#This Row],[Requested]]=Proc[[#This Row],[CurrentParent]]</f>
        <v>0</v>
      </c>
      <c r="K979" s="73" t="str">
        <f>IF(Proc[[#This Row],[Author]]="Marcela Urrego",VLOOKUP(LEFT(Proc[[#This Row],[Requested]],1),Table3[#All],2,0),VLOOKUP(Proc[[#This Row],[Author]],Table4[],2,0))</f>
        <v>HC</v>
      </c>
      <c r="L979" s="32" t="s">
        <v>2856</v>
      </c>
      <c r="M979" s="75">
        <v>45749.440416666665</v>
      </c>
      <c r="P979" s="78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1</v>
      </c>
      <c r="R979" s="78" t="s">
        <v>2807</v>
      </c>
      <c r="S979" s="73"/>
    </row>
    <row r="980" spans="1:19">
      <c r="A980" s="76" t="s">
        <v>2866</v>
      </c>
      <c r="B980" s="73" t="str">
        <f>IFERROR(VLOOKUP(Proc[[#This Row],[App]],Table2[],3,0),"open")</f>
        <v>open</v>
      </c>
      <c r="C980" s="76" t="s">
        <v>370</v>
      </c>
      <c r="D980" t="s">
        <v>2799</v>
      </c>
      <c r="E980" t="s">
        <v>2804</v>
      </c>
      <c r="F980" s="73" t="s">
        <v>2805</v>
      </c>
      <c r="G980" s="76" t="s">
        <v>406</v>
      </c>
      <c r="H980" s="73" t="str">
        <f>IF(Proc[[#This Row],[type]]="LFF (MDG-F)",MID(Proc[[#This Row],[Obj]],13,10),"")</f>
        <v>IT50C03004</v>
      </c>
      <c r="I980" s="76" t="s">
        <v>2869</v>
      </c>
      <c r="J980" s="73" t="b">
        <f>Proc[[#This Row],[Requested]]=Proc[[#This Row],[CurrentParent]]</f>
        <v>0</v>
      </c>
      <c r="K980" s="73" t="str">
        <f>IF(Proc[[#This Row],[Author]]="Marcela Urrego",VLOOKUP(LEFT(Proc[[#This Row],[Requested]],1),Table3[#All],2,0),VLOOKUP(Proc[[#This Row],[Author]],Table4[],2,0))</f>
        <v>HC</v>
      </c>
      <c r="L980" s="32" t="s">
        <v>2856</v>
      </c>
      <c r="M980" s="75">
        <v>45749.440416666665</v>
      </c>
      <c r="P980" s="78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1</v>
      </c>
      <c r="R980" s="78" t="s">
        <v>2807</v>
      </c>
      <c r="S980" s="73"/>
    </row>
    <row r="981" spans="1:19">
      <c r="A981" s="76" t="s">
        <v>2866</v>
      </c>
      <c r="B981" s="73" t="str">
        <f>IFERROR(VLOOKUP(Proc[[#This Row],[App]],Table2[],3,0),"open")</f>
        <v>open</v>
      </c>
      <c r="C981" s="76" t="s">
        <v>370</v>
      </c>
      <c r="D981" t="s">
        <v>2800</v>
      </c>
      <c r="E981" t="s">
        <v>2804</v>
      </c>
      <c r="F981" s="73" t="s">
        <v>2805</v>
      </c>
      <c r="G981" s="76" t="s">
        <v>406</v>
      </c>
      <c r="H981" s="73" t="str">
        <f>IF(Proc[[#This Row],[type]]="LFF (MDG-F)",MID(Proc[[#This Row],[Obj]],13,10),"")</f>
        <v>IT50C02009</v>
      </c>
      <c r="I981" s="76" t="s">
        <v>2869</v>
      </c>
      <c r="J981" s="73" t="b">
        <f>Proc[[#This Row],[Requested]]=Proc[[#This Row],[CurrentParent]]</f>
        <v>0</v>
      </c>
      <c r="K981" s="73" t="str">
        <f>IF(Proc[[#This Row],[Author]]="Marcela Urrego",VLOOKUP(LEFT(Proc[[#This Row],[Requested]],1),Table3[#All],2,0),VLOOKUP(Proc[[#This Row],[Author]],Table4[],2,0))</f>
        <v>HC</v>
      </c>
      <c r="L981" s="32" t="s">
        <v>2856</v>
      </c>
      <c r="M981" s="75">
        <v>45749.440416666665</v>
      </c>
      <c r="P981" s="78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1</v>
      </c>
      <c r="R981" s="78" t="s">
        <v>2807</v>
      </c>
      <c r="S981" s="73"/>
    </row>
    <row r="982" spans="1:19">
      <c r="A982" s="76" t="s">
        <v>2866</v>
      </c>
      <c r="B982" s="73" t="str">
        <f>IFERROR(VLOOKUP(Proc[[#This Row],[App]],Table2[],3,0),"open")</f>
        <v>open</v>
      </c>
      <c r="C982" s="76" t="s">
        <v>370</v>
      </c>
      <c r="D982" t="s">
        <v>2801</v>
      </c>
      <c r="E982" t="s">
        <v>2804</v>
      </c>
      <c r="F982" s="73" t="s">
        <v>2805</v>
      </c>
      <c r="G982" s="76" t="s">
        <v>406</v>
      </c>
      <c r="H982" s="73" t="str">
        <f>IF(Proc[[#This Row],[type]]="LFF (MDG-F)",MID(Proc[[#This Row],[Obj]],13,10),"")</f>
        <v>IT50C02010</v>
      </c>
      <c r="I982" s="76" t="s">
        <v>2869</v>
      </c>
      <c r="J982" s="73" t="b">
        <f>Proc[[#This Row],[Requested]]=Proc[[#This Row],[CurrentParent]]</f>
        <v>0</v>
      </c>
      <c r="K982" s="73" t="str">
        <f>IF(Proc[[#This Row],[Author]]="Marcela Urrego",VLOOKUP(LEFT(Proc[[#This Row],[Requested]],1),Table3[#All],2,0),VLOOKUP(Proc[[#This Row],[Author]],Table4[],2,0))</f>
        <v>HC</v>
      </c>
      <c r="L982" s="32" t="s">
        <v>2856</v>
      </c>
      <c r="M982" s="75">
        <v>45749.440416666665</v>
      </c>
      <c r="P982" s="78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1</v>
      </c>
      <c r="R982" s="78" t="s">
        <v>2807</v>
      </c>
      <c r="S982" s="73"/>
    </row>
    <row r="983" spans="1:19">
      <c r="A983" s="76" t="s">
        <v>2866</v>
      </c>
      <c r="B983" s="73" t="str">
        <f>IFERROR(VLOOKUP(Proc[[#This Row],[App]],Table2[],3,0),"open")</f>
        <v>open</v>
      </c>
      <c r="C983" s="76" t="s">
        <v>370</v>
      </c>
      <c r="D983" t="s">
        <v>2802</v>
      </c>
      <c r="E983" t="s">
        <v>2804</v>
      </c>
      <c r="F983" s="73" t="s">
        <v>2805</v>
      </c>
      <c r="G983" s="76" t="s">
        <v>406</v>
      </c>
      <c r="H983" s="73" t="str">
        <f>IF(Proc[[#This Row],[type]]="LFF (MDG-F)",MID(Proc[[#This Row],[Obj]],13,10),"")</f>
        <v>IT50C03007</v>
      </c>
      <c r="I983" s="76" t="s">
        <v>2869</v>
      </c>
      <c r="J983" s="73" t="b">
        <f>Proc[[#This Row],[Requested]]=Proc[[#This Row],[CurrentParent]]</f>
        <v>0</v>
      </c>
      <c r="K983" s="73" t="str">
        <f>IF(Proc[[#This Row],[Author]]="Marcela Urrego",VLOOKUP(LEFT(Proc[[#This Row],[Requested]],1),Table3[#All],2,0),VLOOKUP(Proc[[#This Row],[Author]],Table4[],2,0))</f>
        <v>HC</v>
      </c>
      <c r="L983" s="32" t="s">
        <v>2856</v>
      </c>
      <c r="M983" s="75">
        <v>45749.440416666665</v>
      </c>
      <c r="P983" s="78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1</v>
      </c>
      <c r="R983" s="78" t="s">
        <v>2807</v>
      </c>
      <c r="S983" s="73"/>
    </row>
    <row r="984" spans="1:19">
      <c r="A984" s="76" t="s">
        <v>2866</v>
      </c>
      <c r="B984" s="73" t="str">
        <f>IFERROR(VLOOKUP(Proc[[#This Row],[App]],Table2[],3,0),"open")</f>
        <v>open</v>
      </c>
      <c r="C984" s="76" t="s">
        <v>370</v>
      </c>
      <c r="D984" t="s">
        <v>2803</v>
      </c>
      <c r="E984" t="s">
        <v>2804</v>
      </c>
      <c r="F984" s="73" t="s">
        <v>2805</v>
      </c>
      <c r="G984" s="76" t="s">
        <v>406</v>
      </c>
      <c r="H984" s="73" t="str">
        <f>IF(Proc[[#This Row],[type]]="LFF (MDG-F)",MID(Proc[[#This Row],[Obj]],13,10),"")</f>
        <v>IT50C02011</v>
      </c>
      <c r="I984" s="76" t="s">
        <v>2869</v>
      </c>
      <c r="J984" s="73" t="b">
        <f>Proc[[#This Row],[Requested]]=Proc[[#This Row],[CurrentParent]]</f>
        <v>0</v>
      </c>
      <c r="K984" s="73" t="str">
        <f>IF(Proc[[#This Row],[Author]]="Marcela Urrego",VLOOKUP(LEFT(Proc[[#This Row],[Requested]],1),Table3[#All],2,0),VLOOKUP(Proc[[#This Row],[Author]],Table4[],2,0))</f>
        <v>HC</v>
      </c>
      <c r="L984" s="32" t="s">
        <v>2856</v>
      </c>
      <c r="M984" s="75">
        <v>45749.440416666665</v>
      </c>
      <c r="P984" s="78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1</v>
      </c>
      <c r="R984" s="78" t="s">
        <v>2807</v>
      </c>
      <c r="S984" s="73"/>
    </row>
    <row r="985" spans="1:19">
      <c r="A985" t="s">
        <v>2868</v>
      </c>
      <c r="B985" s="73" t="str">
        <f>IFERROR(VLOOKUP(Proc[[#This Row],[App]],Table2[],3,0),"open")</f>
        <v>open</v>
      </c>
      <c r="C985" s="76" t="s">
        <v>370</v>
      </c>
      <c r="D985" s="45" t="s">
        <v>2867</v>
      </c>
      <c r="E985" t="s">
        <v>566</v>
      </c>
      <c r="F985" s="73" t="s">
        <v>2843</v>
      </c>
      <c r="G985" s="76" t="s">
        <v>406</v>
      </c>
      <c r="H985" s="73" t="str">
        <f>IF(Proc[[#This Row],[type]]="LFF (MDG-F)",MID(Proc[[#This Row],[Obj]],13,10),"")</f>
        <v>US10GM4058</v>
      </c>
      <c r="I985" s="76" t="s">
        <v>2869</v>
      </c>
      <c r="J985" s="73" t="b">
        <f>Proc[[#This Row],[Requested]]=Proc[[#This Row],[CurrentParent]]</f>
        <v>0</v>
      </c>
      <c r="K985" s="73" t="str">
        <f>IF(Proc[[#This Row],[Author]]="Marcela Urrego",VLOOKUP(LEFT(Proc[[#This Row],[Requested]],1),Table3[#All],2,0),VLOOKUP(Proc[[#This Row],[Author]],Table4[],2,0))</f>
        <v>MGF</v>
      </c>
      <c r="L985" s="32" t="s">
        <v>2856</v>
      </c>
      <c r="M985" s="75">
        <v>45744.623530092591</v>
      </c>
      <c r="P985" s="78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4</v>
      </c>
      <c r="R985" s="78" t="s">
        <v>554</v>
      </c>
      <c r="S985" s="73"/>
    </row>
    <row r="986" spans="1:19">
      <c r="A986" t="s">
        <v>2873</v>
      </c>
      <c r="B986" s="73" t="str">
        <f>IFERROR(VLOOKUP(Proc[[#This Row],[App]],Table2[],3,0),"open")</f>
        <v>open</v>
      </c>
      <c r="C986" t="s">
        <v>370</v>
      </c>
      <c r="D986" t="s">
        <v>2871</v>
      </c>
      <c r="E986" t="s">
        <v>644</v>
      </c>
      <c r="F986" s="73" t="s">
        <v>2872</v>
      </c>
      <c r="G986" t="s">
        <v>400</v>
      </c>
      <c r="H986" s="73" t="str">
        <f>IF(Proc[[#This Row],[type]]="LFF (MDG-F)",MID(Proc[[#This Row],[Obj]],13,10),"")</f>
        <v/>
      </c>
      <c r="J986" s="73" t="b">
        <f>Proc[[#This Row],[Requested]]=Proc[[#This Row],[CurrentParent]]</f>
        <v>0</v>
      </c>
      <c r="K986" s="73" t="str">
        <f>IF(Proc[[#This Row],[Author]]="Marcela Urrego",VLOOKUP(LEFT(Proc[[#This Row],[Requested]],1),Table3[#All],2,0),VLOOKUP(Proc[[#This Row],[Author]],Table4[],2,0))</f>
        <v>MGF</v>
      </c>
      <c r="L986" s="32" t="s">
        <v>2856</v>
      </c>
      <c r="M986" s="75">
        <v>45750.310289351852</v>
      </c>
      <c r="P986" s="78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0</v>
      </c>
      <c r="R986" s="78" t="s">
        <v>538</v>
      </c>
      <c r="S986" s="73"/>
    </row>
    <row r="987" spans="1:19">
      <c r="A987" t="s">
        <v>2882</v>
      </c>
      <c r="B987" s="73" t="str">
        <f>IFERROR(VLOOKUP(Proc[[#This Row],[App]],Table2[],3,0),"open")</f>
        <v>open</v>
      </c>
      <c r="C987" s="76" t="s">
        <v>370</v>
      </c>
      <c r="D987" t="s">
        <v>2874</v>
      </c>
      <c r="E987" t="s">
        <v>2897</v>
      </c>
      <c r="F987" s="73" t="s">
        <v>2879</v>
      </c>
      <c r="G987" s="76" t="s">
        <v>400</v>
      </c>
      <c r="H987" s="73" t="str">
        <f>IF(Proc[[#This Row],[type]]="LFF (MDG-F)",MID(Proc[[#This Row],[Obj]],13,10),"")</f>
        <v/>
      </c>
      <c r="J987" s="73" t="b">
        <f>Proc[[#This Row],[Requested]]=Proc[[#This Row],[CurrentParent]]</f>
        <v>0</v>
      </c>
      <c r="K987" s="73" t="str">
        <f>IF(Proc[[#This Row],[Author]]="Marcela Urrego",VLOOKUP(LEFT(Proc[[#This Row],[Requested]],1),Table3[#All],2,0),VLOOKUP(Proc[[#This Row],[Author]],Table4[],2,0))</f>
        <v>LS</v>
      </c>
      <c r="L987" s="32" t="s">
        <v>2856</v>
      </c>
      <c r="M987" s="75">
        <v>45749.710787037038</v>
      </c>
      <c r="P987" s="78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1</v>
      </c>
      <c r="R987" s="78" t="s">
        <v>508</v>
      </c>
      <c r="S987" s="73"/>
    </row>
    <row r="988" spans="1:19">
      <c r="A988" s="76" t="s">
        <v>2882</v>
      </c>
      <c r="B988" s="73" t="str">
        <f>IFERROR(VLOOKUP(Proc[[#This Row],[App]],Table2[],3,0),"open")</f>
        <v>open</v>
      </c>
      <c r="C988" s="76" t="s">
        <v>370</v>
      </c>
      <c r="D988" t="s">
        <v>2875</v>
      </c>
      <c r="E988" t="s">
        <v>2898</v>
      </c>
      <c r="F988" s="73" t="s">
        <v>2880</v>
      </c>
      <c r="G988" s="76" t="s">
        <v>400</v>
      </c>
      <c r="H988" s="73" t="str">
        <f>IF(Proc[[#This Row],[type]]="LFF (MDG-F)",MID(Proc[[#This Row],[Obj]],13,10),"")</f>
        <v/>
      </c>
      <c r="J988" s="73" t="b">
        <f>Proc[[#This Row],[Requested]]=Proc[[#This Row],[CurrentParent]]</f>
        <v>0</v>
      </c>
      <c r="K988" s="73" t="str">
        <f>IF(Proc[[#This Row],[Author]]="Marcela Urrego",VLOOKUP(LEFT(Proc[[#This Row],[Requested]],1),Table3[#All],2,0),VLOOKUP(Proc[[#This Row],[Author]],Table4[],2,0))</f>
        <v>LS</v>
      </c>
      <c r="L988" s="32" t="s">
        <v>2856</v>
      </c>
      <c r="M988" s="75">
        <v>45749.710787037038</v>
      </c>
      <c r="P988" s="78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1</v>
      </c>
      <c r="R988" s="78" t="s">
        <v>508</v>
      </c>
      <c r="S988" s="73"/>
    </row>
    <row r="989" spans="1:19">
      <c r="A989" s="76" t="s">
        <v>2882</v>
      </c>
      <c r="B989" s="73" t="str">
        <f>IFERROR(VLOOKUP(Proc[[#This Row],[App]],Table2[],3,0),"open")</f>
        <v>open</v>
      </c>
      <c r="C989" s="76" t="s">
        <v>370</v>
      </c>
      <c r="D989" t="s">
        <v>2876</v>
      </c>
      <c r="E989" t="s">
        <v>2898</v>
      </c>
      <c r="F989" s="73" t="s">
        <v>2880</v>
      </c>
      <c r="G989" s="76" t="s">
        <v>400</v>
      </c>
      <c r="H989" s="73" t="str">
        <f>IF(Proc[[#This Row],[type]]="LFF (MDG-F)",MID(Proc[[#This Row],[Obj]],13,10),"")</f>
        <v/>
      </c>
      <c r="J989" s="73" t="b">
        <f>Proc[[#This Row],[Requested]]=Proc[[#This Row],[CurrentParent]]</f>
        <v>0</v>
      </c>
      <c r="K989" s="73" t="str">
        <f>IF(Proc[[#This Row],[Author]]="Marcela Urrego",VLOOKUP(LEFT(Proc[[#This Row],[Requested]],1),Table3[#All],2,0),VLOOKUP(Proc[[#This Row],[Author]],Table4[],2,0))</f>
        <v>LS</v>
      </c>
      <c r="L989" s="32" t="s">
        <v>2856</v>
      </c>
      <c r="M989" s="75">
        <v>45749.710787037038</v>
      </c>
      <c r="P989" s="78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1</v>
      </c>
      <c r="R989" s="78" t="s">
        <v>508</v>
      </c>
      <c r="S989" s="73"/>
    </row>
    <row r="990" spans="1:19">
      <c r="A990" s="76" t="s">
        <v>2882</v>
      </c>
      <c r="B990" s="73" t="str">
        <f>IFERROR(VLOOKUP(Proc[[#This Row],[App]],Table2[],3,0),"open")</f>
        <v>open</v>
      </c>
      <c r="C990" s="76" t="s">
        <v>370</v>
      </c>
      <c r="D990" t="s">
        <v>2877</v>
      </c>
      <c r="E990" t="s">
        <v>2878</v>
      </c>
      <c r="F990" s="73" t="s">
        <v>2881</v>
      </c>
      <c r="G990" s="76" t="s">
        <v>400</v>
      </c>
      <c r="H990" s="73" t="str">
        <f>IF(Proc[[#This Row],[type]]="LFF (MDG-F)",MID(Proc[[#This Row],[Obj]],13,10),"")</f>
        <v/>
      </c>
      <c r="J990" s="73" t="b">
        <f>Proc[[#This Row],[Requested]]=Proc[[#This Row],[CurrentParent]]</f>
        <v>0</v>
      </c>
      <c r="K990" s="73" t="str">
        <f>IF(Proc[[#This Row],[Author]]="Marcela Urrego",VLOOKUP(LEFT(Proc[[#This Row],[Requested]],1),Table3[#All],2,0),VLOOKUP(Proc[[#This Row],[Author]],Table4[],2,0))</f>
        <v>LS</v>
      </c>
      <c r="L990" s="32" t="s">
        <v>2856</v>
      </c>
      <c r="M990" s="75">
        <v>45749.710787037038</v>
      </c>
      <c r="P990" s="78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1</v>
      </c>
      <c r="R990" s="78" t="s">
        <v>508</v>
      </c>
      <c r="S990" s="73"/>
    </row>
    <row r="991" spans="1:19">
      <c r="A991" t="s">
        <v>2883</v>
      </c>
      <c r="B991" s="73" t="str">
        <f>IFERROR(VLOOKUP(Proc[[#This Row],[App]],Table2[],3,0),"open")</f>
        <v>open</v>
      </c>
      <c r="C991" s="76" t="s">
        <v>370</v>
      </c>
      <c r="D991" t="s">
        <v>2884</v>
      </c>
      <c r="E991" t="s">
        <v>2899</v>
      </c>
      <c r="F991" s="73" t="s">
        <v>2888</v>
      </c>
      <c r="G991" s="76" t="s">
        <v>400</v>
      </c>
      <c r="H991" s="73" t="str">
        <f>IF(Proc[[#This Row],[type]]="LFF (MDG-F)",MID(Proc[[#This Row],[Obj]],13,10),"")</f>
        <v/>
      </c>
      <c r="J991" s="73" t="b">
        <f>Proc[[#This Row],[Requested]]=Proc[[#This Row],[CurrentParent]]</f>
        <v>0</v>
      </c>
      <c r="K991" s="73" t="str">
        <f>IF(Proc[[#This Row],[Author]]="Marcela Urrego",VLOOKUP(LEFT(Proc[[#This Row],[Requested]],1),Table3[#All],2,0),VLOOKUP(Proc[[#This Row],[Author]],Table4[],2,0))</f>
        <v>LS</v>
      </c>
      <c r="L991" s="32" t="s">
        <v>2856</v>
      </c>
      <c r="M991" s="75">
        <v>45749.600416666668</v>
      </c>
      <c r="P991" s="78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1</v>
      </c>
      <c r="R991" s="78" t="s">
        <v>508</v>
      </c>
      <c r="S991" s="73"/>
    </row>
    <row r="992" spans="1:19">
      <c r="A992" s="76" t="s">
        <v>2883</v>
      </c>
      <c r="B992" s="73" t="str">
        <f>IFERROR(VLOOKUP(Proc[[#This Row],[App]],Table2[],3,0),"open")</f>
        <v>open</v>
      </c>
      <c r="C992" s="76" t="s">
        <v>375</v>
      </c>
      <c r="D992" t="s">
        <v>2885</v>
      </c>
      <c r="E992" t="s">
        <v>2900</v>
      </c>
      <c r="F992" s="73" t="s">
        <v>2888</v>
      </c>
      <c r="G992" t="s">
        <v>406</v>
      </c>
      <c r="H992" s="73" t="str">
        <f>IF(Proc[[#This Row],[type]]="LFF (MDG-F)",MID(Proc[[#This Row],[Obj]],13,10),"")</f>
        <v>1937TNCZ90</v>
      </c>
      <c r="J992" s="73" t="b">
        <f>Proc[[#This Row],[Requested]]=Proc[[#This Row],[CurrentParent]]</f>
        <v>0</v>
      </c>
      <c r="K992" s="73" t="str">
        <f>IF(Proc[[#This Row],[Author]]="Marcela Urrego",VLOOKUP(LEFT(Proc[[#This Row],[Requested]],1),Table3[#All],2,0),VLOOKUP(Proc[[#This Row],[Author]],Table4[],2,0))</f>
        <v>LS</v>
      </c>
      <c r="L992" s="32" t="s">
        <v>2856</v>
      </c>
      <c r="M992" s="75">
        <v>45749.600416666668</v>
      </c>
      <c r="P992" s="78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1</v>
      </c>
      <c r="R992" s="78" t="s">
        <v>508</v>
      </c>
      <c r="S992" s="73"/>
    </row>
    <row r="993" spans="1:19">
      <c r="A993" s="76" t="s">
        <v>2883</v>
      </c>
      <c r="B993" s="73" t="str">
        <f>IFERROR(VLOOKUP(Proc[[#This Row],[App]],Table2[],3,0),"open")</f>
        <v>open</v>
      </c>
      <c r="C993" s="76" t="s">
        <v>370</v>
      </c>
      <c r="D993" t="s">
        <v>2886</v>
      </c>
      <c r="E993" t="s">
        <v>2901</v>
      </c>
      <c r="F993" s="73" t="s">
        <v>2888</v>
      </c>
      <c r="G993" t="s">
        <v>400</v>
      </c>
      <c r="H993" s="73" t="str">
        <f>IF(Proc[[#This Row],[type]]="LFF (MDG-F)",MID(Proc[[#This Row],[Obj]],13,10),"")</f>
        <v/>
      </c>
      <c r="J993" s="73" t="b">
        <f>Proc[[#This Row],[Requested]]=Proc[[#This Row],[CurrentParent]]</f>
        <v>0</v>
      </c>
      <c r="K993" s="73" t="str">
        <f>IF(Proc[[#This Row],[Author]]="Marcela Urrego",VLOOKUP(LEFT(Proc[[#This Row],[Requested]],1),Table3[#All],2,0),VLOOKUP(Proc[[#This Row],[Author]],Table4[],2,0))</f>
        <v>LS</v>
      </c>
      <c r="L993" s="32" t="s">
        <v>2856</v>
      </c>
      <c r="M993" s="75">
        <v>45749.600416666668</v>
      </c>
      <c r="P993" s="78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1</v>
      </c>
      <c r="R993" s="78" t="s">
        <v>508</v>
      </c>
      <c r="S993" s="73"/>
    </row>
    <row r="994" spans="1:19">
      <c r="A994" s="76" t="s">
        <v>2883</v>
      </c>
      <c r="B994" s="73" t="str">
        <f>IFERROR(VLOOKUP(Proc[[#This Row],[App]],Table2[],3,0),"open")</f>
        <v>open</v>
      </c>
      <c r="C994" s="76" t="s">
        <v>370</v>
      </c>
      <c r="D994" t="s">
        <v>2887</v>
      </c>
      <c r="E994" t="s">
        <v>2772</v>
      </c>
      <c r="F994" s="73" t="s">
        <v>2889</v>
      </c>
      <c r="G994" s="76" t="s">
        <v>400</v>
      </c>
      <c r="H994" s="73" t="str">
        <f>IF(Proc[[#This Row],[type]]="LFF (MDG-F)",MID(Proc[[#This Row],[Obj]],13,10),"")</f>
        <v/>
      </c>
      <c r="J994" s="73" t="b">
        <f>Proc[[#This Row],[Requested]]=Proc[[#This Row],[CurrentParent]]</f>
        <v>0</v>
      </c>
      <c r="K994" s="73" t="str">
        <f>IF(Proc[[#This Row],[Author]]="Marcela Urrego",VLOOKUP(LEFT(Proc[[#This Row],[Requested]],1),Table3[#All],2,0),VLOOKUP(Proc[[#This Row],[Author]],Table4[],2,0))</f>
        <v>LS</v>
      </c>
      <c r="L994" s="32" t="s">
        <v>2856</v>
      </c>
      <c r="M994" s="75">
        <v>45749.600416666668</v>
      </c>
      <c r="P994" s="78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1</v>
      </c>
      <c r="R994" s="78" t="s">
        <v>508</v>
      </c>
      <c r="S994" s="73"/>
    </row>
    <row r="995" spans="1:19">
      <c r="A995" t="s">
        <v>2895</v>
      </c>
      <c r="B995" s="73" t="str">
        <f>IFERROR(VLOOKUP(Proc[[#This Row],[App]],Table2[],3,0),"open")</f>
        <v>open</v>
      </c>
      <c r="C995" s="76" t="s">
        <v>370</v>
      </c>
      <c r="D995" t="s">
        <v>2890</v>
      </c>
      <c r="E995" t="s">
        <v>2893</v>
      </c>
      <c r="F995" s="73" t="s">
        <v>1316</v>
      </c>
      <c r="G995" s="76" t="s">
        <v>400</v>
      </c>
      <c r="H995" s="73" t="str">
        <f>IF(Proc[[#This Row],[type]]="LFF (MDG-F)",MID(Proc[[#This Row],[Obj]],13,10),"")</f>
        <v/>
      </c>
      <c r="J995" s="73" t="b">
        <f>Proc[[#This Row],[Requested]]=Proc[[#This Row],[CurrentParent]]</f>
        <v>0</v>
      </c>
      <c r="K995" s="73" t="str">
        <f>IF(Proc[[#This Row],[Author]]="Marcela Urrego",VLOOKUP(LEFT(Proc[[#This Row],[Requested]],1),Table3[#All],2,0),VLOOKUP(Proc[[#This Row],[Author]],Table4[],2,0))</f>
        <v>LS</v>
      </c>
      <c r="L995" s="32" t="s">
        <v>2856</v>
      </c>
      <c r="M995" s="75">
        <v>45749.499050925922</v>
      </c>
      <c r="P995" s="78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1</v>
      </c>
      <c r="R995" s="78" t="s">
        <v>1003</v>
      </c>
      <c r="S995" s="73"/>
    </row>
    <row r="996" spans="1:19">
      <c r="A996" s="76" t="s">
        <v>2895</v>
      </c>
      <c r="B996" s="73" t="str">
        <f>IFERROR(VLOOKUP(Proc[[#This Row],[App]],Table2[],3,0),"open")</f>
        <v>open</v>
      </c>
      <c r="C996" s="76" t="s">
        <v>370</v>
      </c>
      <c r="D996" t="s">
        <v>2891</v>
      </c>
      <c r="E996" t="s">
        <v>2894</v>
      </c>
      <c r="F996" s="73" t="s">
        <v>1316</v>
      </c>
      <c r="G996" s="76" t="s">
        <v>400</v>
      </c>
      <c r="H996" s="73" t="str">
        <f>IF(Proc[[#This Row],[type]]="LFF (MDG-F)",MID(Proc[[#This Row],[Obj]],13,10),"")</f>
        <v/>
      </c>
      <c r="J996" s="73" t="b">
        <f>Proc[[#This Row],[Requested]]=Proc[[#This Row],[CurrentParent]]</f>
        <v>0</v>
      </c>
      <c r="K996" s="73" t="str">
        <f>IF(Proc[[#This Row],[Author]]="Marcela Urrego",VLOOKUP(LEFT(Proc[[#This Row],[Requested]],1),Table3[#All],2,0),VLOOKUP(Proc[[#This Row],[Author]],Table4[],2,0))</f>
        <v>LS</v>
      </c>
      <c r="L996" s="32" t="s">
        <v>2856</v>
      </c>
      <c r="M996" s="75">
        <v>45749.499050925922</v>
      </c>
      <c r="P996" s="78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1</v>
      </c>
      <c r="R996" s="78" t="s">
        <v>1003</v>
      </c>
      <c r="S996" s="73"/>
    </row>
    <row r="997" spans="1:19">
      <c r="A997" s="76" t="s">
        <v>2895</v>
      </c>
      <c r="B997" s="73" t="str">
        <f>IFERROR(VLOOKUP(Proc[[#This Row],[App]],Table2[],3,0),"open")</f>
        <v>open</v>
      </c>
      <c r="C997" s="76" t="s">
        <v>370</v>
      </c>
      <c r="D997" t="s">
        <v>2892</v>
      </c>
      <c r="E997" t="s">
        <v>680</v>
      </c>
      <c r="F997" s="73" t="s">
        <v>1316</v>
      </c>
      <c r="G997" s="76" t="s">
        <v>400</v>
      </c>
      <c r="H997" s="73" t="str">
        <f>IF(Proc[[#This Row],[type]]="LFF (MDG-F)",MID(Proc[[#This Row],[Obj]],13,10),"")</f>
        <v/>
      </c>
      <c r="J997" s="73" t="b">
        <f>Proc[[#This Row],[Requested]]=Proc[[#This Row],[CurrentParent]]</f>
        <v>0</v>
      </c>
      <c r="K997" s="73" t="str">
        <f>IF(Proc[[#This Row],[Author]]="Marcela Urrego",VLOOKUP(LEFT(Proc[[#This Row],[Requested]],1),Table3[#All],2,0),VLOOKUP(Proc[[#This Row],[Author]],Table4[],2,0))</f>
        <v>LS</v>
      </c>
      <c r="L997" s="32" t="s">
        <v>2856</v>
      </c>
      <c r="M997" s="75">
        <v>45749.499050925922</v>
      </c>
      <c r="P997" s="78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1</v>
      </c>
      <c r="R997" s="78" t="s">
        <v>1003</v>
      </c>
      <c r="S997" s="73"/>
    </row>
    <row r="998" spans="1:19">
      <c r="A998" t="s">
        <v>2896</v>
      </c>
      <c r="B998" s="73" t="str">
        <f>IFERROR(VLOOKUP(Proc[[#This Row],[App]],Table2[],3,0),"open")</f>
        <v>open</v>
      </c>
      <c r="C998" s="76" t="s">
        <v>370</v>
      </c>
      <c r="D998" t="s">
        <v>2902</v>
      </c>
      <c r="E998" t="s">
        <v>2673</v>
      </c>
      <c r="F998" s="73" t="s">
        <v>644</v>
      </c>
      <c r="G998" s="76" t="s">
        <v>400</v>
      </c>
      <c r="H998" s="73" t="str">
        <f>IF(Proc[[#This Row],[type]]="LFF (MDG-F)",MID(Proc[[#This Row],[Obj]],13,10),"")</f>
        <v/>
      </c>
      <c r="J998" s="73" t="b">
        <f>Proc[[#This Row],[Requested]]=Proc[[#This Row],[CurrentParent]]</f>
        <v>0</v>
      </c>
      <c r="K998" s="73" t="str">
        <f>IF(Proc[[#This Row],[Author]]="Marcela Urrego",VLOOKUP(LEFT(Proc[[#This Row],[Requested]],1),Table3[#All],2,0),VLOOKUP(Proc[[#This Row],[Author]],Table4[],2,0))</f>
        <v>MGF</v>
      </c>
      <c r="L998" s="32" t="s">
        <v>2856</v>
      </c>
      <c r="M998" s="75">
        <v>45750.367430555554</v>
      </c>
      <c r="P998" s="78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0</v>
      </c>
      <c r="R998" s="78" t="s">
        <v>538</v>
      </c>
      <c r="S998" s="73"/>
    </row>
  </sheetData>
  <phoneticPr fontId="0" type="noConversion"/>
  <conditionalFormatting sqref="D6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G2:G998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2557</v>
      </c>
      <c r="B1" t="s">
        <v>2560</v>
      </c>
    </row>
    <row r="2" spans="1:2">
      <c r="A2" t="s">
        <v>2567</v>
      </c>
      <c r="B2" t="s">
        <v>690</v>
      </c>
    </row>
    <row r="3" spans="1:2">
      <c r="A3" t="s">
        <v>2568</v>
      </c>
      <c r="B3" t="s">
        <v>429</v>
      </c>
    </row>
    <row r="4" spans="1:2">
      <c r="A4" t="s">
        <v>2569</v>
      </c>
      <c r="B4" t="s">
        <v>690</v>
      </c>
    </row>
    <row r="5" spans="1:2">
      <c r="A5" t="s">
        <v>2570</v>
      </c>
      <c r="B5" t="s">
        <v>1529</v>
      </c>
    </row>
    <row r="6" spans="1:2">
      <c r="A6" t="s">
        <v>2571</v>
      </c>
      <c r="B6" t="s">
        <v>2587</v>
      </c>
    </row>
    <row r="7" spans="1:2">
      <c r="A7" t="s">
        <v>2572</v>
      </c>
      <c r="B7" t="s">
        <v>2590</v>
      </c>
    </row>
    <row r="8" spans="1:2">
      <c r="A8" t="s">
        <v>2573</v>
      </c>
      <c r="B8" t="s">
        <v>2588</v>
      </c>
    </row>
    <row r="9" spans="1:2">
      <c r="A9" t="s">
        <v>2574</v>
      </c>
      <c r="B9" t="s">
        <v>429</v>
      </c>
    </row>
    <row r="10" spans="1:2">
      <c r="A10" t="s">
        <v>2575</v>
      </c>
      <c r="B10" t="s">
        <v>1529</v>
      </c>
    </row>
    <row r="11" spans="1:2">
      <c r="A11" t="s">
        <v>2576</v>
      </c>
      <c r="B11" t="s">
        <v>1529</v>
      </c>
    </row>
    <row r="12" spans="1:2">
      <c r="A12" t="s">
        <v>2577</v>
      </c>
      <c r="B12" t="s">
        <v>431</v>
      </c>
    </row>
    <row r="13" spans="1:2">
      <c r="A13" t="s">
        <v>2578</v>
      </c>
      <c r="B13" t="s">
        <v>1285</v>
      </c>
    </row>
    <row r="14" spans="1:2">
      <c r="A14" t="s">
        <v>2579</v>
      </c>
      <c r="B14" t="s">
        <v>1285</v>
      </c>
    </row>
    <row r="15" spans="1:2">
      <c r="A15" t="s">
        <v>2580</v>
      </c>
      <c r="B15" t="s">
        <v>431</v>
      </c>
    </row>
    <row r="16" spans="1:2">
      <c r="A16" t="s">
        <v>2581</v>
      </c>
      <c r="B16" t="s">
        <v>1529</v>
      </c>
    </row>
    <row r="17" spans="1:2">
      <c r="A17" t="s">
        <v>2582</v>
      </c>
      <c r="B17" t="s">
        <v>1529</v>
      </c>
    </row>
    <row r="18" spans="1:2">
      <c r="A18" t="s">
        <v>2583</v>
      </c>
      <c r="B18" t="s">
        <v>426</v>
      </c>
    </row>
    <row r="19" spans="1:2">
      <c r="A19" t="s">
        <v>2584</v>
      </c>
      <c r="B19" t="s">
        <v>2589</v>
      </c>
    </row>
    <row r="20" spans="1:2">
      <c r="A20" t="s">
        <v>2585</v>
      </c>
      <c r="B20" t="s">
        <v>1529</v>
      </c>
    </row>
    <row r="21" spans="1:2">
      <c r="A21" t="s">
        <v>2658</v>
      </c>
      <c r="B21" t="s">
        <v>2663</v>
      </c>
    </row>
    <row r="22" spans="1:2">
      <c r="A22" t="s">
        <v>2659</v>
      </c>
      <c r="B22" t="s">
        <v>2664</v>
      </c>
    </row>
    <row r="23" spans="1:2">
      <c r="A23" t="s">
        <v>2660</v>
      </c>
      <c r="B23" t="s">
        <v>2665</v>
      </c>
    </row>
    <row r="24" spans="1:2">
      <c r="A24" t="s">
        <v>2661</v>
      </c>
      <c r="B24" t="s">
        <v>2666</v>
      </c>
    </row>
    <row r="25" spans="1:2">
      <c r="A25" t="s">
        <v>2709</v>
      </c>
      <c r="B25" t="s">
        <v>2710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1940</v>
      </c>
      <c r="B1" t="str">
        <f>LEFT(A1,22)</f>
        <v>CLFF_VMCA$$$KR07DB3307</v>
      </c>
    </row>
    <row r="2" spans="1:2">
      <c r="A2" s="70" t="s">
        <v>1941</v>
      </c>
      <c r="B2" s="62" t="str">
        <f t="shared" ref="B2:B11" si="0">LEFT(A2,22)</f>
        <v>CLFF_VMCA$$$KR07DB3305</v>
      </c>
    </row>
    <row r="3" spans="1:2">
      <c r="A3" s="71" t="s">
        <v>1942</v>
      </c>
      <c r="B3" s="62" t="str">
        <f t="shared" si="0"/>
        <v>CLFF_VMCA$$$US10DB3015</v>
      </c>
    </row>
    <row r="4" spans="1:2">
      <c r="A4" s="70" t="s">
        <v>1943</v>
      </c>
      <c r="B4" s="62" t="str">
        <f t="shared" si="0"/>
        <v>CLFF_VMCA$$$US10DB3018</v>
      </c>
    </row>
    <row r="5" spans="1:2">
      <c r="A5" s="71" t="s">
        <v>1944</v>
      </c>
      <c r="B5" s="62" t="str">
        <f t="shared" si="0"/>
        <v>CLFF_VMCA$$$US10DB3019</v>
      </c>
    </row>
    <row r="6" spans="1:2">
      <c r="A6" s="70" t="s">
        <v>1945</v>
      </c>
      <c r="B6" s="62" t="str">
        <f t="shared" si="0"/>
        <v>CLFF_VMCA$$$US10DB3010</v>
      </c>
    </row>
    <row r="7" spans="1:2">
      <c r="A7" s="71" t="s">
        <v>1946</v>
      </c>
      <c r="B7" s="62" t="str">
        <f t="shared" si="0"/>
        <v>CLFF_VMCA$$$KR16DB3301</v>
      </c>
    </row>
    <row r="8" spans="1:2">
      <c r="A8" s="70" t="s">
        <v>1947</v>
      </c>
      <c r="B8" s="62" t="str">
        <f t="shared" si="0"/>
        <v>CLFF_VMCA$$$KR15DB3300</v>
      </c>
    </row>
    <row r="9" spans="1:2">
      <c r="A9" s="71" t="s">
        <v>1948</v>
      </c>
      <c r="B9" s="62" t="str">
        <f t="shared" si="0"/>
        <v>CLFF_VMCA$$$KR15DB3302</v>
      </c>
    </row>
    <row r="10" spans="1:2">
      <c r="A10" s="70" t="s">
        <v>1949</v>
      </c>
      <c r="B10" s="62" t="str">
        <f t="shared" si="0"/>
        <v>CLFF_VMCA$$$KR15DB3307</v>
      </c>
    </row>
    <row r="11" spans="1:2">
      <c r="A11" s="71" t="s">
        <v>1950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0"/>
  <sheetViews>
    <sheetView topLeftCell="A87" workbookViewId="0">
      <selection activeCell="B121" sqref="B12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2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1962</v>
      </c>
      <c r="B114" t="s">
        <v>595</v>
      </c>
    </row>
    <row r="115" spans="1:2">
      <c r="A115" t="s">
        <v>2505</v>
      </c>
      <c r="B115" t="s">
        <v>594</v>
      </c>
    </row>
    <row r="116" spans="1:2">
      <c r="A116" s="74" t="s">
        <v>2667</v>
      </c>
      <c r="B116" s="72" t="s">
        <v>596</v>
      </c>
    </row>
    <row r="117" spans="1:2">
      <c r="A117" t="s">
        <v>2708</v>
      </c>
      <c r="B117" t="s">
        <v>596</v>
      </c>
    </row>
    <row r="118" spans="1:2">
      <c r="A118" t="s">
        <v>2712</v>
      </c>
      <c r="B118" t="s">
        <v>595</v>
      </c>
    </row>
    <row r="119" spans="1:2">
      <c r="A119" s="74" t="s">
        <v>2716</v>
      </c>
      <c r="B119" s="72" t="s">
        <v>594</v>
      </c>
    </row>
    <row r="120" spans="1:2">
      <c r="A120" t="s">
        <v>2807</v>
      </c>
      <c r="B120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2025-04-03T07:58:14Z</dcterms:modified>
  <cp:category/>
  <cp:contentStatus/>
</cp:coreProperties>
</file>